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Raw Data" sheetId="2" r:id="rId5"/>
    <sheet state="visible" name="Clean Data" sheetId="3" r:id="rId6"/>
  </sheets>
  <definedNames>
    <definedName hidden="1" localSheetId="1" name="_xlnm._FilterDatabase">'Raw Data'!$C$2:$S$746</definedName>
  </definedNames>
  <calcPr/>
  <extLst>
    <ext uri="GoogleSheetsCustomDataVersion2">
      <go:sheetsCustomData xmlns:go="http://customooxmlschemas.google.com/" r:id="rId7" roundtripDataChecksum="rmDBcwUgx4paSECMbzHVL8+XIaE1ePsZiGs1dcGpPA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89">
      <text>
        <t xml:space="preserve">======
ID#AAACF6_MS7w
Kristina Kozaj    (2026-08-25 15:42:15)
@rhea@tangible-markets.com why have we excluded this line?
_Assigned to rhea@tangible-markets.com_</t>
      </text>
    </comment>
  </commentList>
  <extLst>
    <ext uri="GoogleSheetsCustomDataVersion2">
      <go:sheetsCustomData xmlns:go="http://customooxmlschemas.google.com/" r:id="rId1" roundtripDataSignature="AMtx7mivhxScmXLTii1vFDzyCu2xXgiOhQ=="/>
    </ext>
  </extLst>
</comments>
</file>

<file path=xl/sharedStrings.xml><?xml version="1.0" encoding="utf-8"?>
<sst xmlns="http://schemas.openxmlformats.org/spreadsheetml/2006/main" count="14191" uniqueCount="1161">
  <si>
    <t>Vehicle Type</t>
  </si>
  <si>
    <t>(Multiple Items)</t>
  </si>
  <si>
    <t>Row Labels</t>
  </si>
  <si>
    <t>Sum of Commitment (Local)</t>
  </si>
  <si>
    <t>Sum of Latest Valuation (Local)</t>
  </si>
  <si>
    <t>Sum of Total Distribution (Local)</t>
  </si>
  <si>
    <t>S.No</t>
  </si>
  <si>
    <t>Sum of Total Paid in (Local)</t>
  </si>
  <si>
    <t>Sum of Unfunded Commitment (Local)</t>
  </si>
  <si>
    <t>Infrastructure</t>
  </si>
  <si>
    <t>Investment Name</t>
  </si>
  <si>
    <t>Revised Strategy (TANGIBLE)</t>
  </si>
  <si>
    <t>Strategy for Fund Level Metrics</t>
  </si>
  <si>
    <t>Portfolio Name</t>
  </si>
  <si>
    <t>Asset Name</t>
  </si>
  <si>
    <t>Manager Name</t>
  </si>
  <si>
    <t>International Infrastructure Finance Company II, L.P.</t>
  </si>
  <si>
    <t>Strategic Partners Real Assets II, L.P.</t>
  </si>
  <si>
    <t>Asset Class Tier 1 (Investment)</t>
  </si>
  <si>
    <t>Vintage</t>
  </si>
  <si>
    <t>Asset Class Tier 2 (Investment)</t>
  </si>
  <si>
    <t>Asset Class Tier 3 (Investment)</t>
  </si>
  <si>
    <t>Blackstone Infrastructure Partners L.P.</t>
  </si>
  <si>
    <t>Asset Class Tier 4 (Investment)</t>
  </si>
  <si>
    <t>Commitment (Local)</t>
  </si>
  <si>
    <t>Commitment ($)</t>
  </si>
  <si>
    <t>Latest Valuation (Local)</t>
  </si>
  <si>
    <t>Paid in ($)</t>
  </si>
  <si>
    <t>Latest Valuation Date</t>
  </si>
  <si>
    <t>Distributions ($)</t>
  </si>
  <si>
    <t>Total Distribution (Local)</t>
  </si>
  <si>
    <t>NAV ($)</t>
  </si>
  <si>
    <t>Total Paid in (Local)</t>
  </si>
  <si>
    <t>Total Value ($)</t>
  </si>
  <si>
    <t>Unfunded Commitment (Local)</t>
  </si>
  <si>
    <t>Local Currency</t>
  </si>
  <si>
    <t>Phantom Co-Investors, L.P.</t>
  </si>
  <si>
    <t>Blackstone Inc</t>
  </si>
  <si>
    <t>Co-Investment</t>
  </si>
  <si>
    <t>Private Credit</t>
  </si>
  <si>
    <t>Infrastructure Co-Investment</t>
  </si>
  <si>
    <t>Core+</t>
  </si>
  <si>
    <t>Transportation</t>
  </si>
  <si>
    <t>Private Equity</t>
  </si>
  <si>
    <t>Real Estate</t>
  </si>
  <si>
    <t>EUR</t>
  </si>
  <si>
    <t>Grand Total</t>
  </si>
  <si>
    <t>Include / Exclude</t>
  </si>
  <si>
    <t>FX RATES — AS AT 31 MARCH 2026</t>
  </si>
  <si>
    <t>ISQ Apollo Co-invest Fund III, L.P.</t>
  </si>
  <si>
    <t>I Squared Capital Advisors (US) LLC</t>
  </si>
  <si>
    <t>Communications</t>
  </si>
  <si>
    <t>USD</t>
  </si>
  <si>
    <t>Blackstone Infrastructure Partners (Supplemental Account II)</t>
  </si>
  <si>
    <t>Core</t>
  </si>
  <si>
    <t>Diversified Infrastructure</t>
  </si>
  <si>
    <t>ISQ KIO Co-Invest Fund, L.P.</t>
  </si>
  <si>
    <t>ISQ Eleanor Co-Invest Fund, L.P.</t>
  </si>
  <si>
    <t>Oil &amp; Gas</t>
  </si>
  <si>
    <t>CIM Supplemental Coinvest I, L.P.</t>
  </si>
  <si>
    <t>CIM Supplemental Coinvest I,  L.P.</t>
  </si>
  <si>
    <t>CIM Group LLC</t>
  </si>
  <si>
    <t>Value-Add</t>
  </si>
  <si>
    <t>BGTF Watt Co-Invest LP</t>
  </si>
  <si>
    <t>Brookfield Asset Management</t>
  </si>
  <si>
    <t>DIF Multi-Fund Co-Invest I C.V.</t>
  </si>
  <si>
    <t>CVC DIF</t>
  </si>
  <si>
    <t>LS V Clearlight Energy-B, L.P.</t>
  </si>
  <si>
    <t xml:space="preserve">LS Power Equity Advisors LLC </t>
  </si>
  <si>
    <t>BISS Lumos Co-Invest, L.P.</t>
  </si>
  <si>
    <t>BISS Lumos Co-Invest LP</t>
  </si>
  <si>
    <t>Renewables</t>
  </si>
  <si>
    <t>BISS Firestone Co-Investor, L.P.</t>
  </si>
  <si>
    <t>BISS Firestone Co-investor LP</t>
  </si>
  <si>
    <t>Currency</t>
  </si>
  <si>
    <t>USD per 1 unit</t>
  </si>
  <si>
    <t>Source</t>
  </si>
  <si>
    <t>Pennsylvania Co-Investment Fund, L.P. (Infra)</t>
  </si>
  <si>
    <t>Aksia LLC</t>
  </si>
  <si>
    <t>Topvita Coinvestment I SCSp</t>
  </si>
  <si>
    <t>ICG plc</t>
  </si>
  <si>
    <t>Private Credit Co-Investment</t>
  </si>
  <si>
    <t>Junior Capital</t>
  </si>
  <si>
    <t>European Junior Capital</t>
  </si>
  <si>
    <t>Trio Coinvestment Fund SCSp</t>
  </si>
  <si>
    <t>base</t>
  </si>
  <si>
    <t>MXV Co-Investment I SCSp</t>
  </si>
  <si>
    <t>White Cypress Co-Investment Partners, L.P.</t>
  </si>
  <si>
    <t>Clearlake Capital Group LP</t>
  </si>
  <si>
    <t>Structured Equity</t>
  </si>
  <si>
    <t>AP EPF III Helix Co-Invest, L.P.</t>
  </si>
  <si>
    <t>Apollo Global Management Inc.</t>
  </si>
  <si>
    <t>Distressed Debt &amp; Special Situations</t>
  </si>
  <si>
    <t>PC Special Situations</t>
  </si>
  <si>
    <t>exchange-rates.org</t>
  </si>
  <si>
    <t>CEMOF Master Co-Investment Partners, L.P.</t>
  </si>
  <si>
    <t xml:space="preserve">CEMOF Master Co-Investment Partners, L.P. </t>
  </si>
  <si>
    <t>Carlyle</t>
  </si>
  <si>
    <t>Real Assets Credit</t>
  </si>
  <si>
    <t>Energy Credit</t>
  </si>
  <si>
    <t>LBC-P Co-Investment Fund, L.P.</t>
  </si>
  <si>
    <t>CIFC Asset Management</t>
  </si>
  <si>
    <t>Direct Lending</t>
  </si>
  <si>
    <t>U.S. Direct Lending</t>
  </si>
  <si>
    <t>Acacia Coinvest, L.P.</t>
  </si>
  <si>
    <t>Sixth Street Advisors LLC</t>
  </si>
  <si>
    <t>GBP</t>
  </si>
  <si>
    <t>valutafx.com</t>
  </si>
  <si>
    <t>Park Square - PSERS Credit Opportunities Fund, L.P. (Co-Invest)</t>
  </si>
  <si>
    <t>Park Square Capital LLP</t>
  </si>
  <si>
    <t>PIMCO Aviation Co-invest Vehicle L.P.</t>
  </si>
  <si>
    <t>Pacific Investment Management Company</t>
  </si>
  <si>
    <t>Transportation &amp; Logistics</t>
  </si>
  <si>
    <t>JPY</t>
  </si>
  <si>
    <t>Stadium Co-Invest, L.P.</t>
  </si>
  <si>
    <t>Real Estate Distressed</t>
  </si>
  <si>
    <t>Sprinkler 2024 Co-Investment I SCSp</t>
  </si>
  <si>
    <t>Sixth Street Elderberry Strategic Holdings, L.P.</t>
  </si>
  <si>
    <t>CAD</t>
  </si>
  <si>
    <t>Partners Group Client Access 3, L.P.</t>
  </si>
  <si>
    <t>Partners Group</t>
  </si>
  <si>
    <t>Buyout</t>
  </si>
  <si>
    <t>Buyouts</t>
  </si>
  <si>
    <t>Lower Middle Market</t>
  </si>
  <si>
    <t>Penrose Topco Ltd</t>
  </si>
  <si>
    <t>Bridgepoint Advisors Ltd</t>
  </si>
  <si>
    <t>Growth Equity</t>
  </si>
  <si>
    <t>Middle Market</t>
  </si>
  <si>
    <t>Redtop Co-Invest, L.P.</t>
  </si>
  <si>
    <t>Cinven</t>
  </si>
  <si>
    <t>Ferrara Candy Company</t>
  </si>
  <si>
    <t>L Catterton</t>
  </si>
  <si>
    <t>NA</t>
  </si>
  <si>
    <t>CEIL (Guernsey), L.P.</t>
  </si>
  <si>
    <t xml:space="preserve">CEIL (Guernsey), L.P. </t>
  </si>
  <si>
    <t>Permira</t>
  </si>
  <si>
    <t>NM ABB Concise Holding, LLC</t>
  </si>
  <si>
    <t>New Mountain Capital LLC</t>
  </si>
  <si>
    <t>Upper Middle Market</t>
  </si>
  <si>
    <t>R&amp;R Co-Invest FCPR</t>
  </si>
  <si>
    <t>PAI Partners</t>
  </si>
  <si>
    <t>Partners Group Client Access 9, L.P.</t>
  </si>
  <si>
    <t>PPHC Holdings, LLC</t>
  </si>
  <si>
    <t>MP Next Capital</t>
  </si>
  <si>
    <t>Stale cutoff — exclude marks before</t>
  </si>
  <si>
    <t>PSERS Ortholite, L.P.</t>
  </si>
  <si>
    <t>Blue Point Capital Partners LLC</t>
  </si>
  <si>
    <t>Normandy Holdco, LLC</t>
  </si>
  <si>
    <t>FourthWall Media Inc.</t>
  </si>
  <si>
    <t>SCP Private Equity Management Company LLC</t>
  </si>
  <si>
    <t>Venture Capital</t>
  </si>
  <si>
    <t>Late Stage VC</t>
  </si>
  <si>
    <t>Partners Group Client Access 14, L.P.</t>
  </si>
  <si>
    <t>Domus BWW PSERs Holdings, LLC</t>
  </si>
  <si>
    <t>Versa Capital Management LP</t>
  </si>
  <si>
    <t>Starvest Partners Opportunity Fund, L.P.</t>
  </si>
  <si>
    <t>StarVest Partners</t>
  </si>
  <si>
    <t>CP-VER Aggregating, L.P.</t>
  </si>
  <si>
    <t xml:space="preserve">CP-VER Aggregating, L.P. </t>
  </si>
  <si>
    <t>WCI-Quantum Holdings, Inc.</t>
  </si>
  <si>
    <t>Windjammer Capital Investors</t>
  </si>
  <si>
    <t>Included</t>
  </si>
  <si>
    <t>NGP Bravo Co-Invest, LLC</t>
  </si>
  <si>
    <t>NGP Energy Capital Management LLC</t>
  </si>
  <si>
    <t>PE Special Situations</t>
  </si>
  <si>
    <t>Diversified Oil &amp; Gas</t>
  </si>
  <si>
    <t>Hornet Co-Invest, LLC</t>
  </si>
  <si>
    <t>LLR Partners</t>
  </si>
  <si>
    <t>CP Primanti Holdings, LLC</t>
  </si>
  <si>
    <t>WCI-HFG Holdings, LLC</t>
  </si>
  <si>
    <t>Excluded</t>
  </si>
  <si>
    <t>Psilos Group Partners III Subsidiary, L.P.</t>
  </si>
  <si>
    <t>Psilos Group</t>
  </si>
  <si>
    <t>Early Stage VC</t>
  </si>
  <si>
    <t>CGP Piada Holdings, LLC</t>
  </si>
  <si>
    <t>GoldPoint Partners Co-Investment Fund A, L.P.</t>
  </si>
  <si>
    <t>Apogem Capital LLC</t>
  </si>
  <si>
    <t>HgCapital Stingray Co-Invest, L.P.</t>
  </si>
  <si>
    <t xml:space="preserve">HgCapital Stingray Co-Invest, L.P. </t>
  </si>
  <si>
    <t>HgCapital</t>
  </si>
  <si>
    <t>Large Cap</t>
  </si>
  <si>
    <t>Crestview W1 Co-Investors, LLC</t>
  </si>
  <si>
    <t>Crestview Partners</t>
  </si>
  <si>
    <t>B&amp;B Co-Invest FPCI</t>
  </si>
  <si>
    <t>Huntress Co-Investment, L.P.</t>
  </si>
  <si>
    <t>EQT Partners AB</t>
  </si>
  <si>
    <t>Ethypharm Co-Invest FPCI</t>
  </si>
  <si>
    <t>Include requires: a valuation date, dated on or after the cutoff, non-zero commitment, non-zero paid-in, and NAV above 1. Any one failure excludes the row.</t>
  </si>
  <si>
    <t>Element Co-Investment, L.P. (I &amp; II)</t>
  </si>
  <si>
    <t>PFB-PSERS Co-Investment, LLC</t>
  </si>
  <si>
    <t>Incline Equity Partners</t>
  </si>
  <si>
    <t>Cinven Bioclinica, L.P.</t>
  </si>
  <si>
    <t xml:space="preserve">Cinven Bioclinica, L.P. </t>
  </si>
  <si>
    <t>Snowbird Co-Investment Partners, LLC</t>
  </si>
  <si>
    <t>Harrisburg Co-Investment, L.P.</t>
  </si>
  <si>
    <t>Harrisburg Co-Investment L.P.</t>
  </si>
  <si>
    <t>Bubbles Investor Aggregator, L.P.</t>
  </si>
  <si>
    <t xml:space="preserve">Bubbles Investor Aggregator, L.P. </t>
  </si>
  <si>
    <t>Harrisburg Co-Investment, L.P. - BDC III (USD)</t>
  </si>
  <si>
    <t>HgCapital Maverick Co-Invest, L.P.</t>
  </si>
  <si>
    <t xml:space="preserve">HgCapital Maverick Co-Invest, L.P. </t>
  </si>
  <si>
    <t>Cortefiel Co-Invest SCSp</t>
  </si>
  <si>
    <t>Diligere Co-Investment Partners, LLC</t>
  </si>
  <si>
    <t>SP Aqua Investors, L.P.</t>
  </si>
  <si>
    <t>LP-Led Secondaries</t>
  </si>
  <si>
    <t>NGP Camino Follow-On, LLC</t>
  </si>
  <si>
    <t>LC8 DCC Investment Holdings, L.P.</t>
  </si>
  <si>
    <t>ADF Tower Syndication, L.P.</t>
  </si>
  <si>
    <t>Apax Partners</t>
  </si>
  <si>
    <t>mTAB MP Member Holdings, LLC</t>
  </si>
  <si>
    <t>Searchlight Capital II MLN Co-Invest Partners, L.P.</t>
  </si>
  <si>
    <t>Searchlight Capital Partners</t>
  </si>
  <si>
    <t>Platinum Equity Titan Co-Investors Onshore (Cayman), L.P.</t>
  </si>
  <si>
    <t xml:space="preserve">Platinum Equity Titan Co-Investors Onshore (Cayman), L.P. </t>
  </si>
  <si>
    <t>Platinum Equity Advisors LLC</t>
  </si>
  <si>
    <t>Amber Co-Investment Partners, LLC</t>
  </si>
  <si>
    <t>NM Beeline Co-Invest, L.P.</t>
  </si>
  <si>
    <t>Asmodée Co-Invest S.L.P.</t>
  </si>
  <si>
    <t>Suncoinvest Vehicle, L.P.</t>
  </si>
  <si>
    <t>Webster Equity Partners LLC</t>
  </si>
  <si>
    <t>AP Highlands Co-Invest, L.P.</t>
  </si>
  <si>
    <t>PP-PSERS Co-Investment, LLC</t>
  </si>
  <si>
    <t>Cerberus AIR Partners, L.P.</t>
  </si>
  <si>
    <t>Cerberus Capital Management LP</t>
  </si>
  <si>
    <t>Hg Spider Co-Invest, L.P.</t>
  </si>
  <si>
    <t>Insight RF Holdings, LLC</t>
  </si>
  <si>
    <t>PSERS RF Holdings, LLC</t>
  </si>
  <si>
    <t>Insight Venture Management LLC</t>
  </si>
  <si>
    <t>Kite Co-Investment, L.P.</t>
  </si>
  <si>
    <t>ADF Simulate, L.P.</t>
  </si>
  <si>
    <t>Searchlight Capital II SKN Co-Invest Partners, L.P.</t>
  </si>
  <si>
    <t>Bain Relish Investor, L.P.</t>
  </si>
  <si>
    <t>Bain Capital LLC</t>
  </si>
  <si>
    <t>TCP Sunbelt Co-Invest, L.P.</t>
  </si>
  <si>
    <t>Trilantic Capital Partners</t>
  </si>
  <si>
    <t>PSERS AS Holdings, L.P.</t>
  </si>
  <si>
    <t>AP IX Tiger Co-Invest, L.P.</t>
  </si>
  <si>
    <t>HCPE V, L.P.</t>
  </si>
  <si>
    <t>Hahn &amp; Company</t>
  </si>
  <si>
    <t>Pennsylvania Co-Investment Fund, L.P.</t>
  </si>
  <si>
    <t>Hg Vardos Co-Invest, L.P.</t>
  </si>
  <si>
    <t>Hg Secular Co-Invest, L.P.</t>
  </si>
  <si>
    <t>Wampa Co-Investment Partners, L.P.</t>
  </si>
  <si>
    <t>Chance Co-Investment Limited Partnership</t>
  </si>
  <si>
    <t>Summit Partners Co-Invest (Decor), L.P.</t>
  </si>
  <si>
    <t>Summit Partners</t>
  </si>
  <si>
    <t>Hg P1 Co-Invest L.P.</t>
  </si>
  <si>
    <t>Icon Syndication L.P.</t>
  </si>
  <si>
    <t>Biloxi Co-Investment Partners, L.P.</t>
  </si>
  <si>
    <t>NM Aegion Co-Invest, L.P.</t>
  </si>
  <si>
    <t>Compass Syndication L.P.</t>
  </si>
  <si>
    <t>Platinum Equity Luna Co-Investors Onshore (Cayman), L.P.</t>
  </si>
  <si>
    <t xml:space="preserve">Platinum Equity Luna Co-Investors Onshore (Cayman), L.P. </t>
  </si>
  <si>
    <t>AP IX Connect Co-Invest Holdings, L.P.</t>
  </si>
  <si>
    <t>Falcon Co-Investment Partners, L.P.</t>
  </si>
  <si>
    <t xml:space="preserve">Falcon Co-Investment Partners, L.P. </t>
  </si>
  <si>
    <t>Lindsay Goldberg - Alpine Co-Inv. L.P.</t>
  </si>
  <si>
    <t xml:space="preserve">Lindsay Goldberg - Alpine Co-Inv. L.P. </t>
  </si>
  <si>
    <t>Lindsay Goldberg</t>
  </si>
  <si>
    <t>Knockout Co-Invest, L.P.</t>
  </si>
  <si>
    <t>NM Emmes Co-Invest, L.P.</t>
  </si>
  <si>
    <t>HCPE VI, L.P.</t>
  </si>
  <si>
    <t>Intercept Syndication, L.P.</t>
  </si>
  <si>
    <t xml:space="preserve">Intercept Syndication, L.P. </t>
  </si>
  <si>
    <t>Lindsay Goldberg - Attain, L.P.</t>
  </si>
  <si>
    <t>Lindsay Goldberg - Endeavour Co-Inv. L.P.</t>
  </si>
  <si>
    <t>Lindsay Goldberg - Endeavor Co-Inv. L.P.</t>
  </si>
  <si>
    <t>Denali Co-Investment Partners, L.P.</t>
  </si>
  <si>
    <t>Onward Co-Invest, L.P.</t>
  </si>
  <si>
    <t>Hg Pooled Management Ltd.</t>
  </si>
  <si>
    <t>VC &amp; Growth</t>
  </si>
  <si>
    <t>HarbourVest Pencoyd Fund, L.P. - Tranche 1</t>
  </si>
  <si>
    <t>HarbourVest Pencoyd Fund L.P. - Tranche 1</t>
  </si>
  <si>
    <t>HarbourVest Partners, LLC</t>
  </si>
  <si>
    <t>PE Multi-Manager</t>
  </si>
  <si>
    <t>Diversified Secondaries</t>
  </si>
  <si>
    <t>HarbourVest Pencoyd Fund, L.P. - Tranche 3</t>
  </si>
  <si>
    <t xml:space="preserve"> HarbourVest Pencoyd Fund L.P. - Tranche 3</t>
  </si>
  <si>
    <t>PSERS YES EXP Investor, L.P.</t>
  </si>
  <si>
    <t>Stockbridge Capital Group LLC</t>
  </si>
  <si>
    <t>Real Estate Co-Investment</t>
  </si>
  <si>
    <t>Opportunistic</t>
  </si>
  <si>
    <t>Opportunistic North America</t>
  </si>
  <si>
    <t>BREP VI Secondary</t>
  </si>
  <si>
    <t>Atlanta Marriott Loan 2014</t>
  </si>
  <si>
    <t>GF Management LLC</t>
  </si>
  <si>
    <t>Core North America</t>
  </si>
  <si>
    <t>50 Beale Fund VII-PSERS COI, L.P.</t>
  </si>
  <si>
    <t>Paramount Group Inc</t>
  </si>
  <si>
    <t>Value-Added North America</t>
  </si>
  <si>
    <t>Bell Woodstock JV, LLC</t>
  </si>
  <si>
    <t>Bell Partners Inc</t>
  </si>
  <si>
    <t>RCG Longview 7th Avenue Co-Invest, L.P.</t>
  </si>
  <si>
    <t xml:space="preserve">CenterSquare Investment Management </t>
  </si>
  <si>
    <t>U.S. CRE Bridge Lending</t>
  </si>
  <si>
    <t>Atlanta Marriott Loan 2016</t>
  </si>
  <si>
    <t>DRA Growth and Income Fund VIII Co-Investment I, LLC</t>
  </si>
  <si>
    <t>DRA Advisors LLC</t>
  </si>
  <si>
    <t>DRA Fund IX Industrial Co-Investment LLC</t>
  </si>
  <si>
    <t>RCG Longview 88 Street Co-Invest, L.P.</t>
  </si>
  <si>
    <t>RCG Longview 680 Co-Invest, L.P.</t>
  </si>
  <si>
    <t>Value-Added Global</t>
  </si>
  <si>
    <t>RCG Longview Dock Square Co-Invest, L.P.</t>
  </si>
  <si>
    <t>Stockbridge I Secondary</t>
  </si>
  <si>
    <t>ARS VII (SIDECAR V), L.P.</t>
  </si>
  <si>
    <t>Neuberger Berman</t>
  </si>
  <si>
    <t>ARS VIII (SC V), L.P.</t>
  </si>
  <si>
    <t>RCG LV Debt V REIT, L.P.</t>
  </si>
  <si>
    <t>BSREP IV Obsidian Co-Invest B, L.P.</t>
  </si>
  <si>
    <t>Bell Uptown Charlotte JV, LLC</t>
  </si>
  <si>
    <t>Bell Fund VII Four Pack JV, LP</t>
  </si>
  <si>
    <t>Exeter Core Industrial Club Fund II, LP (Secondary Mkt Acquisition)</t>
  </si>
  <si>
    <t>BSREP V Potassium Co-Invest 1, L.P.</t>
  </si>
  <si>
    <t>BSREP V Potassium Co-Invest I L.P.</t>
  </si>
  <si>
    <t>Opportunistic Global</t>
  </si>
  <si>
    <t>WCP NewCold JV, L.P.</t>
  </si>
  <si>
    <t>Westport Capital Partners</t>
  </si>
  <si>
    <t xml:space="preserve">NewMarket Investment Management </t>
  </si>
  <si>
    <t>Commingled Fund</t>
  </si>
  <si>
    <t>Infrastructure Partnership</t>
  </si>
  <si>
    <t>Regulatory Capital Relief</t>
  </si>
  <si>
    <t>GCM Grosvenor Customized Infrastructure Strategies II, LP</t>
  </si>
  <si>
    <t>Grosvenor Capital Management LP</t>
  </si>
  <si>
    <t>INF Secondaries Fund</t>
  </si>
  <si>
    <t>ISQ Global Infrastructure Fund III, L.P.</t>
  </si>
  <si>
    <t>Brookfield Global Transition Fund, L.P.</t>
  </si>
  <si>
    <t>CIM Infrastructure Fund III, L.P.</t>
  </si>
  <si>
    <t>DIF Infrastructure Fund VII SCSp</t>
  </si>
  <si>
    <t>LS Power Equity Partners V, L.P.</t>
  </si>
  <si>
    <t>GCM Diversified Infrastructure, L.P.</t>
  </si>
  <si>
    <t>Peppertree Capital Fund X QP, L.P.</t>
  </si>
  <si>
    <t>Peppertree Capital Fund X QP, LP</t>
  </si>
  <si>
    <t>TPG Inc.</t>
  </si>
  <si>
    <t>Blackstone Infrastructure Partners Europe (CYM), L.P.</t>
  </si>
  <si>
    <t xml:space="preserve">Blackstone Infrastructure Partners Europe (CYM) L.P. </t>
  </si>
  <si>
    <t>Brookfield Infrastructure Structured Solutions-B, L.P.</t>
  </si>
  <si>
    <t>ISQ Global Infrastructure Fund IV (UST), L.P.</t>
  </si>
  <si>
    <t>I Squared Global Infrastructure Fund IV, L.P.</t>
  </si>
  <si>
    <t>DIF Infrastructure VIII SCSp</t>
  </si>
  <si>
    <t>Warwick Partners V, L.P.</t>
  </si>
  <si>
    <t>Warwick Partners V, LP</t>
  </si>
  <si>
    <t>Warwick Investment Group, LLC</t>
  </si>
  <si>
    <t>LS Power Fund VI Feeder 1A, L.P.</t>
  </si>
  <si>
    <t>Oaktree Loan Fund 2X, LP</t>
  </si>
  <si>
    <t>Oaktree Capital Management LP</t>
  </si>
  <si>
    <t>Private Credit Partnership</t>
  </si>
  <si>
    <t>Corporate Distressed</t>
  </si>
  <si>
    <t>BlackRock Mortgage (Offshore) Investors, L.P.</t>
  </si>
  <si>
    <t>BlackRock Inc</t>
  </si>
  <si>
    <t>Residential Mortgages</t>
  </si>
  <si>
    <t>Sankaty Credit Opportunities IV, L.P.</t>
  </si>
  <si>
    <t>TCW Credit Opportunities Fund, L.P.</t>
  </si>
  <si>
    <t>The TCW Group Inc</t>
  </si>
  <si>
    <t>LBC Credit Partners II, LP</t>
  </si>
  <si>
    <t>Bain Capital Middle Market Credit 2010, L.P.</t>
  </si>
  <si>
    <t xml:space="preserve">Bain Capital Middle Market Credit 2010, L.P. </t>
  </si>
  <si>
    <t>U.S. Junior Capital</t>
  </si>
  <si>
    <t>Cerberus Levered Loan Opportunities Fund I, L.P.</t>
  </si>
  <si>
    <t>Sixth Street Opportunities Partners II (A), L.P.</t>
  </si>
  <si>
    <t>Opps NPL (A), L.P.</t>
  </si>
  <si>
    <t>NPLs</t>
  </si>
  <si>
    <t>Apollo European Principal Finance Fund II (Dollar A), L.P.</t>
  </si>
  <si>
    <t>Bain Capital Distressed and Special Situations 2013 (A + AIV I), LP</t>
  </si>
  <si>
    <t>Bain Capital Distressed and Special Situations 2013 (A+ AIV I), LP</t>
  </si>
  <si>
    <t>Carlyle Energy Mezzanine Opportunities Fund-Q, L.P.</t>
  </si>
  <si>
    <t>Cerberus Levered Loan Opportunities Fund II, L.P.</t>
  </si>
  <si>
    <t>HayFin Special Opportunities Credit Fund (Parallel), L.P.</t>
  </si>
  <si>
    <t>Hayfin Management Limited (Cayman)</t>
  </si>
  <si>
    <t>LBC Credit Partners III, L.P.</t>
  </si>
  <si>
    <t>ICG Europe Fund V, L.P.</t>
  </si>
  <si>
    <t>Galton Onshore Mortgage Recovery Fund III, L.P.</t>
  </si>
  <si>
    <t>Mariner Investment Group, LLC</t>
  </si>
  <si>
    <t>Real Estate Credit</t>
  </si>
  <si>
    <t>Bain Capital Middle Market Credit 2014, LP</t>
  </si>
  <si>
    <t xml:space="preserve">Bain Capital Middle Market Credit 2014, LP </t>
  </si>
  <si>
    <t>International Infrastructure Finance Company Fund, L.P.</t>
  </si>
  <si>
    <t>Specialty Finance</t>
  </si>
  <si>
    <t>Infrastructure Lending</t>
  </si>
  <si>
    <t>Sixth Street Opportunities Partners III (A), L.P.</t>
  </si>
  <si>
    <t>Summit Partners Credit Fund II, L.P.</t>
  </si>
  <si>
    <t>Varde Scratch and Dent Feeder, L.P., The</t>
  </si>
  <si>
    <t xml:space="preserve">Varde Management LP </t>
  </si>
  <si>
    <t>Avenue Energy Opportunities Fund, L.P.</t>
  </si>
  <si>
    <t>Avenue Capital Group</t>
  </si>
  <si>
    <t>ICG Europe Fund VI, L.P.</t>
  </si>
  <si>
    <t>Carlyle Energy Mezzanine Opportunities Fund II, L.P.</t>
  </si>
  <si>
    <t>Brigade Distressed Value Offshore Fund</t>
  </si>
  <si>
    <t>Brigade Capital Management LLC</t>
  </si>
  <si>
    <t>Event Credit</t>
  </si>
  <si>
    <t>Brigade Structured Credit Offshore Fund</t>
  </si>
  <si>
    <t>Structured Credit</t>
  </si>
  <si>
    <t>Galton Residential Mortgage-Backed Securities</t>
  </si>
  <si>
    <t>Bain Capital Distressed and Special Situations 2016 (A), L.P.</t>
  </si>
  <si>
    <t xml:space="preserve">Bain Capital Distressed and Special Situations 2016 (A), L.P. </t>
  </si>
  <si>
    <t>Avenue Europe Special Situations Fund III (U.S.), L.P.</t>
  </si>
  <si>
    <t>Hayfin SOF II USD, L.P.</t>
  </si>
  <si>
    <t>Hayfin SOF II USD Co-Invest, L.P.</t>
  </si>
  <si>
    <t>Varde Scratch and Dent Feeder I-A, L.P., The</t>
  </si>
  <si>
    <t>Apollo European Principal Finance Fund III (Dollar A), LP</t>
  </si>
  <si>
    <t>Latitude Management Real Estate Capital IV, Inc.</t>
  </si>
  <si>
    <t>LaSalle Mortgage Real Estate Investors</t>
  </si>
  <si>
    <t>U.S. CRE Transitional Lending</t>
  </si>
  <si>
    <t>Avenue Energy Opportunities Fund II, L.P.</t>
  </si>
  <si>
    <t>Galton Onshore Mortgage Recovery Fund IV, L.P.</t>
  </si>
  <si>
    <t>PIMCO BRAVO Fund III Onshore Feeder, LP</t>
  </si>
  <si>
    <t>ICG Europe Fund VII Feeder SCSp</t>
  </si>
  <si>
    <t>TCI Real Estate Partners Fund III</t>
  </si>
  <si>
    <t>TCI Fund Management Limited</t>
  </si>
  <si>
    <t>Sixth Street Opportunities Partners IV (A), L.P.</t>
  </si>
  <si>
    <t>PIMCO Commercial Real Estate Debt Fund, L.P.</t>
  </si>
  <si>
    <t>Clearlake Opportunities Partners (P) II, L.P.</t>
  </si>
  <si>
    <t>Bain Capital Distressed and Special Situations 2019 (A), L.P.</t>
  </si>
  <si>
    <t>SSG Capital Partners V, L.P.</t>
  </si>
  <si>
    <t>Ares Management LLC</t>
  </si>
  <si>
    <t>SSG Capital Partners V Sidecar, L.P.</t>
  </si>
  <si>
    <t>Sixth Street Fundamental Strategies Partners (A), L.P.</t>
  </si>
  <si>
    <t>Dawson Liquidity Partners (Onshore) IV, L.P.</t>
  </si>
  <si>
    <t>Dawson Partners (Onshore) IV, L.P.</t>
  </si>
  <si>
    <t>Dawson Partners</t>
  </si>
  <si>
    <t>PE Portfolio Finance</t>
  </si>
  <si>
    <t>Sixth Street Specialty Lending Europe II, L.P.</t>
  </si>
  <si>
    <t>European Direct Lending</t>
  </si>
  <si>
    <t>Sixth Street Opportunities Partners V (A), L.P.</t>
  </si>
  <si>
    <t>Bain Capital Special Situations Asia II, LP</t>
  </si>
  <si>
    <t>Keystone Partners, L.P. Series A</t>
  </si>
  <si>
    <t>Keystone Partners, L.P. Series B</t>
  </si>
  <si>
    <t>ICG Europe Fund VIII SCSp</t>
  </si>
  <si>
    <t>Dawson Liquidity Partners V, L.P.</t>
  </si>
  <si>
    <t>Dawson Partners V, L.P.</t>
  </si>
  <si>
    <t>Clearlake Opportunities Partners III, L.P.</t>
  </si>
  <si>
    <t>PIMCO Commercial Real Estate Debt Fund II, L.P.</t>
  </si>
  <si>
    <t>TCI Real Estate Partners Fund IV LP</t>
  </si>
  <si>
    <t>Sixth Street Lending Partners</t>
  </si>
  <si>
    <t xml:space="preserve">Sixth Street Lending Partners </t>
  </si>
  <si>
    <t>Falko Regional Aircraft Opportunities Fund II L.P.</t>
  </si>
  <si>
    <t>HPS Investment Partners, LLC</t>
  </si>
  <si>
    <t>SASOF III, LP</t>
  </si>
  <si>
    <t>SASOF IV, LP</t>
  </si>
  <si>
    <t>SASOF V, L.P.</t>
  </si>
  <si>
    <t>ACORE Opportunistic Credit II, L.P.</t>
  </si>
  <si>
    <t xml:space="preserve">ACORE Opportunistic Credit II, L.P. </t>
  </si>
  <si>
    <t>ACORE Capital</t>
  </si>
  <si>
    <t>AOC II Co-Invest, L.P.</t>
  </si>
  <si>
    <t>ICG Europe Mid-Market Fund II SCSp</t>
  </si>
  <si>
    <t>Sixth Street Specialty Lending Europe III (A), L.P.</t>
  </si>
  <si>
    <t>ICG Europe Fund IX SCSp</t>
  </si>
  <si>
    <t>ISQ Global Infrastructure Credit Fund II (Onshore), L.P.</t>
  </si>
  <si>
    <t>Park Square Capital US Loan Partners I, L.P.</t>
  </si>
  <si>
    <t>Park Square Capital U.S. Loan Partners I LP</t>
  </si>
  <si>
    <t>Bain Capital Special Situations Asia, LP</t>
  </si>
  <si>
    <t>Sixth Street Opportunities Partners VI (A), L.P.</t>
  </si>
  <si>
    <t>APA/Fostin Venture Fund I</t>
  </si>
  <si>
    <t>Bastion Capital Fund</t>
  </si>
  <si>
    <t>Bastion Capital Fund I</t>
  </si>
  <si>
    <t xml:space="preserve">Bastion Capital </t>
  </si>
  <si>
    <t>Bruckmann, Rosser, Sherrill &amp; Co. L.P.</t>
  </si>
  <si>
    <t>Bruckmann Rosser Sherrill &amp; Co</t>
  </si>
  <si>
    <t>CEO Venture Fund I</t>
  </si>
  <si>
    <t>CEO Ventures</t>
  </si>
  <si>
    <t>CEO Venture Fund II</t>
  </si>
  <si>
    <t>CIGNA</t>
  </si>
  <si>
    <t>CIGNA Investments Inc</t>
  </si>
  <si>
    <t>Commonwealth Venture Partners I</t>
  </si>
  <si>
    <t>Philadelphia Ventures</t>
  </si>
  <si>
    <t>Commonwealth Venture Partners II</t>
  </si>
  <si>
    <t>Edison II-PA Venture Fund</t>
  </si>
  <si>
    <t>Edison Partners Management LLC</t>
  </si>
  <si>
    <t>Edison Venture Fund III</t>
  </si>
  <si>
    <t>Franklin Capital Associates III</t>
  </si>
  <si>
    <t>Coleman Swenson Booth</t>
  </si>
  <si>
    <t>Multi-Stage VC</t>
  </si>
  <si>
    <t>Genesis Seed Fund</t>
  </si>
  <si>
    <t>Howard Lawson &amp; Co LLC</t>
  </si>
  <si>
    <t>Green Equity Investors II</t>
  </si>
  <si>
    <t>Leonard Green &amp; Partners LP</t>
  </si>
  <si>
    <t>Grotech Partners IV</t>
  </si>
  <si>
    <t>Grotech Capital Partners IV</t>
  </si>
  <si>
    <t>Grotech Ventures</t>
  </si>
  <si>
    <t>Heritage Fund I</t>
  </si>
  <si>
    <t>Heritage Partners Inc</t>
  </si>
  <si>
    <t>Keystone Minority Capital Fund</t>
  </si>
  <si>
    <t xml:space="preserve">Keystone Ventures </t>
  </si>
  <si>
    <t>Keystone Venture Fund IV</t>
  </si>
  <si>
    <t>Keystone Ventures</t>
  </si>
  <si>
    <t>Landmark Equity Partners II, L.P.</t>
  </si>
  <si>
    <t>Landmark Equity Partners III, L.P.</t>
  </si>
  <si>
    <t>Landmark Equity Partners IV, L.P.</t>
  </si>
  <si>
    <t>Landmark Mezzanine Partners</t>
  </si>
  <si>
    <t>PC Secondaries Fund</t>
  </si>
  <si>
    <t>Loyalhanna Venture Fund</t>
  </si>
  <si>
    <t>Loyalhanna Capital Management LLC</t>
  </si>
  <si>
    <t>Lexington Capital Partners I, L.P.</t>
  </si>
  <si>
    <t>Lexington Asset Management</t>
  </si>
  <si>
    <t>NEPA Venture Fund I</t>
  </si>
  <si>
    <t>Mid Atlantic Venture Funds</t>
  </si>
  <si>
    <t>NEPA Venture Fund II</t>
  </si>
  <si>
    <t>Spectrum Equity Investors, L.P.</t>
  </si>
  <si>
    <t>Spectrum Equity</t>
  </si>
  <si>
    <t>TDH III, L.P.</t>
  </si>
  <si>
    <t>TDH Private Equity Management Company</t>
  </si>
  <si>
    <t>Technology Leaders, L.P.</t>
  </si>
  <si>
    <t>Technology Leaders Group Inc</t>
  </si>
  <si>
    <t>P/A Fund</t>
  </si>
  <si>
    <t>TPG Partners, L.P.</t>
  </si>
  <si>
    <t>Willis Stein &amp; Partners, L.P.</t>
  </si>
  <si>
    <t>Willis Stein &amp; Partners</t>
  </si>
  <si>
    <t>ABS Capital Partners II</t>
  </si>
  <si>
    <t>ABS Capital Partners Inc</t>
  </si>
  <si>
    <t>Adams Capital Management, L.P.</t>
  </si>
  <si>
    <t>Adams Capital Management Inc</t>
  </si>
  <si>
    <t>SCP Private Equity Partners I, L.P.</t>
  </si>
  <si>
    <t>Landmark Equity Partners V, L.P.</t>
  </si>
  <si>
    <t>GS Mezzanine Partners</t>
  </si>
  <si>
    <t>GS Mezzanine Partners, L.P.</t>
  </si>
  <si>
    <t xml:space="preserve">Goldman Sachs Merchant Banking Division </t>
  </si>
  <si>
    <t>Mezzanine</t>
  </si>
  <si>
    <t>TL Ventures III, L.P.</t>
  </si>
  <si>
    <t>Lehman Brothers Merchant Banking Partners II, L.P.</t>
  </si>
  <si>
    <t>Lehman Br. Mer. Bk Ptnrs II, L.P.</t>
  </si>
  <si>
    <t>Lehman Brothers Inc</t>
  </si>
  <si>
    <t>TPG Partners II, L.P.</t>
  </si>
  <si>
    <t>Furman Selz Investors II L.P.</t>
  </si>
  <si>
    <t>Jefferies Credit Partners</t>
  </si>
  <si>
    <t>U.S. Equity Partners, L.P.</t>
  </si>
  <si>
    <t>U.S. Equity Partners L.P.</t>
  </si>
  <si>
    <t>EagleTree Capital</t>
  </si>
  <si>
    <t>Novitas Capital , L.P.</t>
  </si>
  <si>
    <t>Novitas Capital, L.P.</t>
  </si>
  <si>
    <t>Novitas Capital Limited</t>
  </si>
  <si>
    <t>Credit Suisse Int'l Equity Partners, L.P.</t>
  </si>
  <si>
    <t>Credit Suisse Asset Management LLC</t>
  </si>
  <si>
    <t>BG Media Investors, L.P.</t>
  </si>
  <si>
    <t>BG Media Investors</t>
  </si>
  <si>
    <t>Bridgepoint Europe I</t>
  </si>
  <si>
    <t>Credit Suisse Equity Partners, L.P.</t>
  </si>
  <si>
    <t>Credit Suisse Equity Partners</t>
  </si>
  <si>
    <t>Greenwich Street Capital Partners II</t>
  </si>
  <si>
    <t>Black Diamond Capital Management LLC</t>
  </si>
  <si>
    <t>Sunrise Capital Partners, L.P.</t>
  </si>
  <si>
    <t xml:space="preserve">Sunrise Capital Partners </t>
  </si>
  <si>
    <t>Distressed-for-Control &amp; Special Situations</t>
  </si>
  <si>
    <t>Morgan Stanley Dean Witter Cap Ptrs IV, L.P.</t>
  </si>
  <si>
    <t>Morgan Stanley</t>
  </si>
  <si>
    <t>KRG Capital Fund I</t>
  </si>
  <si>
    <t>KRG Capital Partners I</t>
  </si>
  <si>
    <t>KRG Capital Partners</t>
  </si>
  <si>
    <t>Cross Atlantic Technology Fund, L.P.</t>
  </si>
  <si>
    <t>Cross Atlantic Capital Partners</t>
  </si>
  <si>
    <t>Wicks Communications and Media Partners, L.P.</t>
  </si>
  <si>
    <t>The Wicks Group of Companies III LLC</t>
  </si>
  <si>
    <t>Edgewater Private Equity Fund III, L.P.</t>
  </si>
  <si>
    <t>Edgewater Services LLC</t>
  </si>
  <si>
    <t>New York Life Capital Partners I, L.P.</t>
  </si>
  <si>
    <t>LLR Equity Partners, L.P.</t>
  </si>
  <si>
    <t>Co-Investment 2000 Fund, L.P.</t>
  </si>
  <si>
    <t>Diversified</t>
  </si>
  <si>
    <t>KBL Partnership, L.P.</t>
  </si>
  <si>
    <t>KBL Healthcare Ventures</t>
  </si>
  <si>
    <t>Graham Partners</t>
  </si>
  <si>
    <t>Deutsche European Partners IV</t>
  </si>
  <si>
    <t>Altamar Private Equity SGIIC SAU</t>
  </si>
  <si>
    <t>Palladium Equity Partners II-A, L.P.</t>
  </si>
  <si>
    <t>Palladium Equity Partners LLC</t>
  </si>
  <si>
    <t>Halifax Capital Partners</t>
  </si>
  <si>
    <t>Novitas Capital II, L.P.</t>
  </si>
  <si>
    <t>Furman Selz Investors III L.P.</t>
  </si>
  <si>
    <t>Bridgepoint Capital II (Secondary)</t>
  </si>
  <si>
    <t>Clarity Partners L.P.</t>
  </si>
  <si>
    <t>Clarity Partners</t>
  </si>
  <si>
    <t>Lehman Brothers Communications Investors, L.P.</t>
  </si>
  <si>
    <t>Dubin Clark Fund II, L.P.</t>
  </si>
  <si>
    <t>Dubin Clark</t>
  </si>
  <si>
    <t>Avenue Special Situations Fund II, L.P.</t>
  </si>
  <si>
    <t>Diversified Distressed</t>
  </si>
  <si>
    <t>GSC Recovery II, L.P.</t>
  </si>
  <si>
    <t>Distressed-Influence/Control</t>
  </si>
  <si>
    <t>Strategic Feeder, L.P.</t>
  </si>
  <si>
    <t>SCP Private Equity Partners II, L.P.</t>
  </si>
  <si>
    <t>New Mountain Partners. L.P.</t>
  </si>
  <si>
    <t>Quadrangle Capital Partners, L.P.</t>
  </si>
  <si>
    <t>Quadrangle Group</t>
  </si>
  <si>
    <t>Gleacher Mezzanine Fund, L.P.</t>
  </si>
  <si>
    <t>Arrowhead Investment Management LLC</t>
  </si>
  <si>
    <t>U.S. Middle Market Junior Capital</t>
  </si>
  <si>
    <t>Irving Place Capital MB-PSERS II, L.P.</t>
  </si>
  <si>
    <t>Irving Place Capital Management LP</t>
  </si>
  <si>
    <t>Sterling Venture Partners, L.P.</t>
  </si>
  <si>
    <t>Sterling Partners</t>
  </si>
  <si>
    <t>PNC Equity Partners, L.P.</t>
  </si>
  <si>
    <t>DLJ Merchant Banking Partners III, L.P.</t>
  </si>
  <si>
    <t>aPriori Capital Partners</t>
  </si>
  <si>
    <t>New York Life Capital Partners II, L.P.</t>
  </si>
  <si>
    <t>GSC Partners CDO Investors III, L.P.</t>
  </si>
  <si>
    <t>CLO Debt</t>
  </si>
  <si>
    <t>Avenue Asia Special Situations Fund II, L.P.</t>
  </si>
  <si>
    <t>PAI Europe III, L.P.</t>
  </si>
  <si>
    <t>Cross Atlantic Technology Fund II</t>
  </si>
  <si>
    <t>Bridgepoint Europe II</t>
  </si>
  <si>
    <t>KRG Capital Fund II (PA) L.P.</t>
  </si>
  <si>
    <t>Lindsay Goldberg &amp; Bessemer L.P.</t>
  </si>
  <si>
    <t>Cerberus Institutional Partners, L.P. (Series 2)</t>
  </si>
  <si>
    <t>Cerberus Institutional Partners, L.P. (Series Two)</t>
  </si>
  <si>
    <t>U.S. Equity Partners II</t>
  </si>
  <si>
    <t>Edgewater Growth Capital Partners, L.P.</t>
  </si>
  <si>
    <t>Perseus-Soros BioPharmaceutical Fund</t>
  </si>
  <si>
    <t>Perseus-Soros BioPharmaceutical Fund, L.P.</t>
  </si>
  <si>
    <t>Aisling Capital Management LP</t>
  </si>
  <si>
    <t>Blue Point Capital Partners (B), L.P.</t>
  </si>
  <si>
    <t>Sterling Capital Partners, L.P.</t>
  </si>
  <si>
    <t>Avenue Special Situations Fund III, L.P.</t>
  </si>
  <si>
    <t>Quaker Bio-Ventures, L.P.</t>
  </si>
  <si>
    <t xml:space="preserve">Industry Ventures </t>
  </si>
  <si>
    <t>Jefferson Partners Fund IV (PA) L.P.</t>
  </si>
  <si>
    <t>Jefferson Partners Fund IV</t>
  </si>
  <si>
    <t>Jefferson Partners</t>
  </si>
  <si>
    <t>Strategic Partners Fund II, L.P.</t>
  </si>
  <si>
    <t>NYLIM Mezzanine Partners (Parallel Fund) L.P.</t>
  </si>
  <si>
    <t>Tenaya Capital IV-P, L.P.</t>
  </si>
  <si>
    <t>Tenaya Capital</t>
  </si>
  <si>
    <t>GSC Partners CDO Investors IV, L.P.</t>
  </si>
  <si>
    <t>Avenue Asia Special Situations Fund III, L.P.</t>
  </si>
  <si>
    <t>Cerberus Institutional Partners, L.P. (Series 3)</t>
  </si>
  <si>
    <t>Cerberus Institutional Partners, L.P.(Series Three)</t>
  </si>
  <si>
    <t>Platinum Equity Capital Partners-A, L.P.</t>
  </si>
  <si>
    <t>LLR Equity Partners II, L.P.</t>
  </si>
  <si>
    <t>Catterton Partners V, L.P.</t>
  </si>
  <si>
    <t>Evergreen Pacific Partners, L.P.</t>
  </si>
  <si>
    <t>Evergreen Pacific Partners Management Company Inc</t>
  </si>
  <si>
    <t>Gold Hill Venture Lending 03-A, L.P.</t>
  </si>
  <si>
    <t>Gold Hill Venture Lending 03, L.P.</t>
  </si>
  <si>
    <t>Gold Hill Capital Management LLC</t>
  </si>
  <si>
    <t>Milestone Partners II, L.P.</t>
  </si>
  <si>
    <t>New Mountain Partners, L.P., Allegheny</t>
  </si>
  <si>
    <t>Allegheny New Mountain Partners, L.P.</t>
  </si>
  <si>
    <t>PAI Europe IV-B2, L.P.</t>
  </si>
  <si>
    <t>Versa Capital Fund I, L.P.</t>
  </si>
  <si>
    <t>Jefferies Capital Partners IV, L.P.</t>
  </si>
  <si>
    <t>Strategic Partners Fund III-B, L.P.</t>
  </si>
  <si>
    <t>KRG Capital Fund III, (PA) L.P.</t>
  </si>
  <si>
    <t>Quadrangle Capital Partners II, L.P.</t>
  </si>
  <si>
    <t>Strategic Partners Fund III VC, L.P.</t>
  </si>
  <si>
    <t>Bridgepoint Europe III A, L.P.</t>
  </si>
  <si>
    <t>Crestview Partners, L.P.</t>
  </si>
  <si>
    <t>New York Life Capital Partners III-A, L.P.</t>
  </si>
  <si>
    <t>GSC Recovery III (Parallel Fund), L.P.</t>
  </si>
  <si>
    <t>Baring Asia Private Equity Fund III, L.P.</t>
  </si>
  <si>
    <t>Aisling Capital II L.P.</t>
  </si>
  <si>
    <t>Avenue Special Situations Fund IV, L.P.</t>
  </si>
  <si>
    <t>Co-Investment Fund II, L.P.</t>
  </si>
  <si>
    <t>PE Fund-of-Funds</t>
  </si>
  <si>
    <t>TPG Partners V, L.P.</t>
  </si>
  <si>
    <t>Windjammer Senior Equity Fund III, L.P.</t>
  </si>
  <si>
    <t>Irving Place Capital Partners III SPV, L.P.</t>
  </si>
  <si>
    <t>Avenue Asia Special Situations Fund IV, LP</t>
  </si>
  <si>
    <t>KKR 2006 Fund L.P.</t>
  </si>
  <si>
    <t>KKR Financial</t>
  </si>
  <si>
    <t>PNC Equity Partners II, L.P.</t>
  </si>
  <si>
    <t>Landmark Equity Partners XIII, L.P.</t>
  </si>
  <si>
    <t>Permira IV, L.P.</t>
  </si>
  <si>
    <t>First Reserve Fund XI, L.P.</t>
  </si>
  <si>
    <t>First Reserve</t>
  </si>
  <si>
    <t>Natural Resources</t>
  </si>
  <si>
    <t>Catterton Partners VI, L.P.</t>
  </si>
  <si>
    <t>Cerberus Institutional Partners, L.P. (Series 4)</t>
  </si>
  <si>
    <t>Cerberus Institutional Partners, L.P.(Series Four)</t>
  </si>
  <si>
    <t>Psilos Group Partners III-C, L.P.</t>
  </si>
  <si>
    <t>Cinven Fund (Fourth), L.P.</t>
  </si>
  <si>
    <t>The Fourth Cinven Fund, L.P.</t>
  </si>
  <si>
    <t>NYLIM Mezzanine Partners II (Parallel Fund) LP</t>
  </si>
  <si>
    <t>Gleacher Mezzanine Fund II, L.P.</t>
  </si>
  <si>
    <t>Providence Equity Partners VI, L.P.</t>
  </si>
  <si>
    <t>Providence Equity Partners LLC</t>
  </si>
  <si>
    <t>Navis Asia Fund V,  L.P.</t>
  </si>
  <si>
    <t>Navis Capital Partners Ltd</t>
  </si>
  <si>
    <t>StepStone International Investors III L.P.</t>
  </si>
  <si>
    <t>StepStone Group LP</t>
  </si>
  <si>
    <t>Capital International Private Equity Fund V L.P.</t>
  </si>
  <si>
    <t>Capital International</t>
  </si>
  <si>
    <t>Blue Point Capital Partners II (B), L.P.</t>
  </si>
  <si>
    <t>StarVest Partners II (Parallel), L.P.</t>
  </si>
  <si>
    <t>New Mountain Partners III L.P.</t>
  </si>
  <si>
    <t>Apax Europe VII, L.P.</t>
  </si>
  <si>
    <t>Avenue Special Situations Fund V, L.P.</t>
  </si>
  <si>
    <t>OCM Opportunities Fund VII L.P.</t>
  </si>
  <si>
    <t>Baring Asia Private Equity Fund IV, L.P.</t>
  </si>
  <si>
    <t>Platinum Equity Capital Partners-A II, L.P.</t>
  </si>
  <si>
    <t>Trilantic Capital Partners IV L.P.</t>
  </si>
  <si>
    <t>Tenaya Capital V-P, L.P.</t>
  </si>
  <si>
    <t>PAI Europe V, L.P.</t>
  </si>
  <si>
    <t>KRG Capital Fund IV L.P.</t>
  </si>
  <si>
    <t>New York Life Capital Partners IV-A. L.P.</t>
  </si>
  <si>
    <t>Clarity PSERS II, L.P.</t>
  </si>
  <si>
    <t>CVC Capital Partners Asia Pacific III, L.P.</t>
  </si>
  <si>
    <t>CVC Capital Partners</t>
  </si>
  <si>
    <t>Quaker BioVentures II, L.P.</t>
  </si>
  <si>
    <t>Milestone Partners III, L.P.</t>
  </si>
  <si>
    <t>LLR Equity Partners III, L.P.</t>
  </si>
  <si>
    <t>Catterton Growth Partners, L.P.</t>
  </si>
  <si>
    <t>OCM Opportunities Fund VII-b L.P.</t>
  </si>
  <si>
    <t>TPG Partners VI, L.P.</t>
  </si>
  <si>
    <t>Actis Emerging Markets 3, L.P.</t>
  </si>
  <si>
    <t>Actis GP LP</t>
  </si>
  <si>
    <t>Headland Private Equity Fund 6 L.P., The</t>
  </si>
  <si>
    <t>HPEF Capital Partners Limited</t>
  </si>
  <si>
    <t>Avenue Europe Special Situations Fund, L.P.</t>
  </si>
  <si>
    <t>Strategic Partners Fund IV, L.P.</t>
  </si>
  <si>
    <t>Strategic Partners Fund IV VC, L.P.</t>
  </si>
  <si>
    <t>Versa Capital Fund II, L.P.</t>
  </si>
  <si>
    <t>Partners Group Secondary 2008, L.P.</t>
  </si>
  <si>
    <t>CVC European Equity Partners V (A), L.P.</t>
  </si>
  <si>
    <t>Evergreen Pacific Partners II, L.P.</t>
  </si>
  <si>
    <t>Nordic Capital VII Beta L.P.</t>
  </si>
  <si>
    <t>Nordic Capital Limited</t>
  </si>
  <si>
    <t>Landmark Equity Partners XIV, L.P.</t>
  </si>
  <si>
    <t>Crestview Partners II, L.P.</t>
  </si>
  <si>
    <t>Bridgepoint Europe IV, L.P.</t>
  </si>
  <si>
    <t>First Reserve Fund XII, L.P.</t>
  </si>
  <si>
    <t>Aisling Capital III, L.P.</t>
  </si>
  <si>
    <t>Baring Asia Private Equity Fund V, L.P.</t>
  </si>
  <si>
    <t>Avenue Special Situations Fund VI, L.P.</t>
  </si>
  <si>
    <t>Strategic Partners Fund V, L.P.</t>
  </si>
  <si>
    <t>Orchid Asia V, L.P.</t>
  </si>
  <si>
    <t>Orchid Asia Group Management Limited</t>
  </si>
  <si>
    <t>Capital International Private Equity Fund VI, L.P.</t>
  </si>
  <si>
    <t>StarVest Partners , L.P.</t>
  </si>
  <si>
    <t>StarVest</t>
  </si>
  <si>
    <t>Incline Equity Partners III (PSERS), L.P.</t>
  </si>
  <si>
    <t>Milestone Partners IV, L.P.</t>
  </si>
  <si>
    <t>NGP Natural Resources X, L.P.</t>
  </si>
  <si>
    <t>Upstream</t>
  </si>
  <si>
    <t>Actis Global 4, L.P.</t>
  </si>
  <si>
    <t>Platinum Equity Capital Partners-A III, L.P.</t>
  </si>
  <si>
    <t>Summit Partners Growth Equity Fund VIII-A, L.P.</t>
  </si>
  <si>
    <t>Summit Partners Venture Capital Fund III-A, L.P.</t>
  </si>
  <si>
    <t>Windjammer Senior Equity Fund IV, L.P.</t>
  </si>
  <si>
    <t>Denham Commodity Partners Fund VI, L.P.</t>
  </si>
  <si>
    <t>Denham Capital Management LP</t>
  </si>
  <si>
    <t>Base Metals</t>
  </si>
  <si>
    <t>Coller International Partners VI, L.P.</t>
  </si>
  <si>
    <t>Coller Capital Limited</t>
  </si>
  <si>
    <t>Partners Group Secondary 2011 (USD), L.P. Inc.</t>
  </si>
  <si>
    <t>Cerberus Institutional Partners V, L.P.</t>
  </si>
  <si>
    <t>Bain Capital Asia Fund II, L.P.</t>
  </si>
  <si>
    <t>Tenaya Capital VI, L.P.</t>
  </si>
  <si>
    <t>Cinven Fund (Fifth), L.P.</t>
  </si>
  <si>
    <t>The Fifth Cinven Fund, L.P.</t>
  </si>
  <si>
    <t>Trilantic Capital Partners V (North America), L.P.</t>
  </si>
  <si>
    <t>LLR Equity Partners IV, L.P.</t>
  </si>
  <si>
    <t>Versa Capital Fund III, L.P.</t>
  </si>
  <si>
    <t>Blue Point Capital Partners III (B), L.P.</t>
  </si>
  <si>
    <t>Catterton Partners VII, L.P.</t>
  </si>
  <si>
    <t>PAI Europe VI, L.P.</t>
  </si>
  <si>
    <t>HgCapital 7 A, L.P.</t>
  </si>
  <si>
    <t>North Haven Private Equity Asia IV, L.P.</t>
  </si>
  <si>
    <t>New Mountain Partners IV, L.P.</t>
  </si>
  <si>
    <t>Bain Capital Fund XI-A, L.P.</t>
  </si>
  <si>
    <t>GoldPoint Partners Co-Investment V, L.P.</t>
  </si>
  <si>
    <t>Catterton Growth Partners II, L.P.</t>
  </si>
  <si>
    <t>DCPF VI Oil and Gas Co-Investment Fund, L.P.</t>
  </si>
  <si>
    <t>Apollo Investment Fund VIII, L.P.</t>
  </si>
  <si>
    <t>Crestview Partners III, L.P.</t>
  </si>
  <si>
    <t>Odyssey Investment Partners Fund V, L.P.</t>
  </si>
  <si>
    <t>Odyssey Investment Partners LLC</t>
  </si>
  <si>
    <t>Palladium Equity Partners IV, L.P.</t>
  </si>
  <si>
    <t>Energy &amp; Minerals Group Fund III, L.P., The</t>
  </si>
  <si>
    <t>The Energy &amp; Minerals Group Fund III, L.P.</t>
  </si>
  <si>
    <t>Energy &amp; Minerals Group</t>
  </si>
  <si>
    <t>NGP Natural Resources XI, L.P.</t>
  </si>
  <si>
    <t>Strategic Partners Fund VI, L.P.</t>
  </si>
  <si>
    <t>Orchid Asia VI, L.P.</t>
  </si>
  <si>
    <t>Baring Asia Private Equity Fund VI, L.P.</t>
  </si>
  <si>
    <t>Bridgepoint Europe V, L.P.</t>
  </si>
  <si>
    <t>Tenaya Capital VII, L.P.</t>
  </si>
  <si>
    <t>Venor Special Situations Fund II, L.P.</t>
  </si>
  <si>
    <t>Venor Capital Management LP</t>
  </si>
  <si>
    <t>HGGC Fund II, L.P.</t>
  </si>
  <si>
    <t>HGGC</t>
  </si>
  <si>
    <t>Partners Group Secondary 2015 (USD) A, L.P.</t>
  </si>
  <si>
    <t>Equistone Partners Europe Fund V E, L.P.</t>
  </si>
  <si>
    <t>Equistone Partners Europe Limited</t>
  </si>
  <si>
    <t>Clearlake Capital Partners IV, L.P.</t>
  </si>
  <si>
    <t>Coller International Partners VII, L.P. - Series A</t>
  </si>
  <si>
    <t>Summit Partners Growth Equity Fund IX-A, L.P.</t>
  </si>
  <si>
    <t>Summit Partners Venture Capital Fund IV-A, L.P.</t>
  </si>
  <si>
    <t>Cerberus Institutional Partners VI, L.P.</t>
  </si>
  <si>
    <t>Searchlight Capital II, L.P.</t>
  </si>
  <si>
    <t>Bain Capital Asia Fund III-A, L.P.</t>
  </si>
  <si>
    <t>Aisling Capital IV, L.P.</t>
  </si>
  <si>
    <t>Catterton Growth Partners III, L.P., L</t>
  </si>
  <si>
    <t>L Catterton Growth Partners III, L.P.</t>
  </si>
  <si>
    <t>L Catterton VIII, L.P.</t>
  </si>
  <si>
    <t>Strategic Partners Fund VII, L.P.</t>
  </si>
  <si>
    <t>HGGC Fund III, L.P.</t>
  </si>
  <si>
    <t>Incline Equity Partners IV, L.P.</t>
  </si>
  <si>
    <t xml:space="preserve">Incline Equity Partners IV, L.P. </t>
  </si>
  <si>
    <t>HgCapital 8 D, L.P.</t>
  </si>
  <si>
    <t>Platinum Equity Capital Partners IV, L.P.</t>
  </si>
  <si>
    <t>Cinven Fund (Sixth), L.P.</t>
  </si>
  <si>
    <t>The Sixth Cinven Fund, L.P.</t>
  </si>
  <si>
    <t>Bridgepoint Development Capital III, L.P.</t>
  </si>
  <si>
    <t>LLR Equity Partners V, L.P.</t>
  </si>
  <si>
    <t>New Mountain Partners V, L.P.</t>
  </si>
  <si>
    <t>Apollo Investment Fund IX, L.P.</t>
  </si>
  <si>
    <t>Bain Capital Fund XII-A, L.P.</t>
  </si>
  <si>
    <t>Apax Digital, L.P.</t>
  </si>
  <si>
    <t>Clearlake Capital Partners V, L.P.</t>
  </si>
  <si>
    <t>Portfolio Advisors Secondary Fund III, L.P.</t>
  </si>
  <si>
    <t xml:space="preserve">Future Standard </t>
  </si>
  <si>
    <t>Orchid Asia VII, L.P.</t>
  </si>
  <si>
    <t>Blue Point Capital Partners IV, L.P.</t>
  </si>
  <si>
    <t>Insight Venture Partners X, L.P.</t>
  </si>
  <si>
    <t>Equistone Partners Europe Fund VI E, SCSp</t>
  </si>
  <si>
    <t>PAI Europe VII, L.P.</t>
  </si>
  <si>
    <t>Platinum Equity Small Cap Fund, L.P.</t>
  </si>
  <si>
    <t>Webster Capital IV, L.P.</t>
  </si>
  <si>
    <t>Trilantic Capital Partners VI (North America), L.P.</t>
  </si>
  <si>
    <t>K4 Private Investors, L.P.</t>
  </si>
  <si>
    <t xml:space="preserve">K1 Investment Management </t>
  </si>
  <si>
    <t>Bain Capital Asia Fund IV-B, L.P.</t>
  </si>
  <si>
    <t>Bridgepoint Europe VI, L.P.</t>
  </si>
  <si>
    <t>Tulco, LLC</t>
  </si>
  <si>
    <t>Tulco LLC</t>
  </si>
  <si>
    <t>Summit Partners Growth Equity Fund X-A, L.P.</t>
  </si>
  <si>
    <t>Searchlight Capital III, L.P.</t>
  </si>
  <si>
    <t>Sante Health Ventures III</t>
  </si>
  <si>
    <t>Sante Ventures</t>
  </si>
  <si>
    <t>Incline Elevate Fund, L.P.</t>
  </si>
  <si>
    <t>Hahn &amp; Company III L.P.</t>
  </si>
  <si>
    <t>Hahn &amp; Company III-S L.P.</t>
  </si>
  <si>
    <t>Platinum Equity Capital Partners V, L.P.</t>
  </si>
  <si>
    <t>Clearlake Capital Partners VI, L.P.</t>
  </si>
  <si>
    <t>Incline Equity Partners V, L.P.</t>
  </si>
  <si>
    <t xml:space="preserve">Incline Equity Partners V, L.P. </t>
  </si>
  <si>
    <t>Lindsay Goldberg V, L.P.</t>
  </si>
  <si>
    <t>Insight Partners XI, L.P.</t>
  </si>
  <si>
    <t>Apax X USD, L.P.</t>
  </si>
  <si>
    <t>Milestone Partners FS 2, L.P.</t>
  </si>
  <si>
    <t>Hg Saturn 2 A L.P.</t>
  </si>
  <si>
    <t>Hg Genesis 9 L.P.</t>
  </si>
  <si>
    <t>Portfolio Advisors Secondary Fund IV, L.P.</t>
  </si>
  <si>
    <t>New Mountain Partners VI, L.P.</t>
  </si>
  <si>
    <t>Bridgepoint Development Capital IV, L.P.</t>
  </si>
  <si>
    <t>PA Portfolio Advisors Secondary Fund, L.P.</t>
  </si>
  <si>
    <t>LLR Equity Partners VI, L.P.</t>
  </si>
  <si>
    <t xml:space="preserve">LLR Equity Partners VI, L.P. </t>
  </si>
  <si>
    <t>Clearlake Flagship Plus Partners, L.P.</t>
  </si>
  <si>
    <t>FIGS, Inc.</t>
  </si>
  <si>
    <t>Direct - Internal</t>
  </si>
  <si>
    <t>Crown CG Private Equity Fund 2019, L.P.</t>
  </si>
  <si>
    <t>Polaris Capital Group Co Ltd</t>
  </si>
  <si>
    <t>Crown CG Private Equity Fund 2019S, L.P.</t>
  </si>
  <si>
    <t>Insight Opportunities Fund I, L.P.</t>
  </si>
  <si>
    <t>Honeydew Co-Invest, L.P.</t>
  </si>
  <si>
    <t>Valar Velocity Fund 2 LP</t>
  </si>
  <si>
    <t>Valar Ventures</t>
  </si>
  <si>
    <t>Greenoaks Capital Opportunities Fund III</t>
  </si>
  <si>
    <t>Greenoaks LLC</t>
  </si>
  <si>
    <t>Oak HC/FT Partners IV, L.P.</t>
  </si>
  <si>
    <t>Oak HC/FT</t>
  </si>
  <si>
    <t>Apax Digital II, L.P.</t>
  </si>
  <si>
    <t xml:space="preserve">Apax Digital II, L.P. </t>
  </si>
  <si>
    <t>Sante Health Ventures IV</t>
  </si>
  <si>
    <t xml:space="preserve">Sante Health Ventures IV </t>
  </si>
  <si>
    <t>Summit Partners Growth Equity Fund XI-A, L.P.</t>
  </si>
  <si>
    <t>Insight Partners XII, L.P.</t>
  </si>
  <si>
    <t>Incline Elevate Fund II, L.P.</t>
  </si>
  <si>
    <t>Insight Partners XII Buyout Annex Fund, L.P.</t>
  </si>
  <si>
    <t>Clearlake Capital Partners VII, L.P.</t>
  </si>
  <si>
    <t xml:space="preserve">Clearlake Capital Partners VII, L.P. </t>
  </si>
  <si>
    <t>Oak HC/FT Partners V, L.P.</t>
  </si>
  <si>
    <t>Hg Saturn 3 A L.P.</t>
  </si>
  <si>
    <t>Interactions Corporation</t>
  </si>
  <si>
    <t xml:space="preserve">Interactions Corporation </t>
  </si>
  <si>
    <t>Bryn Mawr Capital Management Inc</t>
  </si>
  <si>
    <t>TDR Capital V L.P.</t>
  </si>
  <si>
    <t>TDR Capital</t>
  </si>
  <si>
    <t>Incline Equity Partners VI, L.P.</t>
  </si>
  <si>
    <t>Insight Vision Capital II L.P.</t>
  </si>
  <si>
    <t>Greenoaks Capital Opportunities Fund V LP</t>
  </si>
  <si>
    <t xml:space="preserve">Greenoaks Capital Opportunities Fund V LP </t>
  </si>
  <si>
    <t>Clayton, Dubilier &amp; Rice Fund XII, L.P.</t>
  </si>
  <si>
    <t xml:space="preserve">Clayton, Dubilier &amp; Rice Fund XII, L.P. </t>
  </si>
  <si>
    <t>Clayton Dubilier &amp; Rice</t>
  </si>
  <si>
    <t>Clearlake Capital Partners VIII, L.P.</t>
  </si>
  <si>
    <t>OceanSound Partners Fund II, L.P.</t>
  </si>
  <si>
    <t xml:space="preserve">OceanSound Partners Fund II </t>
  </si>
  <si>
    <t>OceanSound Partners, LP</t>
  </si>
  <si>
    <t>North American Buyouts</t>
  </si>
  <si>
    <t>Gasherbrum Fund II, L.P.</t>
  </si>
  <si>
    <t>HS Group Sponsor Fund II</t>
  </si>
  <si>
    <t>HS Group (Hong Kong) Limited</t>
  </si>
  <si>
    <t>Multi-Strategy FoF</t>
  </si>
  <si>
    <t>LLR Equity Partners VII, L.P.</t>
  </si>
  <si>
    <t xml:space="preserve">LLR Equity Partners VII, L.P. </t>
  </si>
  <si>
    <t>Summit Partners Growth Equity Fund XII-A, L.P.</t>
  </si>
  <si>
    <t>New Mountain SRC Continuation Fund, L.P.</t>
  </si>
  <si>
    <t>Bain Capital Beacon Roll SPV XI, L.P.</t>
  </si>
  <si>
    <t>Bain Capital Beacon Roll SPV XII, L.P.</t>
  </si>
  <si>
    <t>New Mountain SRC Rollover Fund, L.P.</t>
  </si>
  <si>
    <t>K6 Private Investors, L.P.</t>
  </si>
  <si>
    <t>Stellex Capital Partners III, L.P.</t>
  </si>
  <si>
    <t>Stellex Capital Management LLC</t>
  </si>
  <si>
    <t>Stellex Capital III Co-Invest, L.P.</t>
  </si>
  <si>
    <t>Lindsay Goldberg VI, L.P.</t>
  </si>
  <si>
    <t>Hg Mercury 5 A, L.P.</t>
  </si>
  <si>
    <t>Hg Saturn 4 A, L.P.</t>
  </si>
  <si>
    <t>Hg Genesis 11 A, L.P.</t>
  </si>
  <si>
    <t>HGGC Hawk Fund II COV, L.P.</t>
  </si>
  <si>
    <t>HGGC Hawk Fund II COV, L.P</t>
  </si>
  <si>
    <t>HGGC Hawk Fund III COV, L.P.</t>
  </si>
  <si>
    <t>Oak HC/FT Partners VI, L.P.</t>
  </si>
  <si>
    <t>OceanSound Partners Fund III, L.P.</t>
  </si>
  <si>
    <t>HarbourVest Pencoyd Fund, L.P. - Tranche 2</t>
  </si>
  <si>
    <t>HarbourVest Pencoyd Fund L.P. - Tranche 2</t>
  </si>
  <si>
    <t>HarbourVest Pencoyd Fund, L.P. - Tranche 4</t>
  </si>
  <si>
    <t xml:space="preserve"> HarbourVest Pencoyd Fund L.P. - Tranche 4</t>
  </si>
  <si>
    <t>BPG Investment Partnership IV, L.P.</t>
  </si>
  <si>
    <t>Equus Capital Partners</t>
  </si>
  <si>
    <t>Real Estate Partnership</t>
  </si>
  <si>
    <t>LAI Strategic Realty Investors, L.P.</t>
  </si>
  <si>
    <t>Lazard Asset Management LLC</t>
  </si>
  <si>
    <t>LF Strategic Realty Investors II, L.P.</t>
  </si>
  <si>
    <t>Morgan Stanley Real Estate Fund II</t>
  </si>
  <si>
    <t>Morgan Stanley Real Estate II</t>
  </si>
  <si>
    <t>Westbrook Real Estate Fund I</t>
  </si>
  <si>
    <t>Westbrook Partners</t>
  </si>
  <si>
    <t>Whitehall Street III &amp; IV</t>
  </si>
  <si>
    <t>Goldman Sachs Asset Management</t>
  </si>
  <si>
    <t>Whitehall Street V &amp; VI</t>
  </si>
  <si>
    <t>Whitehall Street V-S &amp; VI-S</t>
  </si>
  <si>
    <t>Whitehall Street VII &amp; VIII</t>
  </si>
  <si>
    <t>Lubert-Adler Real Estate Fund II</t>
  </si>
  <si>
    <t>Lubert-Adler</t>
  </si>
  <si>
    <t>BPG Investment Partnership V, L.P.</t>
  </si>
  <si>
    <t>Peabody Global Real Estate Partners</t>
  </si>
  <si>
    <t xml:space="preserve">O'Connor Capital Partners </t>
  </si>
  <si>
    <t>DLJ Real Estate Partners II, L.P.</t>
  </si>
  <si>
    <t>Fortress Investment Fund LLC</t>
  </si>
  <si>
    <t>Fortress Investment Group LLC</t>
  </si>
  <si>
    <t>Stockbridge Real Estate Fund, L.P.</t>
  </si>
  <si>
    <t>William E Simon &amp; Sons</t>
  </si>
  <si>
    <t>Paladin Realty Partners LLC</t>
  </si>
  <si>
    <t>Lubert-Adler Real Estate Fund III</t>
  </si>
  <si>
    <t>Carlyle Realty Partners III, L.P.</t>
  </si>
  <si>
    <t>BPG/PSERS Co-Investment Fund</t>
  </si>
  <si>
    <t>Silverpeak Legacy/PSERS, L.P.</t>
  </si>
  <si>
    <t>Silverpeak Real Estate Partners LP</t>
  </si>
  <si>
    <t>North Haven Real Estate Fund IV Spec Intl</t>
  </si>
  <si>
    <t>North Haven Real Estate Fund IV Spec Dom</t>
  </si>
  <si>
    <t>BPG Investment Partnership VI, L.P.</t>
  </si>
  <si>
    <t>Centerline Diversified Risk CMBS Fund, LLC</t>
  </si>
  <si>
    <t>Island Investment Management LLC</t>
  </si>
  <si>
    <t>Legg Mason Real Estate Capital</t>
  </si>
  <si>
    <t>Strategic Partners Fund II RE, L.P.</t>
  </si>
  <si>
    <t>RE Secondaries Fund</t>
  </si>
  <si>
    <t>Lubert-Adler Real Estate Fund IV</t>
  </si>
  <si>
    <t>Hines U.S. Office Value Added Fund, L.P.</t>
  </si>
  <si>
    <t>Hines</t>
  </si>
  <si>
    <t>LCCG Diversified Risk CMBS Fund II, LLC</t>
  </si>
  <si>
    <t>O'Connor North American Property Partners, L.P.</t>
  </si>
  <si>
    <t>AvalonBay Value Added Fund, L.P.</t>
  </si>
  <si>
    <t>AvalonBay Communities Inc</t>
  </si>
  <si>
    <t>DLJ Real Estate Capital Partners III, L.P.</t>
  </si>
  <si>
    <t>Legg Mason Real Estate Capital II</t>
  </si>
  <si>
    <t>Strategic Partners Fund III RE, L.P.</t>
  </si>
  <si>
    <t>Carlyle Realty Partners IV, L.P.</t>
  </si>
  <si>
    <t>Silverpeak Legacy Pension Partners II, L.P.</t>
  </si>
  <si>
    <t>North Haven Real Estate Fund V Spec Intl</t>
  </si>
  <si>
    <t>ProLogis North American Industrial Fund, L.P.</t>
  </si>
  <si>
    <t>ProLogis Inc</t>
  </si>
  <si>
    <t>PRISA</t>
  </si>
  <si>
    <t>PGIM Real Estate</t>
  </si>
  <si>
    <t>Blackstone Real Estate Partners V, L.P.</t>
  </si>
  <si>
    <t>Strategic Partners Value Enhancement Fund LP</t>
  </si>
  <si>
    <t>LCCG R E Special Situations Mortgage Fund</t>
  </si>
  <si>
    <t>LCC R E Special Situations Mortgage Fund</t>
  </si>
  <si>
    <t>Fortress Investment Fund IV LP</t>
  </si>
  <si>
    <t>Lubert-Adler Real Estate Fund V</t>
  </si>
  <si>
    <t>UBS (US) Trumbull Property Fund, L.P.</t>
  </si>
  <si>
    <t>UBS Financial Services Inc</t>
  </si>
  <si>
    <t>LEM Real Estate Mezzanine Fund II, L.P.</t>
  </si>
  <si>
    <t>LEM Capital LP</t>
  </si>
  <si>
    <t>RREEF America REIT II, Inc.</t>
  </si>
  <si>
    <t>RREEF America LLC</t>
  </si>
  <si>
    <t>Stockbridge Real Estate Fund II, LP</t>
  </si>
  <si>
    <t>North Haven Real Estate Fund V U.S.</t>
  </si>
  <si>
    <t>Prime Property Fund LLC</t>
  </si>
  <si>
    <t>Morgan Stanley Prime Property Fund LLC</t>
  </si>
  <si>
    <t>Broadway Partners Real Estate Fund II, L.P.</t>
  </si>
  <si>
    <t>Broadway Partners</t>
  </si>
  <si>
    <t>Avenue Real Estate Fund (Parallel) L.P.</t>
  </si>
  <si>
    <t>Blackstone Real Estate Partners VI, L.P.</t>
  </si>
  <si>
    <t>Apollo Real Estate Finance Corp</t>
  </si>
  <si>
    <t>Value-Added Europe</t>
  </si>
  <si>
    <t>Carlyle Realty Partners V, L.P.</t>
  </si>
  <si>
    <t>Broadway Partners Real Estate Fund III, L.P.</t>
  </si>
  <si>
    <t>Madison Marquette Retail Enhancement Fund LP</t>
  </si>
  <si>
    <t>Madison Marquette</t>
  </si>
  <si>
    <t>RCG Longview Equity Fund, L.P.</t>
  </si>
  <si>
    <t>Fortress Investment Fund V (Fund A) L.P.</t>
  </si>
  <si>
    <t>Fortress Investment Fund V  L.P.</t>
  </si>
  <si>
    <t>North Haven Real Estate Fund VI Spec Intl</t>
  </si>
  <si>
    <t>Beacon Capital Strategic Partners V, L.P.</t>
  </si>
  <si>
    <t>Beacon Capital Partners</t>
  </si>
  <si>
    <t>JPMCB Strategic Property Fund</t>
  </si>
  <si>
    <t>JP Morgan Asset Management</t>
  </si>
  <si>
    <t>O'Connor North American Property Partners II L.P.</t>
  </si>
  <si>
    <t>LCCG High Yield CMBS Fund III, LLC</t>
  </si>
  <si>
    <t>Carlyle Europe Real Estate Partners III, L.P.</t>
  </si>
  <si>
    <t>Opportunistic Europe</t>
  </si>
  <si>
    <t>Cornerstone Patriot Fund, L.P.</t>
  </si>
  <si>
    <t>Barings LLC</t>
  </si>
  <si>
    <t>Almanac Realty Securities V, L.P.</t>
  </si>
  <si>
    <t>DLJ Real Estate Capital Partners IV, L.P.</t>
  </si>
  <si>
    <t>DRA Growth and Income Fund VI, L.P.</t>
  </si>
  <si>
    <t>C-III Capital Partners LLC</t>
  </si>
  <si>
    <t>Ares European Real Estate Fund III, L.P.</t>
  </si>
  <si>
    <t>Ares U.S. Real Estate Fund VII, L.P.</t>
  </si>
  <si>
    <t>Silverpeak Legacy Pension Partners III, L.P.</t>
  </si>
  <si>
    <t>Fillmore West Fund, L.P.</t>
  </si>
  <si>
    <t>Fillmore Capital Partners LLC</t>
  </si>
  <si>
    <t>BlackRock Europe Property Fund III, L.P.</t>
  </si>
  <si>
    <t>AREFIN Co-Invest Corporation</t>
  </si>
  <si>
    <t>Lubert-Adler Real Estate Fund VI</t>
  </si>
  <si>
    <t>Strategic Partners Fund IV RE, L.P.</t>
  </si>
  <si>
    <t>Stockbridge Real Estate Fund III, LP</t>
  </si>
  <si>
    <t>BlackRock Asia Property Fund III, L.P.</t>
  </si>
  <si>
    <t>Opportunistic Asia-Pacific</t>
  </si>
  <si>
    <t>Blackstone Real Estate Partners Europe III, L.P.</t>
  </si>
  <si>
    <t>RCG Longview Debt Fund IV, L.P.</t>
  </si>
  <si>
    <t>Paladin Realty Latin America Investors III, L.P.</t>
  </si>
  <si>
    <t>Opportunistic Latin America</t>
  </si>
  <si>
    <t>Cabot Industrial Value Fund III, L.P.</t>
  </si>
  <si>
    <t>Cabot Properties LP</t>
  </si>
  <si>
    <t>North Haven Real Estate Fund VII Global, L.P.</t>
  </si>
  <si>
    <t>AvalonBay Value Added Fund II, L.P.</t>
  </si>
  <si>
    <t>Stockbridge Real Estate Fund II - Senior Note</t>
  </si>
  <si>
    <t>DRA Growth and Income Fund VII, L.P.</t>
  </si>
  <si>
    <t>Blackstone Real Estate Partners VII, L.P.</t>
  </si>
  <si>
    <t>Carlyle Realty Partners VI, L.P.</t>
  </si>
  <si>
    <t>Almanac Realty Securities VI, L.P.</t>
  </si>
  <si>
    <t>Senior Housing Partnership Fund IV, L.P.</t>
  </si>
  <si>
    <t>AG Core Plus Realty Fund III, L.P.</t>
  </si>
  <si>
    <t>Exeter Industrial Value Fund II, L.P.</t>
  </si>
  <si>
    <t>Bell Institutional Fund IV, LLC</t>
  </si>
  <si>
    <t>Brookfield Strategic Real Estate Partners, L.P.</t>
  </si>
  <si>
    <t>Latitude Management Real Estate Capital III, Inc.</t>
  </si>
  <si>
    <t>RCG Longview Debt Fund V, L.P.</t>
  </si>
  <si>
    <t>Stockbridge RE Fund III Co-Investment</t>
  </si>
  <si>
    <t>LEM RE HY Debt &amp; Pfd Equity Fund III, L.P.</t>
  </si>
  <si>
    <t>Blackstone Real Estate Debt Strategies II, L.P.</t>
  </si>
  <si>
    <t>Cabot Industrial Value Fund IV, L.P.</t>
  </si>
  <si>
    <t>Paramount Group Real Estate Fund VII, L.P.</t>
  </si>
  <si>
    <t>Ares U.S. Real Estate Fund VIII, L.P.</t>
  </si>
  <si>
    <t>Bell Institutional Fund V, L.P.</t>
  </si>
  <si>
    <t>Exeter Industrial Value Fund III, L.P.</t>
  </si>
  <si>
    <t>DRA Growth and Income Fund VIII, LLC</t>
  </si>
  <si>
    <t>Blackstone Real Estate Partners Europe IV, L.P.</t>
  </si>
  <si>
    <t>Carlyle Realty Partners VII, L.P.</t>
  </si>
  <si>
    <t>Ares European Real Estate Fund IV, L.P.</t>
  </si>
  <si>
    <t>Almanac Realty Securities VII, L.P.</t>
  </si>
  <si>
    <t>AG Core Plus Realty Fund IV, L.P.</t>
  </si>
  <si>
    <t>Senior Housing Partnership Fund V, L.P.</t>
  </si>
  <si>
    <t>Cabot Industrial Core Fund, L.P.</t>
  </si>
  <si>
    <t>Blackstone Real Estate Partners VIII, L.P.</t>
  </si>
  <si>
    <t>LEM Multifamily Senior Equity Fund IV, L.P.</t>
  </si>
  <si>
    <t>Blackstone Real Estate Debt Strategies III, L.P.</t>
  </si>
  <si>
    <t>Exeter Core Industrial Club Fund II, L.P.</t>
  </si>
  <si>
    <t>Brookfield Strategic Real Estate Partners II, L.P.</t>
  </si>
  <si>
    <t>Pramerica Real Estate Capital VI, L.P.</t>
  </si>
  <si>
    <t>European CRE Lending</t>
  </si>
  <si>
    <t>DRA Growth and Income Fund IX, LLC</t>
  </si>
  <si>
    <t>Exeter Industrial Value Fund IV, L.P.</t>
  </si>
  <si>
    <t>Bell Institutional Fund VI, L.P.</t>
  </si>
  <si>
    <t>RCG Longview Debt Fund VI, L.P.</t>
  </si>
  <si>
    <t>Cabot Industrial Value Fund V, L.P.</t>
  </si>
  <si>
    <t>Carlyle Realty Partners VIII, L.P.</t>
  </si>
  <si>
    <t>Ares U.S. Real Estate Fund IX, L.P.</t>
  </si>
  <si>
    <t>AG Europe Realty Fund II, L.P.</t>
  </si>
  <si>
    <t>Almanac Realty Securities VIII, L.P.</t>
  </si>
  <si>
    <t>Cabot Industrial Core Fund II, L.P.</t>
  </si>
  <si>
    <t>LEM Multifamily Fund V, L.P.</t>
  </si>
  <si>
    <t>AG Realty Value Fund X, L.P.</t>
  </si>
  <si>
    <t>Brookfield Strategic Real Estate Partners III-B, L.P.</t>
  </si>
  <si>
    <t>Brookfield Strategic Real Estate Partners III, L.P.</t>
  </si>
  <si>
    <t>Exeter Industrial Core Fund III, L.P.</t>
  </si>
  <si>
    <t>Bell Institutional Fund VII, L.P.</t>
  </si>
  <si>
    <t>Cabot UK Core Plus Industrial Fund SCSp</t>
  </si>
  <si>
    <t>Core Europe</t>
  </si>
  <si>
    <t>DRA Growth and Income Fund X, LLC</t>
  </si>
  <si>
    <t>AG Europe Realty Fund III, L.P.</t>
  </si>
  <si>
    <t>Cabot Industrial Value Fund VI, L.P.</t>
  </si>
  <si>
    <t>Exeter Industrial Value Fund V, L.P.</t>
  </si>
  <si>
    <t>PGIM Real Estate Capital VII, SCSp</t>
  </si>
  <si>
    <t>Carlyle Realty Partners IX, L.P.</t>
  </si>
  <si>
    <t>Brookfield Strategic Real Estate Partners IV, L.P.</t>
  </si>
  <si>
    <t>LEM Multifamily Fund VI, L.P.</t>
  </si>
  <si>
    <t>EQT Exeter Industrial Core-Plus Fund IV, L.P.</t>
  </si>
  <si>
    <t>EQT Exeter Industrial Value Fund VI, LP</t>
  </si>
  <si>
    <t>Cabot Industrial Value Fund VII, L.P.</t>
  </si>
  <si>
    <t>DRA Growth and Income Master Fund XI, LLC</t>
  </si>
  <si>
    <t>Bell Value-Add Fund VIII, L.P.</t>
  </si>
  <si>
    <t>AG Europe Realty Fund IV, L.P.</t>
  </si>
  <si>
    <t>Brookfield Strategic Real Estate Partners V, L.P.</t>
  </si>
  <si>
    <t>Carlyle Realty Partners X, L.P.</t>
  </si>
  <si>
    <t>WCP NewCold III, L.P.</t>
  </si>
  <si>
    <t>Realterm Europe Logistics Fund II, SCSp</t>
  </si>
  <si>
    <t>Realterm Logistics Fund II, SCSp</t>
  </si>
  <si>
    <t>Realterm Transportation, LLC</t>
  </si>
  <si>
    <t>Graceada Partners Fund IV-QP, L.P.</t>
  </si>
  <si>
    <t xml:space="preserve">Graceada Partners </t>
  </si>
  <si>
    <t>Cabot Industrial Value Fund VIII, L.P.</t>
  </si>
  <si>
    <t>LEM Multifamily Fund VII, L.P.</t>
  </si>
  <si>
    <t>Brookfield MH Venture-P, L.P.</t>
  </si>
  <si>
    <t>DRA Growth and Income Fund XII, LLC</t>
  </si>
  <si>
    <t>Five North 5th Street</t>
  </si>
  <si>
    <t>Property Management, Inc.</t>
  </si>
  <si>
    <t>Direct Investment</t>
  </si>
  <si>
    <t>Direct Real Estate</t>
  </si>
  <si>
    <t>Atlanta Marriott</t>
  </si>
  <si>
    <t>PA Small Loans</t>
  </si>
  <si>
    <t>PSERS</t>
  </si>
  <si>
    <t>Rivercenter Mall</t>
  </si>
  <si>
    <t>L&amp;B Realty Advisors LLP</t>
  </si>
  <si>
    <t>Galleria at Ft Lauderdale, The</t>
  </si>
  <si>
    <t>The Galleria at Ft Lauderdale</t>
  </si>
  <si>
    <t>O'Connor Real Estate Advisors LLC</t>
  </si>
  <si>
    <t>Value Added North America</t>
  </si>
  <si>
    <t>Pocopson Road</t>
  </si>
  <si>
    <t>Direct - Liquidated Other</t>
  </si>
  <si>
    <t>Fees and Expenses</t>
  </si>
  <si>
    <t>812 Market Street</t>
  </si>
  <si>
    <t>Keystone Miramar LLC</t>
  </si>
  <si>
    <t>Keystone Parkland LLC</t>
  </si>
  <si>
    <t>Keystone Orlando LLC</t>
  </si>
  <si>
    <t>Keystone Milano LLC</t>
  </si>
  <si>
    <t>Camcorr, LLC</t>
  </si>
  <si>
    <t>GCM US Partnership Opportunities, L.P.</t>
  </si>
  <si>
    <t>Fund-of-One</t>
  </si>
  <si>
    <t>Bain Capital Credit Managed Account (PSERS), L.P.</t>
  </si>
  <si>
    <t>PSERS TAO Partners Parallel Fund, L.P. - (TAO 2.0)</t>
  </si>
  <si>
    <t>Park Square - PSERS Credit Opportunities Fund, L.P.</t>
  </si>
  <si>
    <t>Cerberus PSERS Levered Loan Opportunities Fund, L.P.</t>
  </si>
  <si>
    <t>PSERS TAO Partners Parallel Fund, L.P. - (TAO 3.0)</t>
  </si>
  <si>
    <t>LBC-P Credit Fund, L.P.</t>
  </si>
  <si>
    <t>PSERS TAO Partners Parallel Fund, L.P. - (TAO Contingent)</t>
  </si>
  <si>
    <t>Dawson Liquidity Partners (Independence), L.P.</t>
  </si>
  <si>
    <t>Dawson Partners (Independence), L.P.</t>
  </si>
  <si>
    <t>PSERS YES Holdings, L.P.</t>
  </si>
  <si>
    <t>PGIM Agricultural Separate Account</t>
  </si>
  <si>
    <t>Agriculture</t>
  </si>
  <si>
    <t>Interparking</t>
  </si>
  <si>
    <t>TPG Angelo Gordon</t>
  </si>
  <si>
    <t>Private Placement</t>
  </si>
  <si>
    <t>Security Capital Group</t>
  </si>
  <si>
    <t>Security Capital Research &amp; Management Incorporation</t>
  </si>
  <si>
    <t>Strategic Hotel Capital (Private)</t>
  </si>
  <si>
    <t>Security Capital Preferred Growth (Private)</t>
  </si>
  <si>
    <t>PSERS Private Credit Portfolio Expenses</t>
  </si>
  <si>
    <t>PSERS Private Equity Portfolio Expenses</t>
  </si>
  <si>
    <t>Private 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</si>
</sst>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#,##0;\(#,##0\);\-"/>
    <numFmt numFmtId="166" formatCode="0.0000000"/>
    <numFmt numFmtId="167" formatCode="dd\ mmm\ yyyy"/>
  </numFmts>
  <fonts count="12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E7E6E6"/>
      <name val="Calibri"/>
    </font>
    <font>
      <sz val="11.0"/>
      <color theme="1"/>
      <name val="Calibri"/>
    </font>
    <font>
      <b/>
      <sz val="11.0"/>
      <color rgb="FF104130"/>
      <name val="Arial"/>
    </font>
    <font>
      <i/>
      <sz val="11.0"/>
      <color theme="1"/>
      <name val="Calibri"/>
    </font>
    <font>
      <b/>
      <sz val="10.0"/>
      <color rgb="FFFFFFFF"/>
      <name val="Arial"/>
    </font>
    <font>
      <b/>
      <sz val="10.0"/>
      <color theme="1"/>
      <name val="Arial"/>
    </font>
    <font>
      <b/>
      <sz val="10.0"/>
      <color rgb="FF0000FF"/>
      <name val="Arial"/>
    </font>
    <font>
      <sz val="9.0"/>
      <color rgb="FF787878"/>
      <name val="Arial"/>
    </font>
    <font>
      <b/>
      <sz val="10.0"/>
      <color rgb="FF104130"/>
      <name val="Arial"/>
    </font>
    <font>
      <i/>
      <sz val="9.0"/>
      <color rgb="FF78787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104130"/>
        <bgColor rgb="FF104130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Alignment="1" applyFont="1">
      <alignment horizontal="left"/>
    </xf>
    <xf borderId="0" fillId="0" fontId="3" numFmtId="4" xfId="0" applyFont="1" applyNumberFormat="1"/>
    <xf borderId="1" fillId="2" fontId="2" numFmtId="0" xfId="0" applyAlignment="1" applyBorder="1" applyFill="1" applyFont="1">
      <alignment readingOrder="0"/>
    </xf>
    <xf borderId="0" fillId="0" fontId="3" numFmtId="0" xfId="0" applyAlignment="1" applyFont="1">
      <alignment horizontal="center"/>
    </xf>
    <xf borderId="0" fillId="0" fontId="3" numFmtId="3" xfId="0" applyFont="1" applyNumberFormat="1"/>
    <xf borderId="0" fillId="0" fontId="3" numFmtId="164" xfId="0" applyFont="1" applyNumberFormat="1"/>
    <xf borderId="0" fillId="0" fontId="4" numFmtId="0" xfId="0" applyFont="1"/>
    <xf borderId="0" fillId="0" fontId="3" numFmtId="165" xfId="0" applyFont="1" applyNumberFormat="1"/>
    <xf borderId="0" fillId="0" fontId="5" numFmtId="0" xfId="0" applyAlignment="1" applyFont="1">
      <alignment horizontal="center"/>
    </xf>
    <xf borderId="2" fillId="3" fontId="6" numFmtId="0" xfId="0" applyAlignment="1" applyBorder="1" applyFill="1" applyFont="1">
      <alignment horizontal="center"/>
    </xf>
    <xf borderId="2" fillId="0" fontId="7" numFmtId="0" xfId="0" applyBorder="1" applyFont="1"/>
    <xf borderId="2" fillId="4" fontId="8" numFmtId="166" xfId="0" applyBorder="1" applyFill="1" applyFont="1" applyNumberFormat="1"/>
    <xf borderId="2" fillId="0" fontId="9" numFmtId="0" xfId="0" applyBorder="1" applyFont="1"/>
    <xf borderId="0" fillId="0" fontId="7" numFmtId="0" xfId="0" applyFont="1"/>
    <xf borderId="2" fillId="4" fontId="8" numFmtId="167" xfId="0" applyBorder="1" applyFill="1" applyFont="1" applyNumberFormat="1"/>
    <xf borderId="2" fillId="0" fontId="10" numFmtId="0" xfId="0" applyBorder="1" applyFont="1"/>
    <xf borderId="0" fillId="0" fontId="11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53.86"/>
    <col customWidth="1" min="2" max="2" width="26.14"/>
    <col customWidth="1" min="3" max="3" width="28.71"/>
    <col customWidth="1" min="4" max="4" width="30.0"/>
    <col customWidth="1" min="5" max="5" width="25.14"/>
    <col customWidth="1" min="6" max="6" width="35.86"/>
    <col customWidth="1" min="7" max="26" width="8.71"/>
  </cols>
  <sheetData>
    <row r="1" ht="15.0" customHeight="1">
      <c r="A1" s="1" t="s">
        <v>0</v>
      </c>
      <c r="B1" s="1" t="s">
        <v>1</v>
      </c>
    </row>
    <row r="3" ht="15.0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7</v>
      </c>
      <c r="F3" s="1" t="s">
        <v>8</v>
      </c>
    </row>
    <row r="4" ht="15.0" customHeight="1">
      <c r="A4" s="3" t="s">
        <v>9</v>
      </c>
      <c r="B4" s="4">
        <v>3.922704472E9</v>
      </c>
      <c r="C4" s="4">
        <v>3.09463131679E9</v>
      </c>
      <c r="D4" s="4">
        <v>8.802080234E8</v>
      </c>
      <c r="E4" s="4">
        <v>2.72160140948E9</v>
      </c>
      <c r="F4" s="4">
        <v>1.44323644446E9</v>
      </c>
    </row>
    <row r="5" ht="15.0" customHeight="1">
      <c r="A5" s="3">
        <v>2016.0</v>
      </c>
      <c r="B5" s="4">
        <v>1.0E8</v>
      </c>
      <c r="C5" s="4">
        <v>2.3405457E7</v>
      </c>
      <c r="D5" s="4">
        <v>1.4943005641E8</v>
      </c>
      <c r="E5" s="4">
        <v>1.1029036522E8</v>
      </c>
      <c r="F5" s="4">
        <v>6945279.94</v>
      </c>
    </row>
    <row r="6" ht="15.0" customHeight="1">
      <c r="A6" s="3">
        <v>2017.0</v>
      </c>
      <c r="B6" s="4">
        <v>3.0E8</v>
      </c>
      <c r="C6" s="4">
        <v>1.7224581E8</v>
      </c>
      <c r="D6" s="4">
        <v>2.9983773104E8</v>
      </c>
      <c r="E6" s="4">
        <v>3.0424893177E8</v>
      </c>
      <c r="F6" s="4">
        <v>8.61680351E7</v>
      </c>
    </row>
    <row r="7" ht="15.0" customHeight="1">
      <c r="A7" s="3" t="s">
        <v>16</v>
      </c>
      <c r="B7" s="4">
        <v>1.0E8</v>
      </c>
      <c r="C7" s="4">
        <v>2.9036643E7</v>
      </c>
      <c r="D7" s="4">
        <v>1.43197428E8</v>
      </c>
      <c r="E7" s="4">
        <v>1.2843667336E8</v>
      </c>
      <c r="F7" s="4">
        <v>683268.75</v>
      </c>
    </row>
    <row r="8" ht="15.0" customHeight="1">
      <c r="A8" s="3" t="s">
        <v>17</v>
      </c>
      <c r="B8" s="4">
        <v>2.0E8</v>
      </c>
      <c r="C8" s="4">
        <v>1.43209167E8</v>
      </c>
      <c r="D8" s="4">
        <v>1.5664030304E8</v>
      </c>
      <c r="E8" s="4">
        <v>1.7581225841E8</v>
      </c>
      <c r="F8" s="4">
        <v>8.548476635E7</v>
      </c>
    </row>
    <row r="9" ht="15.0" customHeight="1">
      <c r="A9" s="3">
        <v>2018.0</v>
      </c>
      <c r="B9" s="4">
        <v>5.0E8</v>
      </c>
      <c r="C9" s="4">
        <v>8.68340223E8</v>
      </c>
      <c r="D9" s="4">
        <v>2.6885131226E8</v>
      </c>
      <c r="E9" s="4">
        <v>5.2841116116E8</v>
      </c>
      <c r="F9" s="4">
        <v>0.0</v>
      </c>
    </row>
    <row r="10" ht="15.0" customHeight="1">
      <c r="A10" s="3" t="s">
        <v>22</v>
      </c>
      <c r="B10" s="4">
        <v>5.0E8</v>
      </c>
      <c r="C10" s="4">
        <v>8.68340223E8</v>
      </c>
      <c r="D10" s="4">
        <v>2.6885131226E8</v>
      </c>
      <c r="E10" s="4">
        <v>5.2841116116E8</v>
      </c>
      <c r="F10" s="4">
        <v>0.0</v>
      </c>
    </row>
    <row r="11" ht="15.0" customHeight="1">
      <c r="A11" s="3">
        <v>2020.0</v>
      </c>
      <c r="B11" s="4">
        <v>4.0E8</v>
      </c>
      <c r="C11" s="4">
        <v>4.08155535E8</v>
      </c>
      <c r="D11" s="4">
        <v>2.7630648E7</v>
      </c>
      <c r="E11" s="4">
        <v>3.51483705E8</v>
      </c>
      <c r="F11" s="4">
        <v>7.6097997E7</v>
      </c>
    </row>
    <row r="12" ht="15.0" customHeight="1">
      <c r="A12" s="3">
        <v>2021.0</v>
      </c>
      <c r="B12" s="4">
        <v>3.0E8</v>
      </c>
      <c r="C12" s="4">
        <v>2.54960901E8</v>
      </c>
      <c r="D12" s="4">
        <v>2.692471164E7</v>
      </c>
      <c r="E12" s="4">
        <v>2.1759987935E8</v>
      </c>
      <c r="F12" s="4">
        <v>1.093575803E8</v>
      </c>
    </row>
    <row r="13" ht="15.0" customHeight="1">
      <c r="A13" s="3">
        <v>2022.0</v>
      </c>
      <c r="B13" s="4">
        <v>7.72704472E8</v>
      </c>
      <c r="C13" s="4">
        <v>6.12458207E8</v>
      </c>
      <c r="D13" s="4">
        <v>7.598861755E7</v>
      </c>
      <c r="E13" s="4">
        <v>5.0671886287E8</v>
      </c>
      <c r="F13" s="4">
        <v>2.9281027929E8</v>
      </c>
    </row>
    <row r="14" ht="15.0" customHeight="1">
      <c r="A14" s="3">
        <v>2023.0</v>
      </c>
      <c r="B14" s="4">
        <v>3.0E8</v>
      </c>
      <c r="C14" s="4">
        <v>2.3964964979E8</v>
      </c>
      <c r="D14" s="4">
        <v>2.480682935E7</v>
      </c>
      <c r="E14" s="4">
        <v>2.1865391635E8</v>
      </c>
      <c r="F14" s="4">
        <v>1.06858229E8</v>
      </c>
    </row>
    <row r="15" ht="15.0" customHeight="1">
      <c r="A15" s="3">
        <v>2024.0</v>
      </c>
      <c r="B15" s="4">
        <v>7.5E8</v>
      </c>
      <c r="C15" s="4">
        <v>5.0757981E8</v>
      </c>
      <c r="D15" s="4">
        <v>6738117.15</v>
      </c>
      <c r="E15" s="4">
        <v>4.6968346005E8</v>
      </c>
      <c r="F15" s="4">
        <v>2.7955521312E8</v>
      </c>
    </row>
    <row r="16" ht="15.0" customHeight="1">
      <c r="A16" s="3">
        <v>2025.0</v>
      </c>
      <c r="B16" s="4">
        <v>3.0E8</v>
      </c>
      <c r="C16" s="4">
        <v>7835724.0</v>
      </c>
      <c r="D16" s="4">
        <v>0.0</v>
      </c>
      <c r="E16" s="4">
        <v>1.451112771E7</v>
      </c>
      <c r="F16" s="4">
        <v>2.8544383071E8</v>
      </c>
    </row>
    <row r="17" ht="15.0" customHeight="1">
      <c r="A17" s="3">
        <v>2026.0</v>
      </c>
      <c r="B17" s="4">
        <v>2.0E8</v>
      </c>
      <c r="C17" s="4"/>
      <c r="D17" s="4">
        <v>0.0</v>
      </c>
      <c r="E17" s="4">
        <v>0.0</v>
      </c>
      <c r="F17" s="4">
        <v>2.0E8</v>
      </c>
    </row>
    <row r="18" ht="15.0" customHeight="1">
      <c r="A18" s="3" t="s">
        <v>39</v>
      </c>
      <c r="B18" s="4">
        <v>1.6260505614E10</v>
      </c>
      <c r="C18" s="4">
        <v>5.38758502651E9</v>
      </c>
      <c r="D18" s="4">
        <v>1.6570419572551E10</v>
      </c>
      <c r="E18" s="4">
        <v>1.629075734238E10</v>
      </c>
      <c r="F18" s="4">
        <v>3.861381441801E9</v>
      </c>
    </row>
    <row r="19" ht="15.0" customHeight="1">
      <c r="A19" s="3" t="s">
        <v>43</v>
      </c>
      <c r="B19" s="4">
        <v>4.728878063637E10</v>
      </c>
      <c r="C19" s="4">
        <v>1.80014022118199E10</v>
      </c>
      <c r="D19" s="4">
        <v>5.72656053067865E10</v>
      </c>
      <c r="E19" s="4">
        <v>4.57721847605731E10</v>
      </c>
      <c r="F19" s="4">
        <v>3.5730214012976E9</v>
      </c>
    </row>
    <row r="20" ht="15.0" customHeight="1">
      <c r="A20" s="3" t="s">
        <v>44</v>
      </c>
      <c r="B20" s="4">
        <v>2.50359739704E10</v>
      </c>
      <c r="C20" s="4">
        <v>5.50383363656E9</v>
      </c>
      <c r="D20" s="4">
        <v>2.91965520779452E10</v>
      </c>
      <c r="E20" s="4">
        <v>2.34641429866678E10</v>
      </c>
      <c r="F20" s="4">
        <v>2.2048007596154E9</v>
      </c>
    </row>
    <row r="21" ht="15.0" customHeight="1">
      <c r="A21" s="3" t="s">
        <v>46</v>
      </c>
      <c r="B21" s="4">
        <v>9.250796469277E10</v>
      </c>
      <c r="C21" s="4">
        <v>3.19874521916799E10</v>
      </c>
      <c r="D21" s="4">
        <v>1.03912784980683E11</v>
      </c>
      <c r="E21" s="4">
        <v>8.82486864991009E10</v>
      </c>
      <c r="F21" s="4">
        <v>1.1082440047174E10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1.57"/>
    <col customWidth="1" min="2" max="2" width="4.71"/>
    <col customWidth="1" min="3" max="3" width="27.0"/>
    <col customWidth="1" min="4" max="4" width="25.0"/>
    <col customWidth="1" min="5" max="5" width="22.0"/>
    <col customWidth="1" min="6" max="6" width="25.0"/>
    <col customWidth="1" min="7" max="7" width="22.0"/>
    <col customWidth="1" min="8" max="8" width="11.29"/>
    <col customWidth="1" min="9" max="9" width="11.0"/>
    <col customWidth="1" min="10" max="10" width="14.0"/>
    <col customWidth="1" min="11" max="11" width="12.0"/>
    <col customWidth="1" min="12" max="12" width="14.0"/>
    <col customWidth="1" min="13" max="14" width="28.0"/>
    <col customWidth="1" min="15" max="15" width="14.0"/>
    <col customWidth="1" min="16" max="16" width="18.0"/>
    <col customWidth="1" min="17" max="17" width="19.0"/>
    <col customWidth="1" min="18" max="18" width="13.0"/>
    <col customWidth="1" min="19" max="26" width="11.43"/>
  </cols>
  <sheetData>
    <row r="2" ht="15.0" customHeight="1">
      <c r="B2" s="2" t="s">
        <v>6</v>
      </c>
      <c r="C2" s="2" t="s">
        <v>10</v>
      </c>
      <c r="D2" s="2" t="s">
        <v>13</v>
      </c>
      <c r="E2" s="2" t="s">
        <v>14</v>
      </c>
      <c r="F2" s="2" t="s">
        <v>15</v>
      </c>
      <c r="G2" s="2" t="s">
        <v>0</v>
      </c>
      <c r="H2" s="2" t="s">
        <v>19</v>
      </c>
      <c r="I2" s="2" t="s">
        <v>18</v>
      </c>
      <c r="J2" s="2" t="s">
        <v>20</v>
      </c>
      <c r="K2" s="2" t="s">
        <v>21</v>
      </c>
      <c r="L2" s="2" t="s">
        <v>23</v>
      </c>
      <c r="M2" s="2" t="s">
        <v>24</v>
      </c>
      <c r="N2" s="2" t="s">
        <v>26</v>
      </c>
      <c r="O2" s="2" t="s">
        <v>28</v>
      </c>
      <c r="P2" s="2" t="s">
        <v>30</v>
      </c>
      <c r="Q2" s="2" t="s">
        <v>32</v>
      </c>
      <c r="R2" s="2" t="s">
        <v>34</v>
      </c>
      <c r="S2" s="2" t="s">
        <v>35</v>
      </c>
    </row>
    <row r="3" ht="15.0" hidden="1" customHeight="1">
      <c r="B3" s="6">
        <v>1.0</v>
      </c>
      <c r="C3" s="1" t="s">
        <v>36</v>
      </c>
      <c r="D3" s="1" t="s">
        <v>9</v>
      </c>
      <c r="E3" s="1" t="s">
        <v>36</v>
      </c>
      <c r="F3" s="1" t="s">
        <v>37</v>
      </c>
      <c r="G3" s="1" t="s">
        <v>38</v>
      </c>
      <c r="H3" s="6">
        <v>2018.0</v>
      </c>
      <c r="I3" s="1" t="s">
        <v>40</v>
      </c>
      <c r="J3" s="1" t="s">
        <v>41</v>
      </c>
      <c r="K3" s="1" t="s">
        <v>42</v>
      </c>
      <c r="M3" s="7">
        <v>6.6971032E7</v>
      </c>
      <c r="N3" s="7">
        <v>4.8480755E7</v>
      </c>
      <c r="O3" s="8">
        <v>46112.0</v>
      </c>
      <c r="P3" s="7">
        <v>4860952.59</v>
      </c>
      <c r="Q3" s="7">
        <v>2.41358237E7</v>
      </c>
      <c r="R3" s="7">
        <v>4.293944436E7</v>
      </c>
      <c r="S3" s="1" t="s">
        <v>45</v>
      </c>
    </row>
    <row r="4" ht="15.0" customHeight="1">
      <c r="B4" s="6">
        <f t="shared" ref="B4:B746" si="1">B3+1</f>
        <v>2</v>
      </c>
      <c r="C4" s="1" t="s">
        <v>49</v>
      </c>
      <c r="D4" s="1" t="s">
        <v>9</v>
      </c>
      <c r="E4" s="1" t="s">
        <v>49</v>
      </c>
      <c r="F4" s="1" t="s">
        <v>50</v>
      </c>
      <c r="G4" s="1" t="s">
        <v>38</v>
      </c>
      <c r="H4" s="6">
        <v>2021.0</v>
      </c>
      <c r="I4" s="1" t="s">
        <v>40</v>
      </c>
      <c r="J4" s="1" t="s">
        <v>41</v>
      </c>
      <c r="K4" s="1" t="s">
        <v>51</v>
      </c>
      <c r="M4" s="7">
        <v>5.0E7</v>
      </c>
      <c r="N4" s="7">
        <v>6.089691E7</v>
      </c>
      <c r="O4" s="8">
        <v>46112.0</v>
      </c>
      <c r="P4" s="7">
        <v>0.0</v>
      </c>
      <c r="Q4" s="7">
        <v>4.2972319E7</v>
      </c>
      <c r="R4" s="7">
        <v>7047934.0</v>
      </c>
      <c r="S4" s="1" t="s">
        <v>52</v>
      </c>
    </row>
    <row r="5" ht="15.0" customHeight="1">
      <c r="B5" s="6">
        <f t="shared" si="1"/>
        <v>3</v>
      </c>
      <c r="C5" s="1" t="s">
        <v>53</v>
      </c>
      <c r="D5" s="1" t="s">
        <v>9</v>
      </c>
      <c r="E5" s="1" t="s">
        <v>53</v>
      </c>
      <c r="F5" s="1" t="s">
        <v>37</v>
      </c>
      <c r="G5" s="1" t="s">
        <v>38</v>
      </c>
      <c r="H5" s="6">
        <v>2020.0</v>
      </c>
      <c r="I5" s="1" t="s">
        <v>40</v>
      </c>
      <c r="J5" s="1" t="s">
        <v>54</v>
      </c>
      <c r="K5" s="1" t="s">
        <v>55</v>
      </c>
      <c r="M5" s="7">
        <v>5.0E8</v>
      </c>
      <c r="N5" s="7">
        <v>4.31664361E8</v>
      </c>
      <c r="O5" s="8">
        <v>46112.0</v>
      </c>
      <c r="P5" s="7">
        <v>5.903880623E7</v>
      </c>
      <c r="Q5" s="7">
        <v>2.3137237931E8</v>
      </c>
      <c r="R5" s="7">
        <v>3.2921282078E8</v>
      </c>
      <c r="S5" s="1" t="s">
        <v>52</v>
      </c>
    </row>
    <row r="6" ht="15.0" customHeight="1">
      <c r="B6" s="6">
        <f t="shared" si="1"/>
        <v>4</v>
      </c>
      <c r="C6" s="1" t="s">
        <v>56</v>
      </c>
      <c r="D6" s="1" t="s">
        <v>9</v>
      </c>
      <c r="E6" s="1" t="s">
        <v>56</v>
      </c>
      <c r="F6" s="1" t="s">
        <v>50</v>
      </c>
      <c r="G6" s="1" t="s">
        <v>38</v>
      </c>
      <c r="H6" s="6">
        <v>2021.0</v>
      </c>
      <c r="I6" s="1" t="s">
        <v>40</v>
      </c>
      <c r="J6" s="1" t="s">
        <v>41</v>
      </c>
      <c r="K6" s="1" t="s">
        <v>51</v>
      </c>
      <c r="M6" s="7">
        <v>2.5E7</v>
      </c>
      <c r="N6" s="7">
        <v>3.6122927E7</v>
      </c>
      <c r="O6" s="8">
        <v>46112.0</v>
      </c>
      <c r="P6" s="7">
        <v>0.0</v>
      </c>
      <c r="Q6" s="7">
        <v>2.4431341E7</v>
      </c>
      <c r="R6" s="7">
        <v>615318.0</v>
      </c>
      <c r="S6" s="1" t="s">
        <v>52</v>
      </c>
    </row>
    <row r="7" ht="15.0" customHeight="1">
      <c r="B7" s="6">
        <f t="shared" si="1"/>
        <v>5</v>
      </c>
      <c r="C7" s="1" t="s">
        <v>57</v>
      </c>
      <c r="D7" s="1" t="s">
        <v>9</v>
      </c>
      <c r="E7" s="1" t="s">
        <v>57</v>
      </c>
      <c r="F7" s="1" t="s">
        <v>50</v>
      </c>
      <c r="G7" s="1" t="s">
        <v>38</v>
      </c>
      <c r="H7" s="6">
        <v>2023.0</v>
      </c>
      <c r="I7" s="1" t="s">
        <v>40</v>
      </c>
      <c r="J7" s="1" t="s">
        <v>41</v>
      </c>
      <c r="K7" s="1" t="s">
        <v>58</v>
      </c>
      <c r="M7" s="7">
        <v>7.1922172E7</v>
      </c>
      <c r="N7" s="7">
        <v>1.15138612E8</v>
      </c>
      <c r="O7" s="8">
        <v>46112.0</v>
      </c>
      <c r="P7" s="7">
        <v>1.3653425E7</v>
      </c>
      <c r="Q7" s="7">
        <v>6.9692249E7</v>
      </c>
      <c r="R7" s="7">
        <v>2654504.0</v>
      </c>
      <c r="S7" s="1" t="s">
        <v>52</v>
      </c>
    </row>
    <row r="8" ht="15.0" customHeight="1">
      <c r="B8" s="6">
        <f t="shared" si="1"/>
        <v>6</v>
      </c>
      <c r="C8" s="1" t="s">
        <v>59</v>
      </c>
      <c r="D8" s="1" t="s">
        <v>9</v>
      </c>
      <c r="E8" s="1" t="s">
        <v>60</v>
      </c>
      <c r="F8" s="1" t="s">
        <v>61</v>
      </c>
      <c r="G8" s="1" t="s">
        <v>38</v>
      </c>
      <c r="H8" s="6">
        <v>2023.0</v>
      </c>
      <c r="I8" s="1" t="s">
        <v>40</v>
      </c>
      <c r="J8" s="1" t="s">
        <v>62</v>
      </c>
      <c r="K8" s="1" t="s">
        <v>55</v>
      </c>
      <c r="M8" s="7">
        <v>2.5E8</v>
      </c>
      <c r="N8" s="7">
        <v>7.344434276E7</v>
      </c>
      <c r="O8" s="8">
        <v>46112.0</v>
      </c>
      <c r="P8" s="7">
        <v>0.0</v>
      </c>
      <c r="Q8" s="7">
        <v>4.726144198E7</v>
      </c>
      <c r="R8" s="7">
        <v>2.046856279E8</v>
      </c>
      <c r="S8" s="1" t="s">
        <v>52</v>
      </c>
    </row>
    <row r="9" ht="15.0" customHeight="1">
      <c r="B9" s="6">
        <f t="shared" si="1"/>
        <v>7</v>
      </c>
      <c r="C9" s="1" t="s">
        <v>63</v>
      </c>
      <c r="D9" s="1" t="s">
        <v>9</v>
      </c>
      <c r="E9" s="1" t="s">
        <v>63</v>
      </c>
      <c r="F9" s="1" t="s">
        <v>64</v>
      </c>
      <c r="G9" s="1" t="s">
        <v>38</v>
      </c>
      <c r="H9" s="6">
        <v>2023.0</v>
      </c>
      <c r="I9" s="1" t="s">
        <v>40</v>
      </c>
      <c r="J9" s="1" t="s">
        <v>41</v>
      </c>
      <c r="K9" s="1" t="s">
        <v>55</v>
      </c>
      <c r="M9" s="7">
        <v>5.0E7</v>
      </c>
      <c r="N9" s="7">
        <v>1.13941409E8</v>
      </c>
      <c r="O9" s="8">
        <v>46112.0</v>
      </c>
      <c r="P9" s="7">
        <v>6373617.07</v>
      </c>
      <c r="Q9" s="7">
        <v>5.004531816E7</v>
      </c>
      <c r="R9" s="7">
        <v>75070.02</v>
      </c>
      <c r="S9" s="1" t="s">
        <v>52</v>
      </c>
    </row>
    <row r="10" ht="15.0" hidden="1" customHeight="1">
      <c r="B10" s="6">
        <f t="shared" si="1"/>
        <v>8</v>
      </c>
      <c r="C10" s="1" t="s">
        <v>65</v>
      </c>
      <c r="D10" s="1" t="s">
        <v>9</v>
      </c>
      <c r="E10" s="1" t="s">
        <v>65</v>
      </c>
      <c r="F10" s="1" t="s">
        <v>66</v>
      </c>
      <c r="G10" s="1" t="s">
        <v>38</v>
      </c>
      <c r="H10" s="6">
        <v>2024.0</v>
      </c>
      <c r="I10" s="1" t="s">
        <v>40</v>
      </c>
      <c r="J10" s="1" t="s">
        <v>41</v>
      </c>
      <c r="K10" s="1" t="s">
        <v>55</v>
      </c>
      <c r="M10" s="7">
        <v>2.0E8</v>
      </c>
      <c r="N10" s="7">
        <v>7.4259803E7</v>
      </c>
      <c r="O10" s="8">
        <v>46112.0</v>
      </c>
      <c r="P10" s="7">
        <v>1437286.47</v>
      </c>
      <c r="Q10" s="7">
        <v>6.386449826E7</v>
      </c>
      <c r="R10" s="7">
        <v>1.3634115783E8</v>
      </c>
      <c r="S10" s="1" t="s">
        <v>45</v>
      </c>
    </row>
    <row r="11" ht="15.0" customHeight="1">
      <c r="B11" s="6">
        <f t="shared" si="1"/>
        <v>9</v>
      </c>
      <c r="C11" s="1" t="s">
        <v>67</v>
      </c>
      <c r="D11" s="1" t="s">
        <v>9</v>
      </c>
      <c r="E11" s="1" t="s">
        <v>67</v>
      </c>
      <c r="F11" s="1" t="s">
        <v>68</v>
      </c>
      <c r="G11" s="1" t="s">
        <v>38</v>
      </c>
      <c r="H11" s="6">
        <v>2024.0</v>
      </c>
      <c r="I11" s="1" t="s">
        <v>40</v>
      </c>
      <c r="J11" s="1" t="s">
        <v>54</v>
      </c>
      <c r="K11" s="1" t="s">
        <v>55</v>
      </c>
      <c r="M11" s="7">
        <v>2.5E7</v>
      </c>
      <c r="N11" s="7">
        <v>2.500016146E7</v>
      </c>
      <c r="O11" s="8">
        <v>46112.0</v>
      </c>
      <c r="P11" s="7">
        <v>0.0</v>
      </c>
      <c r="Q11" s="7">
        <v>2.5323073E7</v>
      </c>
      <c r="R11" s="7">
        <v>0.0</v>
      </c>
      <c r="S11" s="1" t="s">
        <v>52</v>
      </c>
    </row>
    <row r="12" ht="15.0" customHeight="1">
      <c r="B12" s="6">
        <f t="shared" si="1"/>
        <v>10</v>
      </c>
      <c r="C12" s="1" t="s">
        <v>69</v>
      </c>
      <c r="D12" s="1" t="s">
        <v>9</v>
      </c>
      <c r="E12" s="1" t="s">
        <v>70</v>
      </c>
      <c r="F12" s="1" t="s">
        <v>64</v>
      </c>
      <c r="G12" s="1" t="s">
        <v>38</v>
      </c>
      <c r="H12" s="6">
        <v>2025.0</v>
      </c>
      <c r="I12" s="1" t="s">
        <v>40</v>
      </c>
      <c r="J12" s="1" t="s">
        <v>41</v>
      </c>
      <c r="K12" s="1" t="s">
        <v>71</v>
      </c>
      <c r="M12" s="7">
        <v>2.0E7</v>
      </c>
      <c r="N12" s="7">
        <v>2.363846E7</v>
      </c>
      <c r="O12" s="8">
        <v>46112.0</v>
      </c>
      <c r="P12" s="7">
        <v>0.0</v>
      </c>
      <c r="Q12" s="7">
        <v>2.198989114E7</v>
      </c>
      <c r="R12" s="7">
        <v>0.0</v>
      </c>
      <c r="S12" s="1" t="s">
        <v>52</v>
      </c>
    </row>
    <row r="13" ht="15.0" customHeight="1">
      <c r="B13" s="6">
        <f t="shared" si="1"/>
        <v>11</v>
      </c>
      <c r="C13" s="1" t="s">
        <v>72</v>
      </c>
      <c r="D13" s="1" t="s">
        <v>9</v>
      </c>
      <c r="E13" s="1" t="s">
        <v>73</v>
      </c>
      <c r="F13" s="1" t="s">
        <v>64</v>
      </c>
      <c r="G13" s="1" t="s">
        <v>38</v>
      </c>
      <c r="H13" s="6">
        <v>2025.0</v>
      </c>
      <c r="I13" s="1" t="s">
        <v>40</v>
      </c>
      <c r="J13" s="1" t="s">
        <v>41</v>
      </c>
      <c r="K13" s="1" t="s">
        <v>71</v>
      </c>
      <c r="M13" s="7">
        <v>2.0E7</v>
      </c>
      <c r="N13" s="7">
        <v>2.2406011E7</v>
      </c>
      <c r="O13" s="8">
        <v>46112.0</v>
      </c>
      <c r="P13" s="7">
        <v>0.0</v>
      </c>
      <c r="Q13" s="7">
        <v>2.072961247E7</v>
      </c>
      <c r="R13" s="7">
        <v>0.0</v>
      </c>
      <c r="S13" s="1" t="s">
        <v>52</v>
      </c>
    </row>
    <row r="14" ht="15.0" customHeight="1">
      <c r="B14" s="6">
        <f t="shared" si="1"/>
        <v>12</v>
      </c>
      <c r="C14" s="1" t="s">
        <v>77</v>
      </c>
      <c r="D14" s="1" t="s">
        <v>9</v>
      </c>
      <c r="E14" s="1" t="s">
        <v>77</v>
      </c>
      <c r="F14" s="1" t="s">
        <v>78</v>
      </c>
      <c r="G14" s="1" t="s">
        <v>38</v>
      </c>
      <c r="H14" s="6">
        <v>2015.0</v>
      </c>
      <c r="I14" s="1" t="s">
        <v>40</v>
      </c>
      <c r="J14" s="1" t="s">
        <v>62</v>
      </c>
      <c r="K14" s="1" t="s">
        <v>55</v>
      </c>
      <c r="M14" s="7">
        <v>3.0E7</v>
      </c>
      <c r="N14" s="7"/>
      <c r="O14" s="8"/>
      <c r="P14" s="7">
        <v>0.0</v>
      </c>
      <c r="Q14" s="7">
        <v>3197708.0</v>
      </c>
      <c r="R14" s="7">
        <v>2.7248782E7</v>
      </c>
      <c r="S14" s="1" t="s">
        <v>52</v>
      </c>
    </row>
    <row r="15" ht="15.0" hidden="1" customHeight="1">
      <c r="B15" s="6">
        <f t="shared" si="1"/>
        <v>13</v>
      </c>
      <c r="C15" s="1" t="s">
        <v>79</v>
      </c>
      <c r="D15" s="1" t="s">
        <v>39</v>
      </c>
      <c r="E15" s="1" t="s">
        <v>79</v>
      </c>
      <c r="F15" s="1" t="s">
        <v>80</v>
      </c>
      <c r="G15" s="1" t="s">
        <v>38</v>
      </c>
      <c r="H15" s="6">
        <v>2017.0</v>
      </c>
      <c r="I15" s="1" t="s">
        <v>81</v>
      </c>
      <c r="J15" s="1" t="s">
        <v>82</v>
      </c>
      <c r="K15" s="1" t="s">
        <v>83</v>
      </c>
      <c r="M15" s="7">
        <v>1.3523E7</v>
      </c>
      <c r="N15" s="7">
        <v>1955.34</v>
      </c>
      <c r="O15" s="8">
        <v>44742.0</v>
      </c>
      <c r="P15" s="7">
        <v>2.659945464E7</v>
      </c>
      <c r="Q15" s="7">
        <v>1.337484627E7</v>
      </c>
      <c r="R15" s="7">
        <v>616052.17</v>
      </c>
      <c r="S15" s="1" t="s">
        <v>45</v>
      </c>
    </row>
    <row r="16" ht="15.0" hidden="1" customHeight="1">
      <c r="B16" s="6">
        <f t="shared" si="1"/>
        <v>14</v>
      </c>
      <c r="C16" s="1" t="s">
        <v>84</v>
      </c>
      <c r="D16" s="1" t="s">
        <v>39</v>
      </c>
      <c r="E16" s="1" t="s">
        <v>84</v>
      </c>
      <c r="F16" s="1" t="s">
        <v>80</v>
      </c>
      <c r="G16" s="1" t="s">
        <v>38</v>
      </c>
      <c r="H16" s="6">
        <v>2017.0</v>
      </c>
      <c r="I16" s="1" t="s">
        <v>81</v>
      </c>
      <c r="J16" s="1" t="s">
        <v>82</v>
      </c>
      <c r="K16" s="1" t="s">
        <v>83</v>
      </c>
      <c r="M16" s="7">
        <v>1.3502556E7</v>
      </c>
      <c r="N16" s="7">
        <v>38504.07</v>
      </c>
      <c r="O16" s="8">
        <v>45473.0</v>
      </c>
      <c r="P16" s="7">
        <v>3.413937248E7</v>
      </c>
      <c r="Q16" s="7">
        <v>1.350224353E7</v>
      </c>
      <c r="R16" s="7">
        <v>62184.77</v>
      </c>
      <c r="S16" s="1" t="s">
        <v>45</v>
      </c>
    </row>
    <row r="17" ht="15.0" hidden="1" customHeight="1">
      <c r="B17" s="6">
        <f t="shared" si="1"/>
        <v>15</v>
      </c>
      <c r="C17" s="1" t="s">
        <v>86</v>
      </c>
      <c r="D17" s="1" t="s">
        <v>39</v>
      </c>
      <c r="E17" s="1" t="s">
        <v>86</v>
      </c>
      <c r="F17" s="1" t="s">
        <v>80</v>
      </c>
      <c r="G17" s="1" t="s">
        <v>38</v>
      </c>
      <c r="H17" s="6">
        <v>2018.0</v>
      </c>
      <c r="I17" s="1" t="s">
        <v>81</v>
      </c>
      <c r="J17" s="1" t="s">
        <v>82</v>
      </c>
      <c r="K17" s="1" t="s">
        <v>83</v>
      </c>
      <c r="M17" s="7">
        <v>1.2E7</v>
      </c>
      <c r="N17" s="7">
        <v>50108.0</v>
      </c>
      <c r="O17" s="8">
        <v>46112.0</v>
      </c>
      <c r="P17" s="7">
        <v>3.355665454E7</v>
      </c>
      <c r="Q17" s="7">
        <v>1.178160409E7</v>
      </c>
      <c r="R17" s="7">
        <v>218395.91</v>
      </c>
      <c r="S17" s="1" t="s">
        <v>45</v>
      </c>
    </row>
    <row r="18" ht="15.0" customHeight="1">
      <c r="B18" s="6">
        <f t="shared" si="1"/>
        <v>16</v>
      </c>
      <c r="C18" s="1" t="s">
        <v>87</v>
      </c>
      <c r="D18" s="1" t="s">
        <v>39</v>
      </c>
      <c r="E18" s="1" t="s">
        <v>87</v>
      </c>
      <c r="F18" s="1" t="s">
        <v>88</v>
      </c>
      <c r="G18" s="1" t="s">
        <v>38</v>
      </c>
      <c r="H18" s="6">
        <v>2019.0</v>
      </c>
      <c r="I18" s="1" t="s">
        <v>81</v>
      </c>
      <c r="J18" s="1" t="s">
        <v>82</v>
      </c>
      <c r="K18" s="1" t="s">
        <v>89</v>
      </c>
      <c r="M18" s="7">
        <v>1.6625E7</v>
      </c>
      <c r="N18" s="7">
        <v>1.214788E7</v>
      </c>
      <c r="O18" s="8">
        <v>46112.0</v>
      </c>
      <c r="P18" s="7">
        <v>9629720.7</v>
      </c>
      <c r="Q18" s="7">
        <v>1.306338393E7</v>
      </c>
      <c r="R18" s="7">
        <v>1686616.07</v>
      </c>
      <c r="S18" s="1" t="s">
        <v>52</v>
      </c>
    </row>
    <row r="19" ht="15.0" hidden="1" customHeight="1">
      <c r="B19" s="6">
        <f t="shared" si="1"/>
        <v>17</v>
      </c>
      <c r="C19" s="1" t="s">
        <v>90</v>
      </c>
      <c r="D19" s="1" t="s">
        <v>39</v>
      </c>
      <c r="E19" s="1" t="s">
        <v>90</v>
      </c>
      <c r="F19" s="1" t="s">
        <v>91</v>
      </c>
      <c r="G19" s="1" t="s">
        <v>38</v>
      </c>
      <c r="H19" s="6">
        <v>2019.0</v>
      </c>
      <c r="I19" s="1" t="s">
        <v>81</v>
      </c>
      <c r="J19" s="1" t="s">
        <v>92</v>
      </c>
      <c r="K19" s="1" t="s">
        <v>93</v>
      </c>
      <c r="M19" s="7">
        <v>1.9285E7</v>
      </c>
      <c r="N19" s="7">
        <v>7030852.0</v>
      </c>
      <c r="O19" s="8">
        <v>46112.0</v>
      </c>
      <c r="P19" s="7">
        <v>1.769628545E7</v>
      </c>
      <c r="Q19" s="7">
        <v>1.905520157E7</v>
      </c>
      <c r="R19" s="7">
        <v>4006859.71</v>
      </c>
      <c r="S19" s="1" t="s">
        <v>45</v>
      </c>
    </row>
    <row r="20" ht="15.0" customHeight="1">
      <c r="B20" s="6">
        <f t="shared" si="1"/>
        <v>18</v>
      </c>
      <c r="C20" s="1" t="s">
        <v>95</v>
      </c>
      <c r="D20" s="1" t="s">
        <v>39</v>
      </c>
      <c r="E20" s="1" t="s">
        <v>96</v>
      </c>
      <c r="F20" s="1" t="s">
        <v>97</v>
      </c>
      <c r="G20" s="1" t="s">
        <v>38</v>
      </c>
      <c r="H20" s="6">
        <v>2012.0</v>
      </c>
      <c r="I20" s="1" t="s">
        <v>81</v>
      </c>
      <c r="J20" s="1" t="s">
        <v>98</v>
      </c>
      <c r="K20" s="1" t="s">
        <v>99</v>
      </c>
      <c r="M20" s="7">
        <v>3.0E7</v>
      </c>
      <c r="N20" s="7">
        <v>0.0</v>
      </c>
      <c r="O20" s="8">
        <v>44651.0</v>
      </c>
      <c r="P20" s="7">
        <v>1716248.0</v>
      </c>
      <c r="Q20" s="7">
        <v>3.0244583E7</v>
      </c>
      <c r="R20" s="7">
        <v>0.0</v>
      </c>
      <c r="S20" s="1" t="s">
        <v>52</v>
      </c>
    </row>
    <row r="21" ht="15.0" customHeight="1">
      <c r="B21" s="6">
        <f t="shared" si="1"/>
        <v>19</v>
      </c>
      <c r="C21" s="1" t="s">
        <v>100</v>
      </c>
      <c r="D21" s="1" t="s">
        <v>39</v>
      </c>
      <c r="E21" s="1" t="s">
        <v>100</v>
      </c>
      <c r="F21" s="1" t="s">
        <v>101</v>
      </c>
      <c r="G21" s="1" t="s">
        <v>38</v>
      </c>
      <c r="H21" s="6">
        <v>2017.0</v>
      </c>
      <c r="I21" s="1" t="s">
        <v>81</v>
      </c>
      <c r="J21" s="1" t="s">
        <v>102</v>
      </c>
      <c r="K21" s="1" t="s">
        <v>103</v>
      </c>
      <c r="M21" s="7">
        <v>1.0512455E8</v>
      </c>
      <c r="N21" s="7">
        <v>1.9700582E7</v>
      </c>
      <c r="O21" s="8">
        <v>46173.0</v>
      </c>
      <c r="P21" s="7">
        <v>5.395246196E7</v>
      </c>
      <c r="Q21" s="7">
        <v>5.991822017E7</v>
      </c>
      <c r="R21" s="7">
        <v>4.499999983E7</v>
      </c>
      <c r="S21" s="1" t="s">
        <v>52</v>
      </c>
    </row>
    <row r="22" ht="15.0" customHeight="1">
      <c r="B22" s="6">
        <f t="shared" si="1"/>
        <v>20</v>
      </c>
      <c r="C22" s="1" t="s">
        <v>104</v>
      </c>
      <c r="D22" s="1" t="s">
        <v>39</v>
      </c>
      <c r="E22" s="1" t="s">
        <v>104</v>
      </c>
      <c r="F22" s="1" t="s">
        <v>105</v>
      </c>
      <c r="G22" s="1" t="s">
        <v>38</v>
      </c>
      <c r="H22" s="6">
        <v>2021.0</v>
      </c>
      <c r="I22" s="1" t="s">
        <v>81</v>
      </c>
      <c r="J22" s="1" t="s">
        <v>92</v>
      </c>
      <c r="K22" s="1" t="s">
        <v>93</v>
      </c>
      <c r="M22" s="7">
        <v>4.5292E7</v>
      </c>
      <c r="N22" s="7">
        <v>6.2774985E7</v>
      </c>
      <c r="O22" s="8">
        <v>46112.0</v>
      </c>
      <c r="P22" s="7">
        <v>1.463221562E7</v>
      </c>
      <c r="Q22" s="7">
        <v>4.5414679E7</v>
      </c>
      <c r="R22" s="7">
        <v>0.0</v>
      </c>
      <c r="S22" s="1" t="s">
        <v>52</v>
      </c>
    </row>
    <row r="23" ht="15.0" customHeight="1">
      <c r="B23" s="6">
        <f t="shared" si="1"/>
        <v>21</v>
      </c>
      <c r="C23" s="1" t="s">
        <v>108</v>
      </c>
      <c r="D23" s="1" t="s">
        <v>39</v>
      </c>
      <c r="E23" s="1" t="s">
        <v>108</v>
      </c>
      <c r="F23" s="1" t="s">
        <v>109</v>
      </c>
      <c r="G23" s="1" t="s">
        <v>38</v>
      </c>
      <c r="H23" s="6">
        <v>2021.0</v>
      </c>
      <c r="I23" s="1" t="s">
        <v>81</v>
      </c>
      <c r="J23" s="1" t="s">
        <v>82</v>
      </c>
      <c r="K23" s="1" t="s">
        <v>83</v>
      </c>
      <c r="M23" s="7">
        <v>1.404695294E8</v>
      </c>
      <c r="N23" s="7">
        <v>6.1222719E7</v>
      </c>
      <c r="O23" s="8">
        <v>46112.0</v>
      </c>
      <c r="P23" s="7">
        <v>6.623668525E7</v>
      </c>
      <c r="Q23" s="7">
        <v>1.0420524083E8</v>
      </c>
      <c r="R23" s="7">
        <v>6.574034756E7</v>
      </c>
      <c r="S23" s="1" t="s">
        <v>52</v>
      </c>
    </row>
    <row r="24" ht="15.0" customHeight="1">
      <c r="B24" s="6">
        <f t="shared" si="1"/>
        <v>22</v>
      </c>
      <c r="C24" s="1" t="s">
        <v>110</v>
      </c>
      <c r="D24" s="1" t="s">
        <v>39</v>
      </c>
      <c r="E24" s="1" t="s">
        <v>110</v>
      </c>
      <c r="F24" s="1" t="s">
        <v>111</v>
      </c>
      <c r="G24" s="1" t="s">
        <v>38</v>
      </c>
      <c r="H24" s="6">
        <v>2021.0</v>
      </c>
      <c r="I24" s="1" t="s">
        <v>81</v>
      </c>
      <c r="J24" s="1" t="s">
        <v>92</v>
      </c>
      <c r="K24" s="1" t="s">
        <v>112</v>
      </c>
      <c r="M24" s="7">
        <v>3.5E7</v>
      </c>
      <c r="N24" s="7">
        <v>6774489.0</v>
      </c>
      <c r="O24" s="8">
        <v>46112.0</v>
      </c>
      <c r="P24" s="7">
        <v>814480.06</v>
      </c>
      <c r="Q24" s="7">
        <v>5373304.14</v>
      </c>
      <c r="R24" s="7">
        <v>4191175.92</v>
      </c>
      <c r="S24" s="1" t="s">
        <v>52</v>
      </c>
    </row>
    <row r="25" ht="15.0" customHeight="1">
      <c r="B25" s="6">
        <f t="shared" si="1"/>
        <v>23</v>
      </c>
      <c r="C25" s="1" t="s">
        <v>114</v>
      </c>
      <c r="D25" s="1" t="s">
        <v>39</v>
      </c>
      <c r="E25" s="1" t="s">
        <v>114</v>
      </c>
      <c r="F25" s="1" t="s">
        <v>105</v>
      </c>
      <c r="G25" s="1" t="s">
        <v>38</v>
      </c>
      <c r="H25" s="6">
        <v>2023.0</v>
      </c>
      <c r="I25" s="1" t="s">
        <v>81</v>
      </c>
      <c r="J25" s="1" t="s">
        <v>102</v>
      </c>
      <c r="K25" s="1" t="s">
        <v>115</v>
      </c>
      <c r="M25" s="7">
        <v>3.5E7</v>
      </c>
      <c r="N25" s="7">
        <v>4.0356148E7</v>
      </c>
      <c r="O25" s="8">
        <v>46112.0</v>
      </c>
      <c r="P25" s="7">
        <v>0.0</v>
      </c>
      <c r="Q25" s="7">
        <v>3.4890817E7</v>
      </c>
      <c r="R25" s="7">
        <v>109183.0</v>
      </c>
      <c r="S25" s="1" t="s">
        <v>52</v>
      </c>
    </row>
    <row r="26" ht="15.0" hidden="1" customHeight="1">
      <c r="B26" s="6">
        <f t="shared" si="1"/>
        <v>24</v>
      </c>
      <c r="C26" s="1" t="s">
        <v>116</v>
      </c>
      <c r="D26" s="1" t="s">
        <v>39</v>
      </c>
      <c r="E26" s="1" t="s">
        <v>116</v>
      </c>
      <c r="F26" s="1" t="s">
        <v>80</v>
      </c>
      <c r="G26" s="1" t="s">
        <v>38</v>
      </c>
      <c r="H26" s="6">
        <v>2024.0</v>
      </c>
      <c r="I26" s="1" t="s">
        <v>81</v>
      </c>
      <c r="J26" s="1" t="s">
        <v>82</v>
      </c>
      <c r="K26" s="1" t="s">
        <v>83</v>
      </c>
      <c r="M26" s="7">
        <v>1.2E7</v>
      </c>
      <c r="N26" s="7">
        <v>1.830463038E7</v>
      </c>
      <c r="O26" s="8">
        <v>46112.0</v>
      </c>
      <c r="P26" s="7">
        <v>0.0</v>
      </c>
      <c r="Q26" s="7">
        <v>1.198970267E7</v>
      </c>
      <c r="R26" s="7">
        <v>10297.33</v>
      </c>
      <c r="S26" s="1" t="s">
        <v>45</v>
      </c>
    </row>
    <row r="27" ht="15.0" customHeight="1">
      <c r="B27" s="6">
        <f t="shared" si="1"/>
        <v>25</v>
      </c>
      <c r="C27" s="1" t="s">
        <v>117</v>
      </c>
      <c r="D27" s="1" t="s">
        <v>39</v>
      </c>
      <c r="E27" s="1" t="s">
        <v>117</v>
      </c>
      <c r="F27" s="1" t="s">
        <v>105</v>
      </c>
      <c r="G27" s="1" t="s">
        <v>38</v>
      </c>
      <c r="H27" s="6">
        <v>2026.0</v>
      </c>
      <c r="I27" s="1" t="s">
        <v>81</v>
      </c>
      <c r="J27" s="1" t="s">
        <v>92</v>
      </c>
      <c r="K27" s="1" t="s">
        <v>93</v>
      </c>
      <c r="M27" s="7">
        <v>7.5E7</v>
      </c>
      <c r="N27" s="7"/>
      <c r="O27" s="8"/>
      <c r="P27" s="7">
        <v>0.0</v>
      </c>
      <c r="Q27" s="7">
        <v>0.0</v>
      </c>
      <c r="R27" s="7">
        <v>7.5E7</v>
      </c>
      <c r="S27" s="1" t="s">
        <v>52</v>
      </c>
    </row>
    <row r="28" ht="15.0" customHeight="1">
      <c r="B28" s="6">
        <f t="shared" si="1"/>
        <v>26</v>
      </c>
      <c r="C28" s="1" t="s">
        <v>119</v>
      </c>
      <c r="D28" s="1" t="s">
        <v>43</v>
      </c>
      <c r="E28" s="1" t="s">
        <v>119</v>
      </c>
      <c r="F28" s="1" t="s">
        <v>120</v>
      </c>
      <c r="G28" s="1" t="s">
        <v>38</v>
      </c>
      <c r="H28" s="6">
        <v>2012.0</v>
      </c>
      <c r="I28" s="1" t="s">
        <v>121</v>
      </c>
      <c r="J28" s="1" t="s">
        <v>122</v>
      </c>
      <c r="K28" s="1" t="s">
        <v>123</v>
      </c>
      <c r="M28" s="7">
        <v>1.4999081E7</v>
      </c>
      <c r="N28" s="7">
        <v>0.0</v>
      </c>
      <c r="O28" s="8">
        <v>45850.0</v>
      </c>
      <c r="P28" s="7">
        <v>2.593587269E7</v>
      </c>
      <c r="Q28" s="7">
        <v>6245163.43</v>
      </c>
      <c r="R28" s="7">
        <v>0.28</v>
      </c>
      <c r="S28" s="1" t="s">
        <v>52</v>
      </c>
    </row>
    <row r="29" ht="15.0" hidden="1" customHeight="1">
      <c r="B29" s="6">
        <f t="shared" si="1"/>
        <v>27</v>
      </c>
      <c r="C29" s="1" t="s">
        <v>124</v>
      </c>
      <c r="D29" s="1" t="s">
        <v>43</v>
      </c>
      <c r="E29" s="1" t="s">
        <v>124</v>
      </c>
      <c r="F29" s="1" t="s">
        <v>125</v>
      </c>
      <c r="G29" s="1" t="s">
        <v>38</v>
      </c>
      <c r="H29" s="6">
        <v>2012.0</v>
      </c>
      <c r="I29" s="1" t="s">
        <v>126</v>
      </c>
      <c r="J29" s="1" t="s">
        <v>126</v>
      </c>
      <c r="K29" s="1" t="s">
        <v>127</v>
      </c>
      <c r="M29" s="7">
        <v>9239866.95</v>
      </c>
      <c r="N29" s="7">
        <v>0.0</v>
      </c>
      <c r="O29" s="8">
        <v>42089.0</v>
      </c>
      <c r="P29" s="7">
        <v>2.11673625E7</v>
      </c>
      <c r="Q29" s="7">
        <v>8652019.02</v>
      </c>
      <c r="R29" s="7">
        <v>-0.07</v>
      </c>
      <c r="S29" s="1" t="s">
        <v>106</v>
      </c>
    </row>
    <row r="30" ht="15.0" hidden="1" customHeight="1">
      <c r="B30" s="6">
        <f t="shared" si="1"/>
        <v>28</v>
      </c>
      <c r="C30" s="1" t="s">
        <v>128</v>
      </c>
      <c r="D30" s="1" t="s">
        <v>43</v>
      </c>
      <c r="E30" s="1" t="s">
        <v>128</v>
      </c>
      <c r="F30" s="1" t="s">
        <v>129</v>
      </c>
      <c r="G30" s="1" t="s">
        <v>38</v>
      </c>
      <c r="H30" s="6">
        <v>2012.0</v>
      </c>
      <c r="I30" s="1" t="s">
        <v>126</v>
      </c>
      <c r="J30" s="1" t="s">
        <v>126</v>
      </c>
      <c r="K30" s="1" t="s">
        <v>123</v>
      </c>
      <c r="M30" s="7">
        <v>6433764.0</v>
      </c>
      <c r="N30" s="7">
        <v>0.0</v>
      </c>
      <c r="O30" s="8">
        <v>43281.0</v>
      </c>
      <c r="P30" s="7">
        <v>1.871341523E7</v>
      </c>
      <c r="Q30" s="7">
        <v>6433810.4</v>
      </c>
      <c r="R30" s="7">
        <v>-0.4</v>
      </c>
      <c r="S30" s="1" t="s">
        <v>106</v>
      </c>
    </row>
    <row r="31" ht="15.0" customHeight="1">
      <c r="B31" s="6">
        <f t="shared" si="1"/>
        <v>29</v>
      </c>
      <c r="C31" s="1" t="s">
        <v>130</v>
      </c>
      <c r="D31" s="1" t="s">
        <v>43</v>
      </c>
      <c r="E31" s="1" t="s">
        <v>130</v>
      </c>
      <c r="F31" s="1" t="s">
        <v>131</v>
      </c>
      <c r="G31" s="1" t="s">
        <v>38</v>
      </c>
      <c r="H31" s="6">
        <v>2012.0</v>
      </c>
      <c r="I31" s="1" t="s">
        <v>121</v>
      </c>
      <c r="J31" s="1" t="s">
        <v>122</v>
      </c>
      <c r="K31" s="1" t="s">
        <v>132</v>
      </c>
      <c r="M31" s="7">
        <v>1.0E7</v>
      </c>
      <c r="N31" s="7">
        <v>0.0</v>
      </c>
      <c r="O31" s="8">
        <v>43754.0</v>
      </c>
      <c r="P31" s="7">
        <v>1.2939297E7</v>
      </c>
      <c r="Q31" s="7">
        <v>7500000.0</v>
      </c>
      <c r="R31" s="7">
        <v>0.0</v>
      </c>
      <c r="S31" s="1" t="s">
        <v>52</v>
      </c>
    </row>
    <row r="32" ht="15.0" hidden="1" customHeight="1">
      <c r="B32" s="6">
        <f t="shared" si="1"/>
        <v>30</v>
      </c>
      <c r="C32" s="1" t="s">
        <v>133</v>
      </c>
      <c r="D32" s="1" t="s">
        <v>43</v>
      </c>
      <c r="E32" s="1" t="s">
        <v>134</v>
      </c>
      <c r="F32" s="1" t="s">
        <v>135</v>
      </c>
      <c r="G32" s="1" t="s">
        <v>38</v>
      </c>
      <c r="H32" s="6">
        <v>2013.0</v>
      </c>
      <c r="I32" s="1" t="s">
        <v>121</v>
      </c>
      <c r="J32" s="1" t="s">
        <v>122</v>
      </c>
      <c r="K32" s="1" t="s">
        <v>132</v>
      </c>
      <c r="M32" s="7">
        <v>9359644.33</v>
      </c>
      <c r="N32" s="7">
        <v>0.0</v>
      </c>
      <c r="O32" s="8">
        <v>44377.0</v>
      </c>
      <c r="P32" s="7">
        <v>1.700261267E7</v>
      </c>
      <c r="Q32" s="7">
        <v>7928287.85</v>
      </c>
      <c r="R32" s="7">
        <v>-0.1</v>
      </c>
      <c r="S32" s="1" t="s">
        <v>45</v>
      </c>
    </row>
    <row r="33" ht="15.0" customHeight="1">
      <c r="B33" s="6">
        <f t="shared" si="1"/>
        <v>31</v>
      </c>
      <c r="C33" s="1" t="s">
        <v>136</v>
      </c>
      <c r="D33" s="1" t="s">
        <v>43</v>
      </c>
      <c r="E33" s="1" t="s">
        <v>136</v>
      </c>
      <c r="F33" s="1" t="s">
        <v>137</v>
      </c>
      <c r="G33" s="1" t="s">
        <v>38</v>
      </c>
      <c r="H33" s="6">
        <v>2013.0</v>
      </c>
      <c r="I33" s="1" t="s">
        <v>121</v>
      </c>
      <c r="J33" s="1" t="s">
        <v>122</v>
      </c>
      <c r="K33" s="1" t="s">
        <v>138</v>
      </c>
      <c r="M33" s="7">
        <v>1.200760252E7</v>
      </c>
      <c r="N33" s="7">
        <v>-59992.0</v>
      </c>
      <c r="O33" s="8">
        <v>46112.0</v>
      </c>
      <c r="P33" s="7">
        <v>8507605.0</v>
      </c>
      <c r="Q33" s="7">
        <v>1.228137407E7</v>
      </c>
      <c r="R33" s="7">
        <v>0.0</v>
      </c>
      <c r="S33" s="1" t="s">
        <v>52</v>
      </c>
    </row>
    <row r="34" ht="15.0" hidden="1" customHeight="1">
      <c r="B34" s="6">
        <f t="shared" si="1"/>
        <v>32</v>
      </c>
      <c r="C34" s="1" t="s">
        <v>139</v>
      </c>
      <c r="D34" s="1" t="s">
        <v>43</v>
      </c>
      <c r="E34" s="1" t="s">
        <v>139</v>
      </c>
      <c r="F34" s="1" t="s">
        <v>140</v>
      </c>
      <c r="G34" s="1" t="s">
        <v>38</v>
      </c>
      <c r="H34" s="6">
        <v>2013.0</v>
      </c>
      <c r="I34" s="1" t="s">
        <v>121</v>
      </c>
      <c r="J34" s="1" t="s">
        <v>122</v>
      </c>
      <c r="K34" s="1" t="s">
        <v>127</v>
      </c>
      <c r="M34" s="7">
        <v>9375000.0</v>
      </c>
      <c r="N34" s="7">
        <v>0.0</v>
      </c>
      <c r="O34" s="8">
        <v>44286.0</v>
      </c>
      <c r="P34" s="7">
        <v>5.786334548E7</v>
      </c>
      <c r="Q34" s="7">
        <v>8819460.28</v>
      </c>
      <c r="R34" s="7">
        <v>0.13</v>
      </c>
      <c r="S34" s="1" t="s">
        <v>45</v>
      </c>
    </row>
    <row r="35" ht="15.0" customHeight="1">
      <c r="B35" s="6">
        <f t="shared" si="1"/>
        <v>33</v>
      </c>
      <c r="C35" s="1" t="s">
        <v>141</v>
      </c>
      <c r="D35" s="1" t="s">
        <v>43</v>
      </c>
      <c r="E35" s="1" t="s">
        <v>141</v>
      </c>
      <c r="F35" s="1" t="s">
        <v>120</v>
      </c>
      <c r="G35" s="1" t="s">
        <v>38</v>
      </c>
      <c r="H35" s="6">
        <v>2013.0</v>
      </c>
      <c r="I35" s="1" t="s">
        <v>121</v>
      </c>
      <c r="J35" s="1" t="s">
        <v>122</v>
      </c>
      <c r="K35" s="1" t="s">
        <v>123</v>
      </c>
      <c r="M35" s="7">
        <v>1.4982607E7</v>
      </c>
      <c r="N35" s="7">
        <v>103525.0</v>
      </c>
      <c r="O35" s="8">
        <v>46112.0</v>
      </c>
      <c r="P35" s="7">
        <v>1.181121247E7</v>
      </c>
      <c r="Q35" s="7">
        <v>6920137.05</v>
      </c>
      <c r="R35" s="7">
        <v>289240.46</v>
      </c>
      <c r="S35" s="1" t="s">
        <v>52</v>
      </c>
    </row>
    <row r="36" ht="15.0" customHeight="1">
      <c r="B36" s="6">
        <f t="shared" si="1"/>
        <v>34</v>
      </c>
      <c r="C36" s="1" t="s">
        <v>142</v>
      </c>
      <c r="D36" s="1" t="s">
        <v>43</v>
      </c>
      <c r="E36" s="1" t="s">
        <v>142</v>
      </c>
      <c r="F36" s="1" t="s">
        <v>143</v>
      </c>
      <c r="G36" s="1" t="s">
        <v>38</v>
      </c>
      <c r="H36" s="6">
        <v>2014.0</v>
      </c>
      <c r="I36" s="1" t="s">
        <v>126</v>
      </c>
      <c r="J36" s="1" t="s">
        <v>126</v>
      </c>
      <c r="K36" s="1" t="s">
        <v>123</v>
      </c>
      <c r="M36" s="7">
        <v>1.5E7</v>
      </c>
      <c r="N36" s="7">
        <v>0.0</v>
      </c>
      <c r="O36" s="8">
        <v>43770.0</v>
      </c>
      <c r="P36" s="7">
        <v>4.419314172E7</v>
      </c>
      <c r="Q36" s="7">
        <v>1.208626316E7</v>
      </c>
      <c r="R36" s="7">
        <v>0.19</v>
      </c>
      <c r="S36" s="1" t="s">
        <v>52</v>
      </c>
    </row>
    <row r="37" ht="15.0" customHeight="1">
      <c r="B37" s="6">
        <f t="shared" si="1"/>
        <v>35</v>
      </c>
      <c r="C37" s="1" t="s">
        <v>145</v>
      </c>
      <c r="D37" s="1" t="s">
        <v>43</v>
      </c>
      <c r="E37" s="1" t="s">
        <v>145</v>
      </c>
      <c r="F37" s="1" t="s">
        <v>146</v>
      </c>
      <c r="G37" s="1" t="s">
        <v>38</v>
      </c>
      <c r="H37" s="6">
        <v>2014.0</v>
      </c>
      <c r="I37" s="1" t="s">
        <v>121</v>
      </c>
      <c r="J37" s="1" t="s">
        <v>122</v>
      </c>
      <c r="K37" s="1" t="s">
        <v>132</v>
      </c>
      <c r="M37" s="7">
        <v>1.3E7</v>
      </c>
      <c r="N37" s="7">
        <v>0.0</v>
      </c>
      <c r="O37" s="8">
        <v>43830.0</v>
      </c>
      <c r="P37" s="7">
        <v>9.470807754E7</v>
      </c>
      <c r="Q37" s="7">
        <v>1.3035722E7</v>
      </c>
      <c r="R37" s="7">
        <v>0.0</v>
      </c>
      <c r="S37" s="1" t="s">
        <v>52</v>
      </c>
    </row>
    <row r="38" ht="15.0" customHeight="1">
      <c r="B38" s="6">
        <f t="shared" si="1"/>
        <v>36</v>
      </c>
      <c r="C38" s="1" t="s">
        <v>147</v>
      </c>
      <c r="D38" s="1" t="s">
        <v>43</v>
      </c>
      <c r="E38" s="1" t="s">
        <v>147</v>
      </c>
      <c r="F38" s="1" t="s">
        <v>143</v>
      </c>
      <c r="G38" s="1" t="s">
        <v>38</v>
      </c>
      <c r="H38" s="6">
        <v>2014.0</v>
      </c>
      <c r="I38" s="1" t="s">
        <v>121</v>
      </c>
      <c r="J38" s="1" t="s">
        <v>122</v>
      </c>
      <c r="K38" s="1" t="s">
        <v>123</v>
      </c>
      <c r="M38" s="7">
        <v>1.3E7</v>
      </c>
      <c r="N38" s="7">
        <v>1.711348088E7</v>
      </c>
      <c r="O38" s="8">
        <v>46112.0</v>
      </c>
      <c r="P38" s="7">
        <v>1532116.23</v>
      </c>
      <c r="Q38" s="7">
        <v>1.0E7</v>
      </c>
      <c r="R38" s="7">
        <v>0.0</v>
      </c>
      <c r="S38" s="1" t="s">
        <v>52</v>
      </c>
    </row>
    <row r="39" ht="15.0" customHeight="1">
      <c r="B39" s="6">
        <f t="shared" si="1"/>
        <v>37</v>
      </c>
      <c r="C39" s="1" t="s">
        <v>148</v>
      </c>
      <c r="D39" s="1" t="s">
        <v>43</v>
      </c>
      <c r="E39" s="1" t="s">
        <v>148</v>
      </c>
      <c r="F39" s="1" t="s">
        <v>149</v>
      </c>
      <c r="G39" s="1" t="s">
        <v>38</v>
      </c>
      <c r="H39" s="6">
        <v>2014.0</v>
      </c>
      <c r="I39" s="1" t="s">
        <v>150</v>
      </c>
      <c r="J39" s="1" t="s">
        <v>150</v>
      </c>
      <c r="K39" s="1" t="s">
        <v>151</v>
      </c>
      <c r="M39" s="7">
        <v>6000000.0</v>
      </c>
      <c r="N39" s="7">
        <v>0.0</v>
      </c>
      <c r="O39" s="8">
        <v>45751.0</v>
      </c>
      <c r="P39" s="7">
        <v>2399153.75</v>
      </c>
      <c r="Q39" s="7">
        <v>6000000.0</v>
      </c>
      <c r="R39" s="7">
        <v>0.0</v>
      </c>
      <c r="S39" s="1" t="s">
        <v>52</v>
      </c>
    </row>
    <row r="40" ht="15.0" hidden="1" customHeight="1">
      <c r="B40" s="6">
        <f t="shared" si="1"/>
        <v>38</v>
      </c>
      <c r="C40" s="1" t="s">
        <v>152</v>
      </c>
      <c r="D40" s="1" t="s">
        <v>43</v>
      </c>
      <c r="E40" s="1" t="s">
        <v>152</v>
      </c>
      <c r="F40" s="1" t="s">
        <v>120</v>
      </c>
      <c r="G40" s="1" t="s">
        <v>38</v>
      </c>
      <c r="H40" s="6">
        <v>2014.0</v>
      </c>
      <c r="I40" s="1" t="s">
        <v>121</v>
      </c>
      <c r="J40" s="1" t="s">
        <v>122</v>
      </c>
      <c r="K40" s="1" t="s">
        <v>123</v>
      </c>
      <c r="M40" s="7">
        <v>1.367414463E7</v>
      </c>
      <c r="N40" s="7">
        <v>324653.0</v>
      </c>
      <c r="O40" s="8">
        <v>46112.0</v>
      </c>
      <c r="P40" s="7">
        <v>1.302479622E7</v>
      </c>
      <c r="Q40" s="7">
        <v>5985883.52</v>
      </c>
      <c r="R40" s="7">
        <v>480458.06</v>
      </c>
      <c r="S40" s="1" t="s">
        <v>45</v>
      </c>
    </row>
    <row r="41" ht="15.0" customHeight="1">
      <c r="B41" s="6">
        <f t="shared" si="1"/>
        <v>39</v>
      </c>
      <c r="C41" s="1" t="s">
        <v>153</v>
      </c>
      <c r="D41" s="1" t="s">
        <v>43</v>
      </c>
      <c r="E41" s="1" t="s">
        <v>153</v>
      </c>
      <c r="F41" s="1" t="s">
        <v>154</v>
      </c>
      <c r="G41" s="1" t="s">
        <v>38</v>
      </c>
      <c r="H41" s="6">
        <v>2014.0</v>
      </c>
      <c r="I41" s="1" t="s">
        <v>121</v>
      </c>
      <c r="J41" s="1" t="s">
        <v>122</v>
      </c>
      <c r="K41" s="1" t="s">
        <v>93</v>
      </c>
      <c r="M41" s="7">
        <v>1.0E7</v>
      </c>
      <c r="N41" s="7">
        <v>0.0</v>
      </c>
      <c r="O41" s="8">
        <v>44196.0</v>
      </c>
      <c r="P41" s="7">
        <v>0.0</v>
      </c>
      <c r="Q41" s="7">
        <v>1.0E7</v>
      </c>
      <c r="R41" s="7">
        <v>0.0</v>
      </c>
      <c r="S41" s="1" t="s">
        <v>52</v>
      </c>
    </row>
    <row r="42" ht="15.0" customHeight="1">
      <c r="B42" s="6">
        <f t="shared" si="1"/>
        <v>40</v>
      </c>
      <c r="C42" s="1" t="s">
        <v>155</v>
      </c>
      <c r="D42" s="1" t="s">
        <v>43</v>
      </c>
      <c r="E42" s="1" t="s">
        <v>155</v>
      </c>
      <c r="F42" s="1" t="s">
        <v>156</v>
      </c>
      <c r="G42" s="1" t="s">
        <v>38</v>
      </c>
      <c r="H42" s="6">
        <v>2014.0</v>
      </c>
      <c r="I42" s="1" t="s">
        <v>150</v>
      </c>
      <c r="J42" s="1" t="s">
        <v>150</v>
      </c>
      <c r="K42" s="1" t="s">
        <v>151</v>
      </c>
      <c r="M42" s="7">
        <v>1.5E7</v>
      </c>
      <c r="N42" s="7">
        <v>1.0976092E7</v>
      </c>
      <c r="O42" s="8">
        <v>46112.0</v>
      </c>
      <c r="P42" s="7">
        <v>7424075.0</v>
      </c>
      <c r="Q42" s="7">
        <v>1.4803775E7</v>
      </c>
      <c r="R42" s="7">
        <v>189921.0</v>
      </c>
      <c r="S42" s="1" t="s">
        <v>52</v>
      </c>
    </row>
    <row r="43" ht="15.0" customHeight="1">
      <c r="B43" s="6">
        <f t="shared" si="1"/>
        <v>41</v>
      </c>
      <c r="C43" s="1" t="s">
        <v>157</v>
      </c>
      <c r="D43" s="1" t="s">
        <v>43</v>
      </c>
      <c r="E43" s="1" t="s">
        <v>158</v>
      </c>
      <c r="F43" s="1" t="s">
        <v>131</v>
      </c>
      <c r="G43" s="1" t="s">
        <v>38</v>
      </c>
      <c r="H43" s="6">
        <v>2015.0</v>
      </c>
      <c r="I43" s="1" t="s">
        <v>121</v>
      </c>
      <c r="J43" s="1" t="s">
        <v>122</v>
      </c>
      <c r="K43" s="1" t="s">
        <v>132</v>
      </c>
      <c r="M43" s="7">
        <v>1.5E7</v>
      </c>
      <c r="N43" s="7">
        <v>0.0</v>
      </c>
      <c r="O43" s="8">
        <v>43738.0</v>
      </c>
      <c r="P43" s="7">
        <v>3683.58</v>
      </c>
      <c r="Q43" s="7">
        <v>1.5175E7</v>
      </c>
      <c r="R43" s="7">
        <v>0.0</v>
      </c>
      <c r="S43" s="1" t="s">
        <v>52</v>
      </c>
    </row>
    <row r="44" ht="15.0" customHeight="1">
      <c r="B44" s="6">
        <f t="shared" si="1"/>
        <v>42</v>
      </c>
      <c r="C44" s="1" t="s">
        <v>159</v>
      </c>
      <c r="D44" s="1" t="s">
        <v>43</v>
      </c>
      <c r="E44" s="1" t="s">
        <v>159</v>
      </c>
      <c r="F44" s="1" t="s">
        <v>160</v>
      </c>
      <c r="G44" s="1" t="s">
        <v>38</v>
      </c>
      <c r="H44" s="6">
        <v>2015.0</v>
      </c>
      <c r="I44" s="1" t="s">
        <v>126</v>
      </c>
      <c r="J44" s="1" t="s">
        <v>126</v>
      </c>
      <c r="K44" s="1" t="s">
        <v>132</v>
      </c>
      <c r="M44" s="7">
        <v>1.2E7</v>
      </c>
      <c r="N44" s="7">
        <v>0.0</v>
      </c>
      <c r="O44" s="8">
        <v>43555.0</v>
      </c>
      <c r="P44" s="7">
        <v>1.782611967E7</v>
      </c>
      <c r="Q44" s="7">
        <v>1.236296676E7</v>
      </c>
      <c r="R44" s="7">
        <v>0.0</v>
      </c>
      <c r="S44" s="1" t="s">
        <v>52</v>
      </c>
    </row>
    <row r="45" ht="15.0" customHeight="1">
      <c r="B45" s="6">
        <f t="shared" si="1"/>
        <v>43</v>
      </c>
      <c r="C45" s="1" t="s">
        <v>162</v>
      </c>
      <c r="D45" s="1" t="s">
        <v>43</v>
      </c>
      <c r="E45" s="1" t="s">
        <v>162</v>
      </c>
      <c r="F45" s="1" t="s">
        <v>163</v>
      </c>
      <c r="G45" s="1" t="s">
        <v>38</v>
      </c>
      <c r="H45" s="6">
        <v>2015.0</v>
      </c>
      <c r="I45" s="1" t="s">
        <v>164</v>
      </c>
      <c r="J45" s="1" t="s">
        <v>122</v>
      </c>
      <c r="K45" s="1" t="s">
        <v>165</v>
      </c>
      <c r="M45" s="7">
        <v>1.5E7</v>
      </c>
      <c r="N45" s="7">
        <v>4002654.0</v>
      </c>
      <c r="O45" s="8">
        <v>46112.0</v>
      </c>
      <c r="P45" s="7">
        <v>2241091.0</v>
      </c>
      <c r="Q45" s="7">
        <v>1.501226043E7</v>
      </c>
      <c r="R45" s="7">
        <v>0.0</v>
      </c>
      <c r="S45" s="1" t="s">
        <v>52</v>
      </c>
    </row>
    <row r="46" ht="15.0" customHeight="1">
      <c r="B46" s="6">
        <f t="shared" si="1"/>
        <v>44</v>
      </c>
      <c r="C46" s="1" t="s">
        <v>166</v>
      </c>
      <c r="D46" s="1" t="s">
        <v>43</v>
      </c>
      <c r="E46" s="1" t="s">
        <v>166</v>
      </c>
      <c r="F46" s="1" t="s">
        <v>167</v>
      </c>
      <c r="G46" s="1" t="s">
        <v>38</v>
      </c>
      <c r="H46" s="6">
        <v>2015.0</v>
      </c>
      <c r="I46" s="1" t="s">
        <v>126</v>
      </c>
      <c r="J46" s="1" t="s">
        <v>126</v>
      </c>
      <c r="K46" s="1" t="s">
        <v>126</v>
      </c>
      <c r="M46" s="7">
        <v>1.461794292E7</v>
      </c>
      <c r="N46" s="7">
        <v>0.0</v>
      </c>
      <c r="O46" s="8">
        <v>45473.0</v>
      </c>
      <c r="P46" s="7">
        <v>4208262.64</v>
      </c>
      <c r="Q46" s="7">
        <v>1.47590377E7</v>
      </c>
      <c r="R46" s="7">
        <v>0.0</v>
      </c>
      <c r="S46" s="1" t="s">
        <v>52</v>
      </c>
    </row>
    <row r="47" ht="15.0" customHeight="1">
      <c r="B47" s="6">
        <f t="shared" si="1"/>
        <v>45</v>
      </c>
      <c r="C47" s="1" t="s">
        <v>168</v>
      </c>
      <c r="D47" s="1" t="s">
        <v>43</v>
      </c>
      <c r="E47" s="1" t="s">
        <v>168</v>
      </c>
      <c r="F47" s="1" t="s">
        <v>131</v>
      </c>
      <c r="G47" s="1" t="s">
        <v>38</v>
      </c>
      <c r="H47" s="6">
        <v>2013.0</v>
      </c>
      <c r="I47" s="1" t="s">
        <v>121</v>
      </c>
      <c r="J47" s="1" t="s">
        <v>122</v>
      </c>
      <c r="K47" s="1" t="s">
        <v>132</v>
      </c>
      <c r="M47" s="7">
        <v>2500000.0</v>
      </c>
      <c r="N47" s="7">
        <v>0.0</v>
      </c>
      <c r="O47" s="8">
        <v>45706.0</v>
      </c>
      <c r="P47" s="7">
        <v>3748349.0</v>
      </c>
      <c r="Q47" s="7">
        <v>2500000.0</v>
      </c>
      <c r="R47" s="7">
        <v>0.0</v>
      </c>
      <c r="S47" s="1" t="s">
        <v>52</v>
      </c>
    </row>
    <row r="48" ht="15.0" customHeight="1">
      <c r="B48" s="6">
        <f t="shared" si="1"/>
        <v>46</v>
      </c>
      <c r="C48" s="1" t="s">
        <v>169</v>
      </c>
      <c r="D48" s="1" t="s">
        <v>43</v>
      </c>
      <c r="E48" s="1" t="s">
        <v>169</v>
      </c>
      <c r="F48" s="1" t="s">
        <v>160</v>
      </c>
      <c r="G48" s="1" t="s">
        <v>38</v>
      </c>
      <c r="H48" s="6">
        <v>2016.0</v>
      </c>
      <c r="I48" s="1" t="s">
        <v>126</v>
      </c>
      <c r="J48" s="1" t="s">
        <v>126</v>
      </c>
      <c r="K48" s="1" t="s">
        <v>132</v>
      </c>
      <c r="M48" s="7">
        <v>1.1E7</v>
      </c>
      <c r="N48" s="7">
        <v>0.0</v>
      </c>
      <c r="O48" s="8">
        <v>43555.0</v>
      </c>
      <c r="P48" s="7">
        <v>1.75199899E7</v>
      </c>
      <c r="Q48" s="7">
        <v>1.1E7</v>
      </c>
      <c r="R48" s="7">
        <v>0.0</v>
      </c>
      <c r="S48" s="1" t="s">
        <v>52</v>
      </c>
    </row>
    <row r="49" ht="15.0" customHeight="1">
      <c r="B49" s="6">
        <f t="shared" si="1"/>
        <v>47</v>
      </c>
      <c r="C49" s="1" t="s">
        <v>171</v>
      </c>
      <c r="D49" s="1" t="s">
        <v>43</v>
      </c>
      <c r="E49" s="1" t="s">
        <v>171</v>
      </c>
      <c r="F49" s="1" t="s">
        <v>172</v>
      </c>
      <c r="G49" s="1" t="s">
        <v>38</v>
      </c>
      <c r="H49" s="6">
        <v>2016.0</v>
      </c>
      <c r="I49" s="1" t="s">
        <v>150</v>
      </c>
      <c r="J49" s="1" t="s">
        <v>150</v>
      </c>
      <c r="K49" s="1" t="s">
        <v>173</v>
      </c>
      <c r="M49" s="7">
        <v>5000000.0</v>
      </c>
      <c r="N49" s="7">
        <v>0.0</v>
      </c>
      <c r="O49" s="8">
        <v>44196.0</v>
      </c>
      <c r="P49" s="7">
        <v>7500000.0</v>
      </c>
      <c r="Q49" s="7">
        <v>5000000.0</v>
      </c>
      <c r="R49" s="7">
        <v>0.0</v>
      </c>
      <c r="S49" s="1" t="s">
        <v>52</v>
      </c>
    </row>
    <row r="50" ht="15.0" customHeight="1">
      <c r="B50" s="6">
        <f t="shared" si="1"/>
        <v>48</v>
      </c>
      <c r="C50" s="1" t="s">
        <v>174</v>
      </c>
      <c r="D50" s="1" t="s">
        <v>43</v>
      </c>
      <c r="E50" s="1" t="s">
        <v>174</v>
      </c>
      <c r="F50" s="1" t="s">
        <v>131</v>
      </c>
      <c r="G50" s="1" t="s">
        <v>38</v>
      </c>
      <c r="H50" s="6">
        <v>2013.0</v>
      </c>
      <c r="I50" s="1" t="s">
        <v>126</v>
      </c>
      <c r="J50" s="1" t="s">
        <v>126</v>
      </c>
      <c r="K50" s="1" t="s">
        <v>126</v>
      </c>
      <c r="M50" s="7">
        <v>5000000.0</v>
      </c>
      <c r="N50" s="7">
        <v>1.1978935E7</v>
      </c>
      <c r="O50" s="8">
        <v>46112.0</v>
      </c>
      <c r="P50" s="7">
        <v>0.0</v>
      </c>
      <c r="Q50" s="7">
        <v>5000000.0</v>
      </c>
      <c r="R50" s="7">
        <v>0.0</v>
      </c>
      <c r="S50" s="1" t="s">
        <v>52</v>
      </c>
    </row>
    <row r="51" ht="15.0" customHeight="1">
      <c r="B51" s="6">
        <f t="shared" si="1"/>
        <v>49</v>
      </c>
      <c r="C51" s="1" t="s">
        <v>175</v>
      </c>
      <c r="D51" s="1" t="s">
        <v>43</v>
      </c>
      <c r="E51" s="1" t="s">
        <v>175</v>
      </c>
      <c r="F51" s="1" t="s">
        <v>176</v>
      </c>
      <c r="G51" s="1" t="s">
        <v>38</v>
      </c>
      <c r="H51" s="6">
        <v>2016.0</v>
      </c>
      <c r="I51" s="1" t="s">
        <v>121</v>
      </c>
      <c r="J51" s="1" t="s">
        <v>122</v>
      </c>
      <c r="K51" s="1" t="s">
        <v>123</v>
      </c>
      <c r="M51" s="7">
        <v>7000000.0</v>
      </c>
      <c r="N51" s="7">
        <v>8521262.0</v>
      </c>
      <c r="O51" s="8">
        <v>46112.0</v>
      </c>
      <c r="P51" s="7">
        <v>181.37</v>
      </c>
      <c r="Q51" s="7">
        <v>5224212.54</v>
      </c>
      <c r="R51" s="7">
        <v>2000000.0</v>
      </c>
      <c r="S51" s="1" t="s">
        <v>52</v>
      </c>
    </row>
    <row r="52" ht="15.0" hidden="1" customHeight="1">
      <c r="B52" s="6">
        <f t="shared" si="1"/>
        <v>50</v>
      </c>
      <c r="C52" s="1" t="s">
        <v>177</v>
      </c>
      <c r="D52" s="1" t="s">
        <v>43</v>
      </c>
      <c r="E52" s="1" t="s">
        <v>178</v>
      </c>
      <c r="F52" s="1" t="s">
        <v>179</v>
      </c>
      <c r="G52" s="1" t="s">
        <v>38</v>
      </c>
      <c r="H52" s="6">
        <v>2016.0</v>
      </c>
      <c r="I52" s="1" t="s">
        <v>121</v>
      </c>
      <c r="J52" s="1" t="s">
        <v>122</v>
      </c>
      <c r="K52" s="1" t="s">
        <v>180</v>
      </c>
      <c r="M52" s="7">
        <v>1.202231134E7</v>
      </c>
      <c r="N52" s="7">
        <v>0.0</v>
      </c>
      <c r="O52" s="8">
        <v>44378.0</v>
      </c>
      <c r="P52" s="7">
        <v>4.674140619E7</v>
      </c>
      <c r="Q52" s="7">
        <v>1.21119509E7</v>
      </c>
      <c r="R52" s="7">
        <v>0.0</v>
      </c>
      <c r="S52" s="1" t="s">
        <v>106</v>
      </c>
    </row>
    <row r="53" ht="15.0" customHeight="1">
      <c r="B53" s="6">
        <f t="shared" si="1"/>
        <v>51</v>
      </c>
      <c r="C53" s="1" t="s">
        <v>181</v>
      </c>
      <c r="D53" s="1" t="s">
        <v>43</v>
      </c>
      <c r="E53" s="1" t="s">
        <v>181</v>
      </c>
      <c r="F53" s="1" t="s">
        <v>182</v>
      </c>
      <c r="G53" s="1" t="s">
        <v>38</v>
      </c>
      <c r="H53" s="6">
        <v>2015.0</v>
      </c>
      <c r="I53" s="1" t="s">
        <v>121</v>
      </c>
      <c r="J53" s="1" t="s">
        <v>122</v>
      </c>
      <c r="K53" s="1" t="s">
        <v>180</v>
      </c>
      <c r="M53" s="7">
        <v>1.8599286E7</v>
      </c>
      <c r="N53" s="7">
        <v>6817988.0</v>
      </c>
      <c r="O53" s="8">
        <v>46112.0</v>
      </c>
      <c r="P53" s="7">
        <v>0.0</v>
      </c>
      <c r="Q53" s="7">
        <v>1.7982515E7</v>
      </c>
      <c r="R53" s="7">
        <v>0.0</v>
      </c>
      <c r="S53" s="1" t="s">
        <v>52</v>
      </c>
    </row>
    <row r="54" ht="15.0" hidden="1" customHeight="1">
      <c r="B54" s="6">
        <f t="shared" si="1"/>
        <v>52</v>
      </c>
      <c r="C54" s="1" t="s">
        <v>183</v>
      </c>
      <c r="D54" s="1" t="s">
        <v>43</v>
      </c>
      <c r="E54" s="1" t="s">
        <v>183</v>
      </c>
      <c r="F54" s="1" t="s">
        <v>140</v>
      </c>
      <c r="G54" s="1" t="s">
        <v>38</v>
      </c>
      <c r="H54" s="6">
        <v>2016.0</v>
      </c>
      <c r="I54" s="1" t="s">
        <v>121</v>
      </c>
      <c r="J54" s="1" t="s">
        <v>122</v>
      </c>
      <c r="K54" s="1" t="s">
        <v>127</v>
      </c>
      <c r="M54" s="7">
        <v>1.3E7</v>
      </c>
      <c r="N54" s="7">
        <v>0.0</v>
      </c>
      <c r="O54" s="8">
        <v>44287.0</v>
      </c>
      <c r="P54" s="7">
        <v>3.693386429E7</v>
      </c>
      <c r="Q54" s="7">
        <v>1.31028677E7</v>
      </c>
      <c r="R54" s="7">
        <v>0.0</v>
      </c>
      <c r="S54" s="1" t="s">
        <v>45</v>
      </c>
    </row>
    <row r="55" ht="15.0" customHeight="1">
      <c r="B55" s="6">
        <f t="shared" si="1"/>
        <v>53</v>
      </c>
      <c r="C55" s="1" t="s">
        <v>184</v>
      </c>
      <c r="D55" s="1" t="s">
        <v>43</v>
      </c>
      <c r="E55" s="1" t="s">
        <v>184</v>
      </c>
      <c r="F55" s="1" t="s">
        <v>185</v>
      </c>
      <c r="G55" s="1" t="s">
        <v>38</v>
      </c>
      <c r="H55" s="6">
        <v>2016.0</v>
      </c>
      <c r="I55" s="1" t="s">
        <v>121</v>
      </c>
      <c r="J55" s="1" t="s">
        <v>122</v>
      </c>
      <c r="K55" s="1" t="s">
        <v>132</v>
      </c>
      <c r="M55" s="7">
        <v>1.5E7</v>
      </c>
      <c r="N55" s="7">
        <v>731.0</v>
      </c>
      <c r="O55" s="8">
        <v>46022.0</v>
      </c>
      <c r="P55" s="7">
        <v>1.666735584E7</v>
      </c>
      <c r="Q55" s="7">
        <v>1.505785802E7</v>
      </c>
      <c r="R55" s="7">
        <v>0.0</v>
      </c>
      <c r="S55" s="1" t="s">
        <v>52</v>
      </c>
    </row>
    <row r="56" ht="15.0" hidden="1" customHeight="1">
      <c r="B56" s="6">
        <f t="shared" si="1"/>
        <v>54</v>
      </c>
      <c r="C56" s="1" t="s">
        <v>186</v>
      </c>
      <c r="D56" s="1" t="s">
        <v>43</v>
      </c>
      <c r="E56" s="1" t="s">
        <v>186</v>
      </c>
      <c r="F56" s="1" t="s">
        <v>140</v>
      </c>
      <c r="G56" s="1" t="s">
        <v>38</v>
      </c>
      <c r="H56" s="6">
        <v>2016.0</v>
      </c>
      <c r="I56" s="1" t="s">
        <v>121</v>
      </c>
      <c r="J56" s="1" t="s">
        <v>122</v>
      </c>
      <c r="K56" s="1" t="s">
        <v>127</v>
      </c>
      <c r="M56" s="7">
        <v>1.35E7</v>
      </c>
      <c r="N56" s="7">
        <v>1.574820338E7</v>
      </c>
      <c r="O56" s="8">
        <v>46112.0</v>
      </c>
      <c r="P56" s="7">
        <v>198589.02</v>
      </c>
      <c r="Q56" s="7">
        <v>1.336104829E7</v>
      </c>
      <c r="R56" s="7">
        <v>320091.02</v>
      </c>
      <c r="S56" s="1" t="s">
        <v>45</v>
      </c>
    </row>
    <row r="57" ht="15.0" customHeight="1">
      <c r="B57" s="6">
        <f t="shared" si="1"/>
        <v>55</v>
      </c>
      <c r="C57" s="1" t="s">
        <v>188</v>
      </c>
      <c r="D57" s="1" t="s">
        <v>43</v>
      </c>
      <c r="E57" s="1" t="s">
        <v>188</v>
      </c>
      <c r="F57" s="1" t="s">
        <v>125</v>
      </c>
      <c r="G57" s="1" t="s">
        <v>38</v>
      </c>
      <c r="H57" s="6">
        <v>2016.0</v>
      </c>
      <c r="I57" s="1" t="s">
        <v>126</v>
      </c>
      <c r="J57" s="1" t="s">
        <v>126</v>
      </c>
      <c r="K57" s="1" t="s">
        <v>126</v>
      </c>
      <c r="M57" s="7">
        <v>1.776E7</v>
      </c>
      <c r="N57" s="7">
        <v>17246.0</v>
      </c>
      <c r="O57" s="8">
        <v>46112.0</v>
      </c>
      <c r="P57" s="7">
        <v>4.800512346E7</v>
      </c>
      <c r="Q57" s="7">
        <v>1.533803854E7</v>
      </c>
      <c r="R57" s="7">
        <v>3171583.83</v>
      </c>
      <c r="S57" s="1" t="s">
        <v>52</v>
      </c>
    </row>
    <row r="58" ht="15.0" customHeight="1">
      <c r="B58" s="6">
        <f t="shared" si="1"/>
        <v>56</v>
      </c>
      <c r="C58" s="1" t="s">
        <v>189</v>
      </c>
      <c r="D58" s="1" t="s">
        <v>43</v>
      </c>
      <c r="E58" s="1" t="s">
        <v>189</v>
      </c>
      <c r="F58" s="1" t="s">
        <v>190</v>
      </c>
      <c r="G58" s="1" t="s">
        <v>38</v>
      </c>
      <c r="H58" s="6">
        <v>2016.0</v>
      </c>
      <c r="I58" s="1" t="s">
        <v>121</v>
      </c>
      <c r="J58" s="1" t="s">
        <v>122</v>
      </c>
      <c r="K58" s="1" t="s">
        <v>123</v>
      </c>
      <c r="M58" s="7">
        <v>9900000.0</v>
      </c>
      <c r="N58" s="7">
        <v>0.0</v>
      </c>
      <c r="O58" s="8">
        <v>44377.0</v>
      </c>
      <c r="P58" s="7">
        <v>3.470489656E7</v>
      </c>
      <c r="Q58" s="7">
        <v>9900000.0</v>
      </c>
      <c r="R58" s="7">
        <v>0.0</v>
      </c>
      <c r="S58" s="1" t="s">
        <v>52</v>
      </c>
    </row>
    <row r="59" ht="15.0" customHeight="1">
      <c r="B59" s="6">
        <f t="shared" si="1"/>
        <v>57</v>
      </c>
      <c r="C59" s="1" t="s">
        <v>191</v>
      </c>
      <c r="D59" s="1" t="s">
        <v>43</v>
      </c>
      <c r="E59" s="1" t="s">
        <v>192</v>
      </c>
      <c r="F59" s="1" t="s">
        <v>129</v>
      </c>
      <c r="G59" s="1" t="s">
        <v>38</v>
      </c>
      <c r="H59" s="6">
        <v>2017.0</v>
      </c>
      <c r="I59" s="1" t="s">
        <v>121</v>
      </c>
      <c r="J59" s="1" t="s">
        <v>122</v>
      </c>
      <c r="K59" s="1" t="s">
        <v>180</v>
      </c>
      <c r="M59" s="7">
        <v>1.0E7</v>
      </c>
      <c r="N59" s="7">
        <v>8387045.0</v>
      </c>
      <c r="O59" s="8">
        <v>46112.0</v>
      </c>
      <c r="P59" s="7">
        <v>1.833207023E7</v>
      </c>
      <c r="Q59" s="7">
        <v>1.005573417E7</v>
      </c>
      <c r="R59" s="7">
        <v>0.0</v>
      </c>
      <c r="S59" s="1" t="s">
        <v>52</v>
      </c>
    </row>
    <row r="60" ht="15.0" customHeight="1">
      <c r="B60" s="6">
        <f t="shared" si="1"/>
        <v>58</v>
      </c>
      <c r="C60" s="1" t="s">
        <v>193</v>
      </c>
      <c r="D60" s="1" t="s">
        <v>43</v>
      </c>
      <c r="E60" s="1" t="s">
        <v>193</v>
      </c>
      <c r="F60" s="1" t="s">
        <v>88</v>
      </c>
      <c r="G60" s="1" t="s">
        <v>38</v>
      </c>
      <c r="H60" s="6">
        <v>2017.0</v>
      </c>
      <c r="I60" s="1" t="s">
        <v>121</v>
      </c>
      <c r="J60" s="1" t="s">
        <v>122</v>
      </c>
      <c r="K60" s="1" t="s">
        <v>164</v>
      </c>
      <c r="M60" s="7">
        <v>1.23E7</v>
      </c>
      <c r="N60" s="7">
        <v>0.0</v>
      </c>
      <c r="O60" s="8">
        <v>44193.0</v>
      </c>
      <c r="P60" s="7">
        <v>2.061719355E7</v>
      </c>
      <c r="Q60" s="7">
        <v>1.001335611E7</v>
      </c>
      <c r="R60" s="7">
        <v>-0.11</v>
      </c>
      <c r="S60" s="1" t="s">
        <v>52</v>
      </c>
    </row>
    <row r="61" ht="15.0" hidden="1" customHeight="1">
      <c r="B61" s="6">
        <f t="shared" si="1"/>
        <v>59</v>
      </c>
      <c r="C61" s="1" t="s">
        <v>194</v>
      </c>
      <c r="D61" s="1" t="s">
        <v>43</v>
      </c>
      <c r="E61" s="1" t="s">
        <v>195</v>
      </c>
      <c r="F61" s="1" t="s">
        <v>125</v>
      </c>
      <c r="G61" s="1" t="s">
        <v>38</v>
      </c>
      <c r="H61" s="6">
        <v>2017.0</v>
      </c>
      <c r="I61" s="1" t="s">
        <v>121</v>
      </c>
      <c r="J61" s="1" t="s">
        <v>122</v>
      </c>
      <c r="K61" s="1" t="s">
        <v>123</v>
      </c>
      <c r="M61" s="7">
        <v>1.5E7</v>
      </c>
      <c r="N61" s="7">
        <v>1.0981768E7</v>
      </c>
      <c r="O61" s="8">
        <v>46112.0</v>
      </c>
      <c r="P61" s="7">
        <v>1.530177425E7</v>
      </c>
      <c r="Q61" s="7">
        <v>1.257068049E7</v>
      </c>
      <c r="R61" s="7">
        <v>2429319.51</v>
      </c>
      <c r="S61" s="1" t="s">
        <v>45</v>
      </c>
    </row>
    <row r="62" ht="15.0" customHeight="1">
      <c r="B62" s="6">
        <f t="shared" si="1"/>
        <v>60</v>
      </c>
      <c r="C62" s="1" t="s">
        <v>196</v>
      </c>
      <c r="D62" s="1" t="s">
        <v>43</v>
      </c>
      <c r="E62" s="1" t="s">
        <v>197</v>
      </c>
      <c r="F62" s="1" t="s">
        <v>131</v>
      </c>
      <c r="G62" s="1" t="s">
        <v>38</v>
      </c>
      <c r="H62" s="6">
        <v>2017.0</v>
      </c>
      <c r="I62" s="1" t="s">
        <v>121</v>
      </c>
      <c r="J62" s="1" t="s">
        <v>122</v>
      </c>
      <c r="K62" s="1" t="s">
        <v>132</v>
      </c>
      <c r="M62" s="7">
        <v>1.5E7</v>
      </c>
      <c r="N62" s="7">
        <v>0.0</v>
      </c>
      <c r="O62" s="8">
        <v>45016.0</v>
      </c>
      <c r="P62" s="7">
        <v>7.7772894E7</v>
      </c>
      <c r="Q62" s="7">
        <v>1.5E7</v>
      </c>
      <c r="R62" s="7">
        <v>0.0</v>
      </c>
      <c r="S62" s="1" t="s">
        <v>52</v>
      </c>
    </row>
    <row r="63" ht="15.0" customHeight="1">
      <c r="B63" s="6">
        <f t="shared" si="1"/>
        <v>61</v>
      </c>
      <c r="C63" s="1" t="s">
        <v>198</v>
      </c>
      <c r="D63" s="1" t="s">
        <v>43</v>
      </c>
      <c r="E63" s="1" t="s">
        <v>198</v>
      </c>
      <c r="F63" s="1" t="s">
        <v>125</v>
      </c>
      <c r="G63" s="1" t="s">
        <v>38</v>
      </c>
      <c r="H63" s="6">
        <v>2017.0</v>
      </c>
      <c r="I63" s="1" t="s">
        <v>121</v>
      </c>
      <c r="J63" s="1" t="s">
        <v>122</v>
      </c>
      <c r="K63" s="1" t="s">
        <v>127</v>
      </c>
      <c r="M63" s="7">
        <v>5000000.0</v>
      </c>
      <c r="N63" s="7">
        <v>46880.0</v>
      </c>
      <c r="O63" s="8">
        <v>46112.0</v>
      </c>
      <c r="P63" s="7">
        <v>3.168022888E7</v>
      </c>
      <c r="Q63" s="7">
        <v>5000000.0</v>
      </c>
      <c r="R63" s="7">
        <v>0.0</v>
      </c>
      <c r="S63" s="1" t="s">
        <v>52</v>
      </c>
    </row>
    <row r="64" ht="15.0" hidden="1" customHeight="1">
      <c r="B64" s="6">
        <f t="shared" si="1"/>
        <v>62</v>
      </c>
      <c r="C64" s="1" t="s">
        <v>199</v>
      </c>
      <c r="D64" s="1" t="s">
        <v>43</v>
      </c>
      <c r="E64" s="1" t="s">
        <v>200</v>
      </c>
      <c r="F64" s="1" t="s">
        <v>179</v>
      </c>
      <c r="G64" s="1" t="s">
        <v>38</v>
      </c>
      <c r="H64" s="6">
        <v>2017.0</v>
      </c>
      <c r="I64" s="1" t="s">
        <v>121</v>
      </c>
      <c r="J64" s="1" t="s">
        <v>122</v>
      </c>
      <c r="K64" s="1" t="s">
        <v>180</v>
      </c>
      <c r="M64" s="7">
        <v>2.9934293E7</v>
      </c>
      <c r="N64" s="7">
        <v>5231303.0</v>
      </c>
      <c r="O64" s="8">
        <v>46112.0</v>
      </c>
      <c r="P64" s="7">
        <v>1.893429265E7</v>
      </c>
      <c r="Q64" s="7">
        <v>1.115572378E7</v>
      </c>
      <c r="R64" s="7">
        <v>1.877856922E7</v>
      </c>
      <c r="S64" s="1" t="s">
        <v>106</v>
      </c>
    </row>
    <row r="65" ht="15.0" hidden="1" customHeight="1">
      <c r="B65" s="6">
        <f t="shared" si="1"/>
        <v>63</v>
      </c>
      <c r="C65" s="1" t="s">
        <v>201</v>
      </c>
      <c r="D65" s="1" t="s">
        <v>43</v>
      </c>
      <c r="E65" s="1" t="s">
        <v>201</v>
      </c>
      <c r="F65" s="1" t="s">
        <v>140</v>
      </c>
      <c r="G65" s="1" t="s">
        <v>38</v>
      </c>
      <c r="H65" s="6">
        <v>2017.0</v>
      </c>
      <c r="I65" s="1" t="s">
        <v>121</v>
      </c>
      <c r="J65" s="1" t="s">
        <v>122</v>
      </c>
      <c r="K65" s="1" t="s">
        <v>127</v>
      </c>
      <c r="M65" s="7">
        <v>1.2E7</v>
      </c>
      <c r="N65" s="7">
        <v>8993846.78</v>
      </c>
      <c r="O65" s="8">
        <v>46112.0</v>
      </c>
      <c r="P65" s="7">
        <v>2.411807767E7</v>
      </c>
      <c r="Q65" s="7">
        <v>1.213386791E7</v>
      </c>
      <c r="R65" s="7">
        <v>0.0</v>
      </c>
      <c r="S65" s="1" t="s">
        <v>45</v>
      </c>
    </row>
    <row r="66" ht="15.0" customHeight="1">
      <c r="B66" s="6">
        <f t="shared" si="1"/>
        <v>64</v>
      </c>
      <c r="C66" s="1" t="s">
        <v>202</v>
      </c>
      <c r="D66" s="1" t="s">
        <v>43</v>
      </c>
      <c r="E66" s="1" t="s">
        <v>202</v>
      </c>
      <c r="F66" s="1" t="s">
        <v>88</v>
      </c>
      <c r="G66" s="1" t="s">
        <v>38</v>
      </c>
      <c r="H66" s="6">
        <v>2018.0</v>
      </c>
      <c r="I66" s="1" t="s">
        <v>121</v>
      </c>
      <c r="J66" s="1" t="s">
        <v>122</v>
      </c>
      <c r="K66" s="1" t="s">
        <v>123</v>
      </c>
      <c r="M66" s="7">
        <v>1.6E7</v>
      </c>
      <c r="N66" s="7">
        <v>2.5984241E7</v>
      </c>
      <c r="O66" s="8">
        <v>46112.0</v>
      </c>
      <c r="P66" s="7">
        <v>2192.09</v>
      </c>
      <c r="Q66" s="7">
        <v>1.257217753E7</v>
      </c>
      <c r="R66" s="7">
        <v>3427822.47</v>
      </c>
      <c r="S66" s="1" t="s">
        <v>52</v>
      </c>
    </row>
    <row r="67" ht="15.0" customHeight="1">
      <c r="B67" s="6">
        <f t="shared" si="1"/>
        <v>65</v>
      </c>
      <c r="C67" s="1" t="s">
        <v>203</v>
      </c>
      <c r="D67" s="1" t="s">
        <v>43</v>
      </c>
      <c r="E67" s="1" t="s">
        <v>203</v>
      </c>
      <c r="F67" s="1" t="s">
        <v>37</v>
      </c>
      <c r="G67" s="1" t="s">
        <v>38</v>
      </c>
      <c r="H67" s="6">
        <v>2018.0</v>
      </c>
      <c r="I67" s="1" t="s">
        <v>121</v>
      </c>
      <c r="J67" s="1" t="s">
        <v>122</v>
      </c>
      <c r="K67" s="1" t="s">
        <v>204</v>
      </c>
      <c r="M67" s="7">
        <v>2.5E7</v>
      </c>
      <c r="N67" s="7">
        <v>5373948.0</v>
      </c>
      <c r="O67" s="8">
        <v>46112.0</v>
      </c>
      <c r="P67" s="7">
        <v>2.639376957E7</v>
      </c>
      <c r="Q67" s="7">
        <v>1.940133152E7</v>
      </c>
      <c r="R67" s="7">
        <v>759958.8</v>
      </c>
      <c r="S67" s="1" t="s">
        <v>52</v>
      </c>
    </row>
    <row r="68" ht="15.0" customHeight="1">
      <c r="B68" s="6">
        <f t="shared" si="1"/>
        <v>66</v>
      </c>
      <c r="C68" s="1" t="s">
        <v>205</v>
      </c>
      <c r="D68" s="1" t="s">
        <v>43</v>
      </c>
      <c r="E68" s="1" t="s">
        <v>205</v>
      </c>
      <c r="F68" s="1" t="s">
        <v>163</v>
      </c>
      <c r="G68" s="1" t="s">
        <v>38</v>
      </c>
      <c r="H68" s="6">
        <v>2018.0</v>
      </c>
      <c r="I68" s="1" t="s">
        <v>121</v>
      </c>
      <c r="J68" s="1" t="s">
        <v>122</v>
      </c>
      <c r="K68" s="1" t="s">
        <v>123</v>
      </c>
      <c r="M68" s="7">
        <v>1.5E7</v>
      </c>
      <c r="N68" s="7">
        <v>9582487.0</v>
      </c>
      <c r="O68" s="8">
        <v>46112.0</v>
      </c>
      <c r="P68" s="7">
        <v>1.4954121E7</v>
      </c>
      <c r="Q68" s="7">
        <v>1.5048294E7</v>
      </c>
      <c r="R68" s="7">
        <v>0.0</v>
      </c>
      <c r="S68" s="1" t="s">
        <v>52</v>
      </c>
    </row>
    <row r="69" ht="15.0" customHeight="1">
      <c r="B69" s="6">
        <f t="shared" si="1"/>
        <v>67</v>
      </c>
      <c r="C69" s="1" t="s">
        <v>206</v>
      </c>
      <c r="D69" s="1" t="s">
        <v>43</v>
      </c>
      <c r="E69" s="1" t="s">
        <v>206</v>
      </c>
      <c r="F69" s="1" t="s">
        <v>131</v>
      </c>
      <c r="G69" s="1" t="s">
        <v>38</v>
      </c>
      <c r="H69" s="6">
        <v>2018.0</v>
      </c>
      <c r="I69" s="1" t="s">
        <v>126</v>
      </c>
      <c r="J69" s="1" t="s">
        <v>126</v>
      </c>
      <c r="K69" s="1" t="s">
        <v>126</v>
      </c>
      <c r="M69" s="7">
        <v>2.2373475E7</v>
      </c>
      <c r="N69" s="7">
        <v>38293.0</v>
      </c>
      <c r="O69" s="8">
        <v>46112.0</v>
      </c>
      <c r="P69" s="7">
        <v>1.450013E7</v>
      </c>
      <c r="Q69" s="7">
        <v>2.2394714E7</v>
      </c>
      <c r="R69" s="7">
        <v>0.0</v>
      </c>
      <c r="S69" s="1" t="s">
        <v>52</v>
      </c>
    </row>
    <row r="70" ht="15.0" hidden="1" customHeight="1">
      <c r="B70" s="6">
        <f t="shared" si="1"/>
        <v>68</v>
      </c>
      <c r="C70" s="1" t="s">
        <v>207</v>
      </c>
      <c r="D70" s="1" t="s">
        <v>43</v>
      </c>
      <c r="E70" s="1" t="s">
        <v>207</v>
      </c>
      <c r="F70" s="1" t="s">
        <v>208</v>
      </c>
      <c r="G70" s="1" t="s">
        <v>38</v>
      </c>
      <c r="H70" s="6">
        <v>2018.0</v>
      </c>
      <c r="I70" s="1" t="s">
        <v>126</v>
      </c>
      <c r="J70" s="1" t="s">
        <v>126</v>
      </c>
      <c r="K70" s="1" t="s">
        <v>126</v>
      </c>
      <c r="M70" s="7">
        <v>1.19E7</v>
      </c>
      <c r="N70" s="7">
        <v>2.7588049E7</v>
      </c>
      <c r="O70" s="8">
        <v>46112.0</v>
      </c>
      <c r="P70" s="7">
        <v>5855455.94</v>
      </c>
      <c r="Q70" s="7">
        <v>1.2414286E7</v>
      </c>
      <c r="R70" s="7">
        <v>0.0</v>
      </c>
      <c r="S70" s="1" t="s">
        <v>45</v>
      </c>
    </row>
    <row r="71" ht="15.0" customHeight="1">
      <c r="B71" s="6">
        <f t="shared" si="1"/>
        <v>69</v>
      </c>
      <c r="C71" s="1" t="s">
        <v>209</v>
      </c>
      <c r="D71" s="1" t="s">
        <v>43</v>
      </c>
      <c r="E71" s="1" t="s">
        <v>209</v>
      </c>
      <c r="F71" s="1" t="s">
        <v>143</v>
      </c>
      <c r="G71" s="1" t="s">
        <v>38</v>
      </c>
      <c r="H71" s="6">
        <v>2018.0</v>
      </c>
      <c r="I71" s="1" t="s">
        <v>121</v>
      </c>
      <c r="J71" s="1" t="s">
        <v>122</v>
      </c>
      <c r="K71" s="1" t="s">
        <v>123</v>
      </c>
      <c r="M71" s="7">
        <v>1.04E7</v>
      </c>
      <c r="N71" s="7">
        <v>0.0</v>
      </c>
      <c r="O71" s="8">
        <v>46112.0</v>
      </c>
      <c r="P71" s="7">
        <v>0.0</v>
      </c>
      <c r="Q71" s="7">
        <v>1.04E7</v>
      </c>
      <c r="R71" s="7">
        <v>0.0</v>
      </c>
      <c r="S71" s="1" t="s">
        <v>52</v>
      </c>
    </row>
    <row r="72" ht="15.0" customHeight="1">
      <c r="B72" s="6">
        <f t="shared" si="1"/>
        <v>70</v>
      </c>
      <c r="C72" s="1" t="s">
        <v>210</v>
      </c>
      <c r="D72" s="1" t="s">
        <v>43</v>
      </c>
      <c r="E72" s="1" t="s">
        <v>210</v>
      </c>
      <c r="F72" s="1" t="s">
        <v>211</v>
      </c>
      <c r="G72" s="1" t="s">
        <v>38</v>
      </c>
      <c r="H72" s="6">
        <v>2018.0</v>
      </c>
      <c r="I72" s="1" t="s">
        <v>164</v>
      </c>
      <c r="J72" s="1" t="s">
        <v>122</v>
      </c>
      <c r="K72" s="1" t="s">
        <v>127</v>
      </c>
      <c r="M72" s="7">
        <v>2.5E7</v>
      </c>
      <c r="N72" s="7">
        <v>15115.0</v>
      </c>
      <c r="O72" s="8">
        <v>46112.0</v>
      </c>
      <c r="P72" s="7">
        <v>0.0</v>
      </c>
      <c r="Q72" s="7">
        <v>2.65E7</v>
      </c>
      <c r="R72" s="7">
        <v>0.0</v>
      </c>
      <c r="S72" s="1" t="s">
        <v>52</v>
      </c>
    </row>
    <row r="73" ht="15.0" customHeight="1">
      <c r="B73" s="6">
        <f t="shared" si="1"/>
        <v>71</v>
      </c>
      <c r="C73" s="1" t="s">
        <v>212</v>
      </c>
      <c r="D73" s="1" t="s">
        <v>43</v>
      </c>
      <c r="E73" s="1" t="s">
        <v>213</v>
      </c>
      <c r="F73" s="1" t="s">
        <v>214</v>
      </c>
      <c r="G73" s="1" t="s">
        <v>38</v>
      </c>
      <c r="H73" s="6">
        <v>2018.0</v>
      </c>
      <c r="I73" s="1" t="s">
        <v>121</v>
      </c>
      <c r="J73" s="1" t="s">
        <v>122</v>
      </c>
      <c r="K73" s="1" t="s">
        <v>180</v>
      </c>
      <c r="M73" s="7">
        <v>2.5E7</v>
      </c>
      <c r="N73" s="7">
        <v>2.5023936E7</v>
      </c>
      <c r="O73" s="8">
        <v>46112.0</v>
      </c>
      <c r="P73" s="7">
        <v>2.520028E7</v>
      </c>
      <c r="Q73" s="7">
        <v>2.5048635E7</v>
      </c>
      <c r="R73" s="7">
        <v>0.0</v>
      </c>
      <c r="S73" s="1" t="s">
        <v>52</v>
      </c>
    </row>
    <row r="74" ht="15.0" customHeight="1">
      <c r="B74" s="6">
        <f t="shared" si="1"/>
        <v>72</v>
      </c>
      <c r="C74" s="1" t="s">
        <v>215</v>
      </c>
      <c r="D74" s="1" t="s">
        <v>43</v>
      </c>
      <c r="E74" s="1" t="s">
        <v>215</v>
      </c>
      <c r="F74" s="1" t="s">
        <v>88</v>
      </c>
      <c r="G74" s="1" t="s">
        <v>38</v>
      </c>
      <c r="H74" s="6">
        <v>2018.0</v>
      </c>
      <c r="I74" s="1" t="s">
        <v>126</v>
      </c>
      <c r="J74" s="1" t="s">
        <v>126</v>
      </c>
      <c r="K74" s="1" t="s">
        <v>126</v>
      </c>
      <c r="M74" s="7">
        <v>1.475E7</v>
      </c>
      <c r="N74" s="7">
        <v>1.3818823E7</v>
      </c>
      <c r="O74" s="8">
        <v>46112.0</v>
      </c>
      <c r="P74" s="7">
        <v>1223.34</v>
      </c>
      <c r="Q74" s="7">
        <v>1.368282627E7</v>
      </c>
      <c r="R74" s="7">
        <v>1067173.73</v>
      </c>
      <c r="S74" s="1" t="s">
        <v>52</v>
      </c>
    </row>
    <row r="75" ht="15.0" customHeight="1">
      <c r="B75" s="6">
        <f t="shared" si="1"/>
        <v>73</v>
      </c>
      <c r="C75" s="1" t="s">
        <v>216</v>
      </c>
      <c r="D75" s="1" t="s">
        <v>43</v>
      </c>
      <c r="E75" s="1" t="s">
        <v>216</v>
      </c>
      <c r="F75" s="1" t="s">
        <v>137</v>
      </c>
      <c r="G75" s="1" t="s">
        <v>38</v>
      </c>
      <c r="H75" s="6">
        <v>2018.0</v>
      </c>
      <c r="I75" s="1" t="s">
        <v>121</v>
      </c>
      <c r="J75" s="1" t="s">
        <v>122</v>
      </c>
      <c r="K75" s="1" t="s">
        <v>127</v>
      </c>
      <c r="M75" s="7">
        <v>1.0013736E7</v>
      </c>
      <c r="N75" s="7">
        <v>0.0</v>
      </c>
      <c r="O75" s="8">
        <v>44916.0</v>
      </c>
      <c r="P75" s="7">
        <v>4.5474116E7</v>
      </c>
      <c r="Q75" s="7">
        <v>1.0085521E7</v>
      </c>
      <c r="R75" s="7">
        <v>0.0</v>
      </c>
      <c r="S75" s="1" t="s">
        <v>52</v>
      </c>
    </row>
    <row r="76" ht="15.0" hidden="1" customHeight="1">
      <c r="B76" s="6">
        <f t="shared" si="1"/>
        <v>74</v>
      </c>
      <c r="C76" s="1" t="s">
        <v>217</v>
      </c>
      <c r="D76" s="1" t="s">
        <v>43</v>
      </c>
      <c r="E76" s="1" t="s">
        <v>217</v>
      </c>
      <c r="F76" s="1" t="s">
        <v>140</v>
      </c>
      <c r="G76" s="1" t="s">
        <v>38</v>
      </c>
      <c r="H76" s="6">
        <v>2018.0</v>
      </c>
      <c r="I76" s="1" t="s">
        <v>121</v>
      </c>
      <c r="J76" s="1" t="s">
        <v>122</v>
      </c>
      <c r="K76" s="1" t="s">
        <v>127</v>
      </c>
      <c r="M76" s="7">
        <v>1.61460157E7</v>
      </c>
      <c r="N76" s="7">
        <v>18100.56</v>
      </c>
      <c r="O76" s="8">
        <v>46022.0</v>
      </c>
      <c r="P76" s="7">
        <v>3.801920192E7</v>
      </c>
      <c r="Q76" s="7">
        <v>1.629206085E7</v>
      </c>
      <c r="R76" s="7">
        <v>0.02</v>
      </c>
      <c r="S76" s="1" t="s">
        <v>45</v>
      </c>
    </row>
    <row r="77" ht="15.0" customHeight="1">
      <c r="B77" s="6">
        <f t="shared" si="1"/>
        <v>75</v>
      </c>
      <c r="C77" s="1" t="s">
        <v>218</v>
      </c>
      <c r="D77" s="1" t="s">
        <v>43</v>
      </c>
      <c r="E77" s="1" t="s">
        <v>218</v>
      </c>
      <c r="F77" s="1" t="s">
        <v>219</v>
      </c>
      <c r="G77" s="1" t="s">
        <v>38</v>
      </c>
      <c r="H77" s="6">
        <v>2018.0</v>
      </c>
      <c r="I77" s="1" t="s">
        <v>126</v>
      </c>
      <c r="J77" s="1" t="s">
        <v>126</v>
      </c>
      <c r="K77" s="1" t="s">
        <v>126</v>
      </c>
      <c r="M77" s="7">
        <v>2.5E7</v>
      </c>
      <c r="N77" s="7">
        <v>0.0</v>
      </c>
      <c r="O77" s="8">
        <v>46022.0</v>
      </c>
      <c r="P77" s="7">
        <v>0.0</v>
      </c>
      <c r="Q77" s="7">
        <v>2.509541282E7</v>
      </c>
      <c r="R77" s="7">
        <v>0.0</v>
      </c>
      <c r="S77" s="1" t="s">
        <v>52</v>
      </c>
    </row>
    <row r="78" ht="15.0" customHeight="1">
      <c r="B78" s="6">
        <f t="shared" si="1"/>
        <v>76</v>
      </c>
      <c r="C78" s="1" t="s">
        <v>220</v>
      </c>
      <c r="D78" s="1" t="s">
        <v>43</v>
      </c>
      <c r="E78" s="1" t="s">
        <v>220</v>
      </c>
      <c r="F78" s="1" t="s">
        <v>91</v>
      </c>
      <c r="G78" s="1" t="s">
        <v>38</v>
      </c>
      <c r="H78" s="6">
        <v>2019.0</v>
      </c>
      <c r="I78" s="1" t="s">
        <v>121</v>
      </c>
      <c r="J78" s="1" t="s">
        <v>122</v>
      </c>
      <c r="K78" s="1" t="s">
        <v>127</v>
      </c>
      <c r="M78" s="7">
        <v>2.5E7</v>
      </c>
      <c r="N78" s="7">
        <v>2.094962E7</v>
      </c>
      <c r="O78" s="8">
        <v>46112.0</v>
      </c>
      <c r="P78" s="7">
        <v>2.770852952E7</v>
      </c>
      <c r="Q78" s="7">
        <v>2.478428652E7</v>
      </c>
      <c r="R78" s="7">
        <v>246269.04</v>
      </c>
      <c r="S78" s="1" t="s">
        <v>52</v>
      </c>
    </row>
    <row r="79" ht="15.0" customHeight="1">
      <c r="B79" s="6">
        <f t="shared" si="1"/>
        <v>77</v>
      </c>
      <c r="C79" s="1" t="s">
        <v>221</v>
      </c>
      <c r="D79" s="1" t="s">
        <v>43</v>
      </c>
      <c r="E79" s="1" t="s">
        <v>221</v>
      </c>
      <c r="F79" s="1" t="s">
        <v>190</v>
      </c>
      <c r="G79" s="1" t="s">
        <v>38</v>
      </c>
      <c r="H79" s="6">
        <v>2018.0</v>
      </c>
      <c r="I79" s="1" t="s">
        <v>121</v>
      </c>
      <c r="J79" s="1" t="s">
        <v>122</v>
      </c>
      <c r="K79" s="1" t="s">
        <v>123</v>
      </c>
      <c r="M79" s="7">
        <v>1.5E7</v>
      </c>
      <c r="N79" s="7">
        <v>0.0</v>
      </c>
      <c r="O79" s="8">
        <v>44663.0</v>
      </c>
      <c r="P79" s="7">
        <v>4.280969524E7</v>
      </c>
      <c r="Q79" s="7">
        <v>1.5E7</v>
      </c>
      <c r="R79" s="7">
        <v>0.0</v>
      </c>
      <c r="S79" s="1" t="s">
        <v>52</v>
      </c>
    </row>
    <row r="80" ht="15.0" hidden="1" customHeight="1">
      <c r="B80" s="6">
        <f t="shared" si="1"/>
        <v>78</v>
      </c>
      <c r="C80" s="1" t="s">
        <v>222</v>
      </c>
      <c r="D80" s="1" t="s">
        <v>43</v>
      </c>
      <c r="E80" s="1" t="s">
        <v>222</v>
      </c>
      <c r="F80" s="1" t="s">
        <v>223</v>
      </c>
      <c r="G80" s="1" t="s">
        <v>38</v>
      </c>
      <c r="H80" s="6">
        <v>2019.0</v>
      </c>
      <c r="I80" s="1" t="s">
        <v>121</v>
      </c>
      <c r="J80" s="1" t="s">
        <v>122</v>
      </c>
      <c r="K80" s="1" t="s">
        <v>164</v>
      </c>
      <c r="M80" s="7">
        <v>2.2072364E7</v>
      </c>
      <c r="N80" s="7">
        <v>0.0</v>
      </c>
      <c r="O80" s="8">
        <v>45377.0</v>
      </c>
      <c r="P80" s="7">
        <v>4.637545971E7</v>
      </c>
      <c r="Q80" s="7">
        <v>2.258114421E7</v>
      </c>
      <c r="R80" s="7">
        <v>0.0</v>
      </c>
      <c r="S80" s="1" t="s">
        <v>45</v>
      </c>
    </row>
    <row r="81" ht="15.0" hidden="1" customHeight="1">
      <c r="B81" s="6">
        <f t="shared" si="1"/>
        <v>79</v>
      </c>
      <c r="C81" s="1" t="s">
        <v>224</v>
      </c>
      <c r="D81" s="1" t="s">
        <v>43</v>
      </c>
      <c r="E81" s="1" t="s">
        <v>224</v>
      </c>
      <c r="F81" s="1" t="s">
        <v>179</v>
      </c>
      <c r="G81" s="1" t="s">
        <v>38</v>
      </c>
      <c r="H81" s="6">
        <v>2019.0</v>
      </c>
      <c r="I81" s="1" t="s">
        <v>121</v>
      </c>
      <c r="J81" s="1" t="s">
        <v>122</v>
      </c>
      <c r="K81" s="1" t="s">
        <v>132</v>
      </c>
      <c r="M81" s="7">
        <v>1.08E7</v>
      </c>
      <c r="N81" s="7">
        <v>0.0</v>
      </c>
      <c r="O81" s="8">
        <v>45470.0</v>
      </c>
      <c r="P81" s="7">
        <v>2.364909679E7</v>
      </c>
      <c r="Q81" s="7">
        <v>9013571.43</v>
      </c>
      <c r="R81" s="7">
        <v>0.0</v>
      </c>
      <c r="S81" s="1" t="s">
        <v>106</v>
      </c>
    </row>
    <row r="82" ht="15.0" customHeight="1">
      <c r="B82" s="6">
        <f t="shared" si="1"/>
        <v>80</v>
      </c>
      <c r="C82" s="1" t="s">
        <v>225</v>
      </c>
      <c r="D82" s="1" t="s">
        <v>43</v>
      </c>
      <c r="E82" s="1" t="s">
        <v>226</v>
      </c>
      <c r="F82" s="1" t="s">
        <v>227</v>
      </c>
      <c r="G82" s="1" t="s">
        <v>38</v>
      </c>
      <c r="H82" s="6">
        <v>2019.0</v>
      </c>
      <c r="I82" s="1" t="s">
        <v>126</v>
      </c>
      <c r="J82" s="1" t="s">
        <v>126</v>
      </c>
      <c r="K82" s="1" t="s">
        <v>126</v>
      </c>
      <c r="M82" s="7">
        <v>1.272604108E7</v>
      </c>
      <c r="N82" s="7">
        <v>245864.11</v>
      </c>
      <c r="O82" s="8">
        <v>46112.0</v>
      </c>
      <c r="P82" s="7">
        <v>3.77041872E7</v>
      </c>
      <c r="Q82" s="7">
        <v>1.272604108E7</v>
      </c>
      <c r="R82" s="7">
        <v>0.0</v>
      </c>
      <c r="S82" s="1" t="s">
        <v>52</v>
      </c>
    </row>
    <row r="83" ht="15.0" customHeight="1">
      <c r="B83" s="6">
        <f t="shared" si="1"/>
        <v>81</v>
      </c>
      <c r="C83" s="1" t="s">
        <v>228</v>
      </c>
      <c r="D83" s="1" t="s">
        <v>43</v>
      </c>
      <c r="E83" s="1" t="s">
        <v>228</v>
      </c>
      <c r="F83" s="1" t="s">
        <v>125</v>
      </c>
      <c r="G83" s="1" t="s">
        <v>38</v>
      </c>
      <c r="H83" s="6">
        <v>2019.0</v>
      </c>
      <c r="I83" s="1" t="s">
        <v>121</v>
      </c>
      <c r="J83" s="1" t="s">
        <v>122</v>
      </c>
      <c r="K83" s="1" t="s">
        <v>132</v>
      </c>
      <c r="M83" s="7">
        <v>2.25E7</v>
      </c>
      <c r="N83" s="7">
        <v>0.0</v>
      </c>
      <c r="O83" s="8">
        <v>45359.0</v>
      </c>
      <c r="P83" s="7">
        <v>3.997491935E7</v>
      </c>
      <c r="Q83" s="7">
        <v>2.283241122E7</v>
      </c>
      <c r="R83" s="7">
        <v>0.0</v>
      </c>
      <c r="S83" s="1" t="s">
        <v>52</v>
      </c>
    </row>
    <row r="84" ht="15.0" hidden="1" customHeight="1">
      <c r="B84" s="6">
        <f t="shared" si="1"/>
        <v>82</v>
      </c>
      <c r="C84" s="1" t="s">
        <v>229</v>
      </c>
      <c r="D84" s="1" t="s">
        <v>43</v>
      </c>
      <c r="E84" s="1" t="s">
        <v>229</v>
      </c>
      <c r="F84" s="1" t="s">
        <v>208</v>
      </c>
      <c r="G84" s="1" t="s">
        <v>38</v>
      </c>
      <c r="H84" s="6">
        <v>2019.0</v>
      </c>
      <c r="I84" s="1" t="s">
        <v>126</v>
      </c>
      <c r="J84" s="1" t="s">
        <v>126</v>
      </c>
      <c r="K84" s="1" t="s">
        <v>126</v>
      </c>
      <c r="M84" s="7">
        <v>1.3514731E7</v>
      </c>
      <c r="N84" s="7">
        <v>0.0</v>
      </c>
      <c r="O84" s="8">
        <v>45985.0</v>
      </c>
      <c r="P84" s="7">
        <v>3.596099805E7</v>
      </c>
      <c r="Q84" s="7">
        <v>1.3595087E7</v>
      </c>
      <c r="R84" s="7">
        <v>0.0</v>
      </c>
      <c r="S84" s="1" t="s">
        <v>45</v>
      </c>
    </row>
    <row r="85" ht="15.0" customHeight="1">
      <c r="B85" s="6">
        <f t="shared" si="1"/>
        <v>83</v>
      </c>
      <c r="C85" s="1" t="s">
        <v>230</v>
      </c>
      <c r="D85" s="1" t="s">
        <v>43</v>
      </c>
      <c r="E85" s="1" t="s">
        <v>230</v>
      </c>
      <c r="F85" s="1" t="s">
        <v>211</v>
      </c>
      <c r="G85" s="1" t="s">
        <v>38</v>
      </c>
      <c r="H85" s="6">
        <v>2019.0</v>
      </c>
      <c r="I85" s="1" t="s">
        <v>164</v>
      </c>
      <c r="J85" s="1" t="s">
        <v>122</v>
      </c>
      <c r="K85" s="1" t="s">
        <v>127</v>
      </c>
      <c r="M85" s="7">
        <v>2.5E7</v>
      </c>
      <c r="N85" s="7">
        <v>101418.0</v>
      </c>
      <c r="O85" s="8">
        <v>46112.0</v>
      </c>
      <c r="P85" s="7">
        <v>0.0</v>
      </c>
      <c r="Q85" s="7">
        <v>2.5137718E7</v>
      </c>
      <c r="R85" s="7">
        <v>0.0</v>
      </c>
      <c r="S85" s="1" t="s">
        <v>52</v>
      </c>
    </row>
    <row r="86" ht="15.0" customHeight="1">
      <c r="B86" s="6">
        <f t="shared" si="1"/>
        <v>84</v>
      </c>
      <c r="C86" s="1" t="s">
        <v>231</v>
      </c>
      <c r="D86" s="1" t="s">
        <v>43</v>
      </c>
      <c r="E86" s="1" t="s">
        <v>231</v>
      </c>
      <c r="F86" s="1" t="s">
        <v>232</v>
      </c>
      <c r="G86" s="1" t="s">
        <v>38</v>
      </c>
      <c r="H86" s="6">
        <v>2019.0</v>
      </c>
      <c r="I86" s="1" t="s">
        <v>121</v>
      </c>
      <c r="J86" s="1" t="s">
        <v>122</v>
      </c>
      <c r="K86" s="1" t="s">
        <v>127</v>
      </c>
      <c r="M86" s="7">
        <v>1.64E7</v>
      </c>
      <c r="N86" s="7">
        <v>3.9359081E7</v>
      </c>
      <c r="O86" s="8">
        <v>46112.0</v>
      </c>
      <c r="P86" s="7">
        <v>1.831550914E7</v>
      </c>
      <c r="Q86" s="7">
        <v>1.64E7</v>
      </c>
      <c r="R86" s="7">
        <v>0.0</v>
      </c>
      <c r="S86" s="1" t="s">
        <v>52</v>
      </c>
    </row>
    <row r="87" ht="15.0" customHeight="1">
      <c r="B87" s="6">
        <f t="shared" si="1"/>
        <v>85</v>
      </c>
      <c r="C87" s="1" t="s">
        <v>233</v>
      </c>
      <c r="D87" s="1" t="s">
        <v>43</v>
      </c>
      <c r="E87" s="1" t="s">
        <v>233</v>
      </c>
      <c r="F87" s="1" t="s">
        <v>234</v>
      </c>
      <c r="G87" s="1" t="s">
        <v>38</v>
      </c>
      <c r="H87" s="6">
        <v>2019.0</v>
      </c>
      <c r="I87" s="1" t="s">
        <v>126</v>
      </c>
      <c r="J87" s="1" t="s">
        <v>126</v>
      </c>
      <c r="K87" s="1" t="s">
        <v>132</v>
      </c>
      <c r="M87" s="7">
        <v>1.768490618E7</v>
      </c>
      <c r="N87" s="7">
        <v>0.0</v>
      </c>
      <c r="O87" s="8">
        <v>45279.0</v>
      </c>
      <c r="P87" s="7">
        <v>4.216684287E7</v>
      </c>
      <c r="Q87" s="7">
        <v>1.586041096E7</v>
      </c>
      <c r="R87" s="7">
        <v>0.0</v>
      </c>
      <c r="S87" s="1" t="s">
        <v>52</v>
      </c>
    </row>
    <row r="88" ht="15.0" customHeight="1">
      <c r="B88" s="6">
        <f t="shared" si="1"/>
        <v>86</v>
      </c>
      <c r="C88" s="1" t="s">
        <v>235</v>
      </c>
      <c r="D88" s="1" t="s">
        <v>43</v>
      </c>
      <c r="E88" s="1" t="s">
        <v>235</v>
      </c>
      <c r="F88" s="1" t="s">
        <v>227</v>
      </c>
      <c r="G88" s="1" t="s">
        <v>38</v>
      </c>
      <c r="H88" s="6">
        <v>2020.0</v>
      </c>
      <c r="I88" s="1" t="s">
        <v>126</v>
      </c>
      <c r="J88" s="1" t="s">
        <v>126</v>
      </c>
      <c r="K88" s="1" t="s">
        <v>126</v>
      </c>
      <c r="M88" s="7">
        <v>1.295921046E7</v>
      </c>
      <c r="N88" s="7">
        <v>4.481098319E7</v>
      </c>
      <c r="O88" s="8">
        <v>46112.0</v>
      </c>
      <c r="P88" s="7">
        <v>4.581893263E7</v>
      </c>
      <c r="Q88" s="7">
        <v>1.265921046E7</v>
      </c>
      <c r="R88" s="7">
        <v>300000.0</v>
      </c>
      <c r="S88" s="1" t="s">
        <v>52</v>
      </c>
    </row>
    <row r="89" ht="15.0" customHeight="1">
      <c r="B89" s="6">
        <f t="shared" si="1"/>
        <v>87</v>
      </c>
      <c r="C89" s="1" t="s">
        <v>236</v>
      </c>
      <c r="D89" s="1" t="s">
        <v>43</v>
      </c>
      <c r="E89" s="1" t="s">
        <v>236</v>
      </c>
      <c r="F89" s="1" t="s">
        <v>91</v>
      </c>
      <c r="G89" s="1" t="s">
        <v>38</v>
      </c>
      <c r="H89" s="6">
        <v>2020.0</v>
      </c>
      <c r="I89" s="1" t="s">
        <v>121</v>
      </c>
      <c r="J89" s="1" t="s">
        <v>122</v>
      </c>
      <c r="K89" s="1" t="s">
        <v>180</v>
      </c>
      <c r="M89" s="7">
        <v>2.53125E7</v>
      </c>
      <c r="N89" s="7">
        <v>0.0</v>
      </c>
      <c r="O89" s="8">
        <v>46010.0</v>
      </c>
      <c r="P89" s="7">
        <v>3.33215763E7</v>
      </c>
      <c r="Q89" s="7">
        <v>1.627670939E7</v>
      </c>
      <c r="R89" s="7">
        <v>-0.39</v>
      </c>
      <c r="S89" s="1" t="s">
        <v>52</v>
      </c>
    </row>
    <row r="90" ht="15.0" customHeight="1">
      <c r="B90" s="6">
        <f t="shared" si="1"/>
        <v>88</v>
      </c>
      <c r="C90" s="1" t="s">
        <v>237</v>
      </c>
      <c r="D90" s="1" t="s">
        <v>43</v>
      </c>
      <c r="E90" s="1" t="s">
        <v>237</v>
      </c>
      <c r="F90" s="1" t="s">
        <v>238</v>
      </c>
      <c r="G90" s="1" t="s">
        <v>38</v>
      </c>
      <c r="H90" s="6">
        <v>2020.0</v>
      </c>
      <c r="I90" s="1" t="s">
        <v>121</v>
      </c>
      <c r="J90" s="1" t="s">
        <v>122</v>
      </c>
      <c r="K90" s="1" t="s">
        <v>127</v>
      </c>
      <c r="M90" s="7">
        <v>2.5E7</v>
      </c>
      <c r="N90" s="7">
        <v>3.6353789E7</v>
      </c>
      <c r="O90" s="8">
        <v>46112.0</v>
      </c>
      <c r="P90" s="7">
        <v>1.2318656E7</v>
      </c>
      <c r="Q90" s="7">
        <v>2.5625E7</v>
      </c>
      <c r="R90" s="7">
        <v>0.0</v>
      </c>
      <c r="S90" s="1" t="s">
        <v>52</v>
      </c>
    </row>
    <row r="91" ht="15.0" customHeight="1">
      <c r="B91" s="6">
        <f t="shared" si="1"/>
        <v>89</v>
      </c>
      <c r="C91" s="1" t="s">
        <v>239</v>
      </c>
      <c r="D91" s="1" t="s">
        <v>43</v>
      </c>
      <c r="E91" s="1" t="s">
        <v>239</v>
      </c>
      <c r="F91" s="1" t="s">
        <v>78</v>
      </c>
      <c r="G91" s="1" t="s">
        <v>38</v>
      </c>
      <c r="H91" s="6">
        <v>2015.0</v>
      </c>
      <c r="I91" s="1" t="s">
        <v>121</v>
      </c>
      <c r="J91" s="1" t="s">
        <v>122</v>
      </c>
      <c r="K91" s="1" t="s">
        <v>123</v>
      </c>
      <c r="M91" s="7">
        <v>6.841002908E7</v>
      </c>
      <c r="N91" s="7">
        <v>4.1670737E7</v>
      </c>
      <c r="O91" s="8">
        <v>46112.0</v>
      </c>
      <c r="P91" s="7">
        <v>9.8816313E7</v>
      </c>
      <c r="Q91" s="7">
        <v>6.8410029E7</v>
      </c>
      <c r="R91" s="7">
        <v>267733.08</v>
      </c>
      <c r="S91" s="1" t="s">
        <v>52</v>
      </c>
    </row>
    <row r="92" ht="15.0" customHeight="1">
      <c r="B92" s="6">
        <f t="shared" si="1"/>
        <v>90</v>
      </c>
      <c r="C92" s="1" t="s">
        <v>240</v>
      </c>
      <c r="D92" s="1" t="s">
        <v>43</v>
      </c>
      <c r="E92" s="1" t="s">
        <v>240</v>
      </c>
      <c r="F92" s="1" t="s">
        <v>179</v>
      </c>
      <c r="G92" s="1" t="s">
        <v>38</v>
      </c>
      <c r="H92" s="6">
        <v>2020.0</v>
      </c>
      <c r="I92" s="1" t="s">
        <v>121</v>
      </c>
      <c r="J92" s="1" t="s">
        <v>122</v>
      </c>
      <c r="K92" s="1" t="s">
        <v>180</v>
      </c>
      <c r="M92" s="7">
        <v>3.4154829E7</v>
      </c>
      <c r="N92" s="7">
        <v>4.6037903E7</v>
      </c>
      <c r="O92" s="8">
        <v>46112.0</v>
      </c>
      <c r="P92" s="7">
        <v>9154829.21</v>
      </c>
      <c r="Q92" s="7">
        <v>2.502487273E7</v>
      </c>
      <c r="R92" s="7">
        <v>9129956.27</v>
      </c>
      <c r="S92" s="1" t="s">
        <v>52</v>
      </c>
    </row>
    <row r="93" ht="15.0" customHeight="1">
      <c r="B93" s="6">
        <f t="shared" si="1"/>
        <v>91</v>
      </c>
      <c r="C93" s="1" t="s">
        <v>241</v>
      </c>
      <c r="D93" s="1" t="s">
        <v>43</v>
      </c>
      <c r="E93" s="1" t="s">
        <v>241</v>
      </c>
      <c r="F93" s="1" t="s">
        <v>179</v>
      </c>
      <c r="G93" s="1" t="s">
        <v>38</v>
      </c>
      <c r="H93" s="6">
        <v>2020.0</v>
      </c>
      <c r="I93" s="1" t="s">
        <v>121</v>
      </c>
      <c r="J93" s="1" t="s">
        <v>122</v>
      </c>
      <c r="K93" s="1" t="s">
        <v>180</v>
      </c>
      <c r="M93" s="7">
        <v>4.2E7</v>
      </c>
      <c r="N93" s="7">
        <v>4.6312072E7</v>
      </c>
      <c r="O93" s="8">
        <v>46112.0</v>
      </c>
      <c r="P93" s="7">
        <v>0.0</v>
      </c>
      <c r="Q93" s="7">
        <v>3.510674158E7</v>
      </c>
      <c r="R93" s="7">
        <v>6893258.42</v>
      </c>
      <c r="S93" s="1" t="s">
        <v>52</v>
      </c>
    </row>
    <row r="94" ht="15.0" customHeight="1">
      <c r="B94" s="6">
        <f t="shared" si="1"/>
        <v>92</v>
      </c>
      <c r="C94" s="1" t="s">
        <v>242</v>
      </c>
      <c r="D94" s="1" t="s">
        <v>43</v>
      </c>
      <c r="E94" s="1" t="s">
        <v>242</v>
      </c>
      <c r="F94" s="1" t="s">
        <v>88</v>
      </c>
      <c r="G94" s="1" t="s">
        <v>38</v>
      </c>
      <c r="H94" s="6">
        <v>2020.0</v>
      </c>
      <c r="I94" s="1" t="s">
        <v>121</v>
      </c>
      <c r="J94" s="1" t="s">
        <v>122</v>
      </c>
      <c r="K94" s="1" t="s">
        <v>123</v>
      </c>
      <c r="M94" s="7">
        <v>1.995E7</v>
      </c>
      <c r="N94" s="7">
        <v>1.9276381E7</v>
      </c>
      <c r="O94" s="8">
        <v>46112.0</v>
      </c>
      <c r="P94" s="7">
        <v>197811.98</v>
      </c>
      <c r="Q94" s="7">
        <v>1.666102051E7</v>
      </c>
      <c r="R94" s="7">
        <v>1038979.49</v>
      </c>
      <c r="S94" s="1" t="s">
        <v>52</v>
      </c>
    </row>
    <row r="95" ht="15.0" hidden="1" customHeight="1">
      <c r="B95" s="6">
        <f t="shared" si="1"/>
        <v>93</v>
      </c>
      <c r="C95" s="1" t="s">
        <v>243</v>
      </c>
      <c r="D95" s="1" t="s">
        <v>43</v>
      </c>
      <c r="E95" s="1" t="s">
        <v>243</v>
      </c>
      <c r="F95" s="1" t="s">
        <v>125</v>
      </c>
      <c r="G95" s="1" t="s">
        <v>38</v>
      </c>
      <c r="H95" s="6">
        <v>2020.0</v>
      </c>
      <c r="I95" s="1" t="s">
        <v>121</v>
      </c>
      <c r="J95" s="1" t="s">
        <v>122</v>
      </c>
      <c r="K95" s="1" t="s">
        <v>127</v>
      </c>
      <c r="M95" s="7">
        <v>1.5E7</v>
      </c>
      <c r="N95" s="7">
        <v>1284285.0</v>
      </c>
      <c r="O95" s="8">
        <v>46112.0</v>
      </c>
      <c r="P95" s="7">
        <v>3.276167166E7</v>
      </c>
      <c r="Q95" s="7">
        <v>1.60612063E7</v>
      </c>
      <c r="R95" s="7">
        <v>0.7</v>
      </c>
      <c r="S95" s="1" t="s">
        <v>45</v>
      </c>
    </row>
    <row r="96" ht="15.0" customHeight="1">
      <c r="B96" s="6">
        <f t="shared" si="1"/>
        <v>94</v>
      </c>
      <c r="C96" s="1" t="s">
        <v>244</v>
      </c>
      <c r="D96" s="1" t="s">
        <v>43</v>
      </c>
      <c r="E96" s="1" t="s">
        <v>244</v>
      </c>
      <c r="F96" s="1" t="s">
        <v>245</v>
      </c>
      <c r="G96" s="1" t="s">
        <v>38</v>
      </c>
      <c r="H96" s="6">
        <v>2021.0</v>
      </c>
      <c r="I96" s="1" t="s">
        <v>126</v>
      </c>
      <c r="J96" s="1" t="s">
        <v>126</v>
      </c>
      <c r="K96" s="1" t="s">
        <v>126</v>
      </c>
      <c r="M96" s="7">
        <v>2.0E7</v>
      </c>
      <c r="N96" s="7">
        <v>3.1276215E7</v>
      </c>
      <c r="O96" s="8">
        <v>46112.0</v>
      </c>
      <c r="P96" s="7">
        <v>0.0</v>
      </c>
      <c r="Q96" s="7">
        <v>2.0E7</v>
      </c>
      <c r="R96" s="7">
        <v>0.0</v>
      </c>
      <c r="S96" s="1" t="s">
        <v>52</v>
      </c>
    </row>
    <row r="97" ht="15.0" customHeight="1">
      <c r="B97" s="6">
        <f t="shared" si="1"/>
        <v>95</v>
      </c>
      <c r="C97" s="1" t="s">
        <v>246</v>
      </c>
      <c r="D97" s="1" t="s">
        <v>43</v>
      </c>
      <c r="E97" s="1" t="s">
        <v>246</v>
      </c>
      <c r="F97" s="1" t="s">
        <v>179</v>
      </c>
      <c r="G97" s="1" t="s">
        <v>38</v>
      </c>
      <c r="H97" s="6">
        <v>2021.0</v>
      </c>
      <c r="I97" s="1" t="s">
        <v>121</v>
      </c>
      <c r="J97" s="1" t="s">
        <v>122</v>
      </c>
      <c r="K97" s="1" t="s">
        <v>180</v>
      </c>
      <c r="M97" s="7">
        <v>6.062005615E7</v>
      </c>
      <c r="N97" s="7">
        <v>6.7517975E7</v>
      </c>
      <c r="O97" s="8">
        <v>46112.0</v>
      </c>
      <c r="P97" s="7">
        <v>0.0</v>
      </c>
      <c r="Q97" s="7">
        <v>5.078709642E7</v>
      </c>
      <c r="R97" s="7">
        <v>9832959.73</v>
      </c>
      <c r="S97" s="1" t="s">
        <v>52</v>
      </c>
    </row>
    <row r="98" ht="15.0" customHeight="1">
      <c r="B98" s="6">
        <f t="shared" si="1"/>
        <v>96</v>
      </c>
      <c r="C98" s="1" t="s">
        <v>247</v>
      </c>
      <c r="D98" s="1" t="s">
        <v>43</v>
      </c>
      <c r="E98" s="1" t="s">
        <v>247</v>
      </c>
      <c r="F98" s="1" t="s">
        <v>208</v>
      </c>
      <c r="G98" s="1" t="s">
        <v>38</v>
      </c>
      <c r="H98" s="6">
        <v>2021.0</v>
      </c>
      <c r="I98" s="1" t="s">
        <v>121</v>
      </c>
      <c r="J98" s="1" t="s">
        <v>122</v>
      </c>
      <c r="K98" s="1" t="s">
        <v>132</v>
      </c>
      <c r="M98" s="7">
        <v>3.0E7</v>
      </c>
      <c r="N98" s="7">
        <v>2.4054996E7</v>
      </c>
      <c r="O98" s="8">
        <v>46112.0</v>
      </c>
      <c r="P98" s="7">
        <v>8100807.0</v>
      </c>
      <c r="Q98" s="7">
        <v>3.0244302E7</v>
      </c>
      <c r="R98" s="7">
        <v>0.0</v>
      </c>
      <c r="S98" s="1" t="s">
        <v>52</v>
      </c>
    </row>
    <row r="99" ht="15.0" customHeight="1">
      <c r="B99" s="6">
        <f t="shared" si="1"/>
        <v>97</v>
      </c>
      <c r="C99" s="1" t="s">
        <v>248</v>
      </c>
      <c r="D99" s="1" t="s">
        <v>43</v>
      </c>
      <c r="E99" s="1" t="s">
        <v>248</v>
      </c>
      <c r="F99" s="1" t="s">
        <v>88</v>
      </c>
      <c r="G99" s="1" t="s">
        <v>38</v>
      </c>
      <c r="H99" s="6">
        <v>2021.0</v>
      </c>
      <c r="I99" s="1" t="s">
        <v>121</v>
      </c>
      <c r="J99" s="1" t="s">
        <v>122</v>
      </c>
      <c r="K99" s="1" t="s">
        <v>180</v>
      </c>
      <c r="M99" s="7">
        <v>2.0E7</v>
      </c>
      <c r="N99" s="7">
        <v>1.963807E7</v>
      </c>
      <c r="O99" s="8">
        <v>46112.0</v>
      </c>
      <c r="P99" s="7">
        <v>3225764.24</v>
      </c>
      <c r="Q99" s="7">
        <v>1.456722183E7</v>
      </c>
      <c r="R99" s="7">
        <v>8658120.86</v>
      </c>
      <c r="S99" s="1" t="s">
        <v>52</v>
      </c>
    </row>
    <row r="100" ht="15.0" customHeight="1">
      <c r="B100" s="6">
        <f t="shared" si="1"/>
        <v>98</v>
      </c>
      <c r="C100" s="1" t="s">
        <v>249</v>
      </c>
      <c r="D100" s="1" t="s">
        <v>43</v>
      </c>
      <c r="E100" s="1" t="s">
        <v>249</v>
      </c>
      <c r="F100" s="1" t="s">
        <v>137</v>
      </c>
      <c r="G100" s="1" t="s">
        <v>38</v>
      </c>
      <c r="H100" s="6">
        <v>2021.0</v>
      </c>
      <c r="I100" s="1" t="s">
        <v>121</v>
      </c>
      <c r="J100" s="1" t="s">
        <v>122</v>
      </c>
      <c r="K100" s="1" t="s">
        <v>180</v>
      </c>
      <c r="M100" s="7">
        <v>2.0E7</v>
      </c>
      <c r="N100" s="7">
        <v>8.8049899E7</v>
      </c>
      <c r="O100" s="8">
        <v>46112.0</v>
      </c>
      <c r="P100" s="7">
        <v>3.9281258E7</v>
      </c>
      <c r="Q100" s="7">
        <v>2.0325204E7</v>
      </c>
      <c r="R100" s="7">
        <v>0.0</v>
      </c>
      <c r="S100" s="1" t="s">
        <v>52</v>
      </c>
    </row>
    <row r="101" ht="15.0" customHeight="1">
      <c r="B101" s="6">
        <f t="shared" si="1"/>
        <v>99</v>
      </c>
      <c r="C101" s="1" t="s">
        <v>250</v>
      </c>
      <c r="D101" s="1" t="s">
        <v>43</v>
      </c>
      <c r="E101" s="1" t="s">
        <v>250</v>
      </c>
      <c r="F101" s="1" t="s">
        <v>208</v>
      </c>
      <c r="G101" s="1" t="s">
        <v>38</v>
      </c>
      <c r="H101" s="6">
        <v>2021.0</v>
      </c>
      <c r="I101" s="1" t="s">
        <v>126</v>
      </c>
      <c r="J101" s="1" t="s">
        <v>126</v>
      </c>
      <c r="K101" s="1" t="s">
        <v>126</v>
      </c>
      <c r="M101" s="7">
        <v>1.5E7</v>
      </c>
      <c r="N101" s="7">
        <v>1.855811E7</v>
      </c>
      <c r="O101" s="8">
        <v>46112.0</v>
      </c>
      <c r="P101" s="7">
        <v>0.0</v>
      </c>
      <c r="Q101" s="7">
        <v>1.394911129E7</v>
      </c>
      <c r="R101" s="7">
        <v>0.0</v>
      </c>
      <c r="S101" s="1" t="s">
        <v>52</v>
      </c>
    </row>
    <row r="102" ht="15.0" customHeight="1">
      <c r="B102" s="6">
        <f t="shared" si="1"/>
        <v>100</v>
      </c>
      <c r="C102" s="1" t="s">
        <v>251</v>
      </c>
      <c r="D102" s="1" t="s">
        <v>43</v>
      </c>
      <c r="E102" s="1" t="s">
        <v>252</v>
      </c>
      <c r="F102" s="1" t="s">
        <v>214</v>
      </c>
      <c r="G102" s="1" t="s">
        <v>38</v>
      </c>
      <c r="H102" s="6">
        <v>2021.0</v>
      </c>
      <c r="I102" s="1" t="s">
        <v>121</v>
      </c>
      <c r="J102" s="1" t="s">
        <v>122</v>
      </c>
      <c r="K102" s="1" t="s">
        <v>180</v>
      </c>
      <c r="M102" s="7">
        <v>4.0E7</v>
      </c>
      <c r="N102" s="7">
        <v>3.5773403E7</v>
      </c>
      <c r="O102" s="8">
        <v>46112.0</v>
      </c>
      <c r="P102" s="7">
        <v>6.0126994E7</v>
      </c>
      <c r="Q102" s="7">
        <v>3.2E7</v>
      </c>
      <c r="R102" s="7">
        <v>8000000.0</v>
      </c>
      <c r="S102" s="1" t="s">
        <v>52</v>
      </c>
    </row>
    <row r="103" ht="15.0" customHeight="1">
      <c r="B103" s="6">
        <f t="shared" si="1"/>
        <v>101</v>
      </c>
      <c r="C103" s="1" t="s">
        <v>253</v>
      </c>
      <c r="D103" s="1" t="s">
        <v>43</v>
      </c>
      <c r="E103" s="1" t="s">
        <v>253</v>
      </c>
      <c r="F103" s="1" t="s">
        <v>91</v>
      </c>
      <c r="G103" s="1" t="s">
        <v>38</v>
      </c>
      <c r="H103" s="6">
        <v>2022.0</v>
      </c>
      <c r="I103" s="1" t="s">
        <v>121</v>
      </c>
      <c r="J103" s="1" t="s">
        <v>122</v>
      </c>
      <c r="K103" s="1" t="s">
        <v>180</v>
      </c>
      <c r="M103" s="7">
        <v>3.54375E7</v>
      </c>
      <c r="N103" s="7">
        <v>7151516.0</v>
      </c>
      <c r="O103" s="8">
        <v>46112.0</v>
      </c>
      <c r="P103" s="7">
        <v>0.0</v>
      </c>
      <c r="Q103" s="7">
        <v>3.239787538E7</v>
      </c>
      <c r="R103" s="7">
        <v>-0.36</v>
      </c>
      <c r="S103" s="1" t="s">
        <v>52</v>
      </c>
    </row>
    <row r="104" ht="15.0" customHeight="1">
      <c r="B104" s="6">
        <f t="shared" si="1"/>
        <v>102</v>
      </c>
      <c r="C104" s="1" t="s">
        <v>254</v>
      </c>
      <c r="D104" s="1" t="s">
        <v>43</v>
      </c>
      <c r="E104" s="1" t="s">
        <v>255</v>
      </c>
      <c r="F104" s="1" t="s">
        <v>88</v>
      </c>
      <c r="G104" s="1" t="s">
        <v>38</v>
      </c>
      <c r="H104" s="6">
        <v>2022.0</v>
      </c>
      <c r="I104" s="1" t="s">
        <v>121</v>
      </c>
      <c r="J104" s="1" t="s">
        <v>122</v>
      </c>
      <c r="K104" s="1" t="s">
        <v>180</v>
      </c>
      <c r="M104" s="7">
        <v>4.14E7</v>
      </c>
      <c r="N104" s="7">
        <v>3.1318689E7</v>
      </c>
      <c r="O104" s="8">
        <v>46112.0</v>
      </c>
      <c r="P104" s="7">
        <v>326924.0</v>
      </c>
      <c r="Q104" s="7">
        <v>3.168068234E7</v>
      </c>
      <c r="R104" s="7">
        <v>9759304.07</v>
      </c>
      <c r="S104" s="1" t="s">
        <v>52</v>
      </c>
    </row>
    <row r="105" ht="15.0" customHeight="1">
      <c r="B105" s="6">
        <f t="shared" si="1"/>
        <v>103</v>
      </c>
      <c r="C105" s="1" t="s">
        <v>256</v>
      </c>
      <c r="D105" s="1" t="s">
        <v>43</v>
      </c>
      <c r="E105" s="1" t="s">
        <v>257</v>
      </c>
      <c r="F105" s="1" t="s">
        <v>258</v>
      </c>
      <c r="G105" s="1" t="s">
        <v>38</v>
      </c>
      <c r="H105" s="6">
        <v>2021.0</v>
      </c>
      <c r="I105" s="1" t="s">
        <v>121</v>
      </c>
      <c r="J105" s="1" t="s">
        <v>122</v>
      </c>
      <c r="K105" s="1" t="s">
        <v>127</v>
      </c>
      <c r="M105" s="7">
        <v>3.75E7</v>
      </c>
      <c r="N105" s="7">
        <v>0.0</v>
      </c>
      <c r="O105" s="8">
        <v>46022.0</v>
      </c>
      <c r="P105" s="7">
        <v>9.2752744E7</v>
      </c>
      <c r="Q105" s="7">
        <v>3.1184839E7</v>
      </c>
      <c r="R105" s="7">
        <v>0.0</v>
      </c>
      <c r="S105" s="1" t="s">
        <v>52</v>
      </c>
    </row>
    <row r="106" ht="15.0" customHeight="1">
      <c r="B106" s="6">
        <f t="shared" si="1"/>
        <v>104</v>
      </c>
      <c r="C106" s="1" t="s">
        <v>259</v>
      </c>
      <c r="D106" s="1" t="s">
        <v>43</v>
      </c>
      <c r="E106" s="1" t="s">
        <v>259</v>
      </c>
      <c r="F106" s="1" t="s">
        <v>227</v>
      </c>
      <c r="G106" s="1" t="s">
        <v>38</v>
      </c>
      <c r="H106" s="6">
        <v>2022.0</v>
      </c>
      <c r="I106" s="1" t="s">
        <v>121</v>
      </c>
      <c r="J106" s="1" t="s">
        <v>122</v>
      </c>
      <c r="K106" s="1" t="s">
        <v>127</v>
      </c>
      <c r="M106" s="7">
        <v>4.12E7</v>
      </c>
      <c r="N106" s="7">
        <v>5.346255941E7</v>
      </c>
      <c r="O106" s="8">
        <v>46112.0</v>
      </c>
      <c r="P106" s="7">
        <v>0.0</v>
      </c>
      <c r="Q106" s="7">
        <v>4.005867545E7</v>
      </c>
      <c r="R106" s="7">
        <v>1141324.55</v>
      </c>
      <c r="S106" s="1" t="s">
        <v>52</v>
      </c>
    </row>
    <row r="107" ht="15.0" customHeight="1">
      <c r="B107" s="6">
        <f t="shared" si="1"/>
        <v>105</v>
      </c>
      <c r="C107" s="1" t="s">
        <v>260</v>
      </c>
      <c r="D107" s="1" t="s">
        <v>43</v>
      </c>
      <c r="E107" s="1" t="s">
        <v>260</v>
      </c>
      <c r="F107" s="1" t="s">
        <v>137</v>
      </c>
      <c r="G107" s="1" t="s">
        <v>38</v>
      </c>
      <c r="H107" s="6">
        <v>2022.0</v>
      </c>
      <c r="I107" s="1" t="s">
        <v>121</v>
      </c>
      <c r="J107" s="1" t="s">
        <v>122</v>
      </c>
      <c r="K107" s="1" t="s">
        <v>127</v>
      </c>
      <c r="M107" s="7">
        <v>2.0E7</v>
      </c>
      <c r="N107" s="7">
        <v>1.5982909E7</v>
      </c>
      <c r="O107" s="8">
        <v>46112.0</v>
      </c>
      <c r="P107" s="7">
        <v>0.0</v>
      </c>
      <c r="Q107" s="7">
        <v>2.0348718E7</v>
      </c>
      <c r="R107" s="7">
        <v>0.0</v>
      </c>
      <c r="S107" s="1" t="s">
        <v>52</v>
      </c>
    </row>
    <row r="108" ht="15.0" customHeight="1">
      <c r="B108" s="6">
        <f t="shared" si="1"/>
        <v>106</v>
      </c>
      <c r="C108" s="1" t="s">
        <v>261</v>
      </c>
      <c r="D108" s="1" t="s">
        <v>43</v>
      </c>
      <c r="E108" s="1" t="s">
        <v>261</v>
      </c>
      <c r="F108" s="1" t="s">
        <v>238</v>
      </c>
      <c r="G108" s="1" t="s">
        <v>38</v>
      </c>
      <c r="H108" s="6">
        <v>2022.0</v>
      </c>
      <c r="I108" s="1" t="s">
        <v>121</v>
      </c>
      <c r="J108" s="1" t="s">
        <v>122</v>
      </c>
      <c r="K108" s="1" t="s">
        <v>127</v>
      </c>
      <c r="M108" s="7">
        <v>2.1E7</v>
      </c>
      <c r="N108" s="7">
        <v>4.0917965E7</v>
      </c>
      <c r="O108" s="8">
        <v>46112.0</v>
      </c>
      <c r="P108" s="7">
        <v>1.2260542E7</v>
      </c>
      <c r="Q108" s="7">
        <v>2.1525E7</v>
      </c>
      <c r="R108" s="7">
        <v>0.0</v>
      </c>
      <c r="S108" s="1" t="s">
        <v>52</v>
      </c>
    </row>
    <row r="109" ht="15.0" customHeight="1">
      <c r="B109" s="6">
        <f t="shared" si="1"/>
        <v>107</v>
      </c>
      <c r="C109" s="1" t="s">
        <v>262</v>
      </c>
      <c r="D109" s="1" t="s">
        <v>43</v>
      </c>
      <c r="E109" s="1" t="s">
        <v>263</v>
      </c>
      <c r="F109" s="1" t="s">
        <v>208</v>
      </c>
      <c r="G109" s="1" t="s">
        <v>38</v>
      </c>
      <c r="H109" s="6">
        <v>2024.0</v>
      </c>
      <c r="I109" s="1" t="s">
        <v>126</v>
      </c>
      <c r="J109" s="1" t="s">
        <v>126</v>
      </c>
      <c r="K109" s="1" t="s">
        <v>126</v>
      </c>
      <c r="M109" s="7">
        <v>1.5E7</v>
      </c>
      <c r="N109" s="7">
        <v>2.1570758E7</v>
      </c>
      <c r="O109" s="8">
        <v>46022.0</v>
      </c>
      <c r="P109" s="7">
        <v>0.0</v>
      </c>
      <c r="Q109" s="7">
        <v>1.514076923E7</v>
      </c>
      <c r="R109" s="7">
        <v>0.0</v>
      </c>
      <c r="S109" s="1" t="s">
        <v>52</v>
      </c>
    </row>
    <row r="110" ht="15.0" customHeight="1">
      <c r="B110" s="6">
        <f t="shared" si="1"/>
        <v>108</v>
      </c>
      <c r="C110" s="1" t="s">
        <v>264</v>
      </c>
      <c r="D110" s="1" t="s">
        <v>43</v>
      </c>
      <c r="E110" s="1" t="s">
        <v>264</v>
      </c>
      <c r="F110" s="1" t="s">
        <v>258</v>
      </c>
      <c r="G110" s="1" t="s">
        <v>38</v>
      </c>
      <c r="H110" s="6">
        <v>2024.0</v>
      </c>
      <c r="I110" s="1" t="s">
        <v>121</v>
      </c>
      <c r="J110" s="1" t="s">
        <v>122</v>
      </c>
      <c r="K110" s="1" t="s">
        <v>132</v>
      </c>
      <c r="M110" s="7">
        <v>3.5749209E7</v>
      </c>
      <c r="N110" s="7">
        <v>4.2401778E7</v>
      </c>
      <c r="O110" s="8">
        <v>46112.0</v>
      </c>
      <c r="P110" s="7">
        <v>7605022.0</v>
      </c>
      <c r="Q110" s="7">
        <v>3.0296175E7</v>
      </c>
      <c r="R110" s="7">
        <v>5453034.0</v>
      </c>
      <c r="S110" s="1" t="s">
        <v>52</v>
      </c>
    </row>
    <row r="111" ht="15.0" customHeight="1">
      <c r="B111" s="6">
        <f t="shared" si="1"/>
        <v>109</v>
      </c>
      <c r="C111" s="1" t="s">
        <v>265</v>
      </c>
      <c r="D111" s="1" t="s">
        <v>43</v>
      </c>
      <c r="E111" s="1" t="s">
        <v>266</v>
      </c>
      <c r="F111" s="1" t="s">
        <v>258</v>
      </c>
      <c r="G111" s="1" t="s">
        <v>38</v>
      </c>
      <c r="H111" s="6">
        <v>2025.0</v>
      </c>
      <c r="I111" s="1" t="s">
        <v>121</v>
      </c>
      <c r="J111" s="1" t="s">
        <v>122</v>
      </c>
      <c r="K111" s="1" t="s">
        <v>127</v>
      </c>
      <c r="M111" s="7">
        <v>1.0E7</v>
      </c>
      <c r="N111" s="7">
        <v>6453830.0</v>
      </c>
      <c r="O111" s="8">
        <v>46112.0</v>
      </c>
      <c r="P111" s="7">
        <v>2874913.0</v>
      </c>
      <c r="Q111" s="7">
        <v>6196990.01</v>
      </c>
      <c r="R111" s="7">
        <v>3803009.99</v>
      </c>
      <c r="S111" s="1" t="s">
        <v>52</v>
      </c>
    </row>
    <row r="112" ht="15.0" customHeight="1">
      <c r="B112" s="6">
        <f t="shared" si="1"/>
        <v>110</v>
      </c>
      <c r="C112" s="1" t="s">
        <v>267</v>
      </c>
      <c r="D112" s="1" t="s">
        <v>43</v>
      </c>
      <c r="E112" s="1" t="s">
        <v>267</v>
      </c>
      <c r="F112" s="1" t="s">
        <v>88</v>
      </c>
      <c r="G112" s="1" t="s">
        <v>38</v>
      </c>
      <c r="H112" s="6">
        <v>2025.0</v>
      </c>
      <c r="I112" s="1" t="s">
        <v>164</v>
      </c>
      <c r="J112" s="1" t="s">
        <v>164</v>
      </c>
      <c r="K112" s="1" t="s">
        <v>164</v>
      </c>
      <c r="M112" s="7">
        <v>1.0E7</v>
      </c>
      <c r="N112" s="7">
        <v>9911255.0</v>
      </c>
      <c r="O112" s="8">
        <v>46112.0</v>
      </c>
      <c r="P112" s="7">
        <v>0.0</v>
      </c>
      <c r="Q112" s="7">
        <v>7898626.65</v>
      </c>
      <c r="R112" s="7">
        <v>2187500.0</v>
      </c>
      <c r="S112" s="1" t="s">
        <v>52</v>
      </c>
    </row>
    <row r="113" ht="15.0" customHeight="1">
      <c r="B113" s="6">
        <f t="shared" si="1"/>
        <v>111</v>
      </c>
      <c r="C113" s="1" t="s">
        <v>268</v>
      </c>
      <c r="D113" s="1" t="s">
        <v>43</v>
      </c>
      <c r="E113" s="1" t="s">
        <v>268</v>
      </c>
      <c r="F113" s="1" t="s">
        <v>269</v>
      </c>
      <c r="G113" s="1" t="s">
        <v>38</v>
      </c>
      <c r="H113" s="6">
        <v>2026.0</v>
      </c>
      <c r="I113" s="1" t="s">
        <v>121</v>
      </c>
      <c r="J113" s="1" t="s">
        <v>122</v>
      </c>
      <c r="K113" s="1" t="s">
        <v>180</v>
      </c>
      <c r="M113" s="7">
        <v>2.5E7</v>
      </c>
      <c r="N113" s="7"/>
      <c r="O113" s="8"/>
      <c r="P113" s="7">
        <v>0.0</v>
      </c>
      <c r="Q113" s="7">
        <v>2.506448086E7</v>
      </c>
      <c r="R113" s="7">
        <v>0.0</v>
      </c>
      <c r="S113" s="1" t="s">
        <v>52</v>
      </c>
    </row>
    <row r="114" ht="15.0" customHeight="1">
      <c r="B114" s="6">
        <f t="shared" si="1"/>
        <v>112</v>
      </c>
      <c r="C114" s="1" t="s">
        <v>271</v>
      </c>
      <c r="D114" s="1" t="s">
        <v>43</v>
      </c>
      <c r="E114" s="1" t="s">
        <v>272</v>
      </c>
      <c r="F114" s="1" t="s">
        <v>273</v>
      </c>
      <c r="G114" s="1" t="s">
        <v>38</v>
      </c>
      <c r="H114" s="6">
        <v>2026.0</v>
      </c>
      <c r="I114" s="1" t="s">
        <v>121</v>
      </c>
      <c r="J114" s="1" t="s">
        <v>274</v>
      </c>
      <c r="K114" s="1" t="s">
        <v>275</v>
      </c>
      <c r="M114" s="7">
        <v>2.0E8</v>
      </c>
      <c r="N114" s="7"/>
      <c r="O114" s="8"/>
      <c r="P114" s="7">
        <v>0.0</v>
      </c>
      <c r="Q114" s="7">
        <v>9000000.0</v>
      </c>
      <c r="R114" s="7">
        <v>1.91E8</v>
      </c>
      <c r="S114" s="1" t="s">
        <v>52</v>
      </c>
    </row>
    <row r="115" ht="15.0" customHeight="1">
      <c r="B115" s="6">
        <f t="shared" si="1"/>
        <v>113</v>
      </c>
      <c r="C115" s="1" t="s">
        <v>276</v>
      </c>
      <c r="D115" s="1" t="s">
        <v>43</v>
      </c>
      <c r="E115" s="1" t="s">
        <v>277</v>
      </c>
      <c r="F115" s="1" t="s">
        <v>273</v>
      </c>
      <c r="G115" s="1" t="s">
        <v>38</v>
      </c>
      <c r="H115" s="6">
        <v>2026.0</v>
      </c>
      <c r="I115" s="1" t="s">
        <v>121</v>
      </c>
      <c r="J115" s="1" t="s">
        <v>274</v>
      </c>
      <c r="K115" s="1" t="s">
        <v>204</v>
      </c>
      <c r="M115" s="7">
        <v>7.525E7</v>
      </c>
      <c r="N115" s="7"/>
      <c r="O115" s="8"/>
      <c r="P115" s="7">
        <v>0.0</v>
      </c>
      <c r="Q115" s="7">
        <v>5.05E7</v>
      </c>
      <c r="R115" s="7">
        <v>2.475E7</v>
      </c>
      <c r="S115" s="1" t="s">
        <v>52</v>
      </c>
    </row>
    <row r="116" ht="15.0" customHeight="1">
      <c r="B116" s="6">
        <f t="shared" si="1"/>
        <v>114</v>
      </c>
      <c r="C116" s="1" t="s">
        <v>278</v>
      </c>
      <c r="D116" s="1" t="s">
        <v>44</v>
      </c>
      <c r="E116" s="1" t="s">
        <v>278</v>
      </c>
      <c r="F116" s="1" t="s">
        <v>279</v>
      </c>
      <c r="G116" s="1" t="s">
        <v>38</v>
      </c>
      <c r="H116" s="6">
        <v>2013.0</v>
      </c>
      <c r="I116" s="1" t="s">
        <v>280</v>
      </c>
      <c r="J116" s="1" t="s">
        <v>281</v>
      </c>
      <c r="K116" s="1" t="s">
        <v>282</v>
      </c>
      <c r="M116" s="7">
        <v>1.5E7</v>
      </c>
      <c r="N116" s="7">
        <v>0.0</v>
      </c>
      <c r="O116" s="8">
        <v>42598.0</v>
      </c>
      <c r="P116" s="7">
        <v>2.841369843E7</v>
      </c>
      <c r="Q116" s="7">
        <v>1.5E7</v>
      </c>
      <c r="R116" s="7">
        <v>0.0</v>
      </c>
      <c r="S116" s="1" t="s">
        <v>52</v>
      </c>
    </row>
    <row r="117" ht="15.0" customHeight="1">
      <c r="B117" s="6">
        <f t="shared" si="1"/>
        <v>115</v>
      </c>
      <c r="C117" s="1" t="s">
        <v>283</v>
      </c>
      <c r="D117" s="1" t="s">
        <v>44</v>
      </c>
      <c r="E117" s="1" t="s">
        <v>283</v>
      </c>
      <c r="F117" s="1" t="s">
        <v>37</v>
      </c>
      <c r="G117" s="1" t="s">
        <v>38</v>
      </c>
      <c r="H117" s="6">
        <v>2013.0</v>
      </c>
      <c r="I117" s="1" t="s">
        <v>280</v>
      </c>
      <c r="J117" s="1" t="s">
        <v>281</v>
      </c>
      <c r="K117" s="1" t="s">
        <v>282</v>
      </c>
      <c r="M117" s="7">
        <v>1.5E7</v>
      </c>
      <c r="N117" s="7">
        <v>37610.0</v>
      </c>
      <c r="O117" s="8">
        <v>46112.0</v>
      </c>
      <c r="P117" s="7">
        <v>2.923709733E7</v>
      </c>
      <c r="Q117" s="7">
        <v>1.365685196E7</v>
      </c>
      <c r="R117" s="7">
        <v>109803.04</v>
      </c>
      <c r="S117" s="1" t="s">
        <v>52</v>
      </c>
    </row>
    <row r="118" ht="15.0" customHeight="1">
      <c r="B118" s="6">
        <f t="shared" si="1"/>
        <v>116</v>
      </c>
      <c r="C118" s="1" t="s">
        <v>284</v>
      </c>
      <c r="D118" s="1" t="s">
        <v>44</v>
      </c>
      <c r="E118" s="1" t="s">
        <v>284</v>
      </c>
      <c r="F118" s="1" t="s">
        <v>285</v>
      </c>
      <c r="G118" s="1" t="s">
        <v>38</v>
      </c>
      <c r="H118" s="6">
        <v>2014.0</v>
      </c>
      <c r="I118" s="1" t="s">
        <v>280</v>
      </c>
      <c r="J118" s="1" t="s">
        <v>54</v>
      </c>
      <c r="K118" s="1" t="s">
        <v>286</v>
      </c>
      <c r="M118" s="7">
        <v>1371558.0</v>
      </c>
      <c r="N118" s="7">
        <v>0.0</v>
      </c>
      <c r="O118" s="8">
        <v>42369.0</v>
      </c>
      <c r="P118" s="7">
        <v>1502087.66</v>
      </c>
      <c r="Q118" s="7">
        <v>1371558.0</v>
      </c>
      <c r="R118" s="7">
        <v>0.0</v>
      </c>
      <c r="S118" s="1" t="s">
        <v>52</v>
      </c>
    </row>
    <row r="119" ht="15.0" customHeight="1">
      <c r="B119" s="6">
        <f t="shared" si="1"/>
        <v>117</v>
      </c>
      <c r="C119" s="1" t="s">
        <v>287</v>
      </c>
      <c r="D119" s="1" t="s">
        <v>44</v>
      </c>
      <c r="E119" s="1" t="s">
        <v>287</v>
      </c>
      <c r="F119" s="1" t="s">
        <v>288</v>
      </c>
      <c r="G119" s="1" t="s">
        <v>38</v>
      </c>
      <c r="H119" s="6">
        <v>2014.0</v>
      </c>
      <c r="I119" s="1" t="s">
        <v>280</v>
      </c>
      <c r="J119" s="1" t="s">
        <v>62</v>
      </c>
      <c r="K119" s="1" t="s">
        <v>289</v>
      </c>
      <c r="M119" s="7">
        <v>1.5E7</v>
      </c>
      <c r="N119" s="7">
        <v>0.0</v>
      </c>
      <c r="O119" s="8">
        <v>42949.0</v>
      </c>
      <c r="P119" s="7">
        <v>2.35828464E7</v>
      </c>
      <c r="Q119" s="7">
        <v>1.53184555E7</v>
      </c>
      <c r="R119" s="7">
        <v>0.0</v>
      </c>
      <c r="S119" s="1" t="s">
        <v>52</v>
      </c>
    </row>
    <row r="120" ht="15.0" customHeight="1">
      <c r="B120" s="6">
        <f t="shared" si="1"/>
        <v>118</v>
      </c>
      <c r="C120" s="1" t="s">
        <v>290</v>
      </c>
      <c r="D120" s="1" t="s">
        <v>44</v>
      </c>
      <c r="E120" s="1" t="s">
        <v>290</v>
      </c>
      <c r="F120" s="1" t="s">
        <v>291</v>
      </c>
      <c r="G120" s="1" t="s">
        <v>38</v>
      </c>
      <c r="H120" s="6">
        <v>2014.0</v>
      </c>
      <c r="I120" s="1" t="s">
        <v>280</v>
      </c>
      <c r="J120" s="1" t="s">
        <v>62</v>
      </c>
      <c r="K120" s="1" t="s">
        <v>289</v>
      </c>
      <c r="M120" s="7">
        <v>1.0E7</v>
      </c>
      <c r="N120" s="7">
        <v>0.0</v>
      </c>
      <c r="O120" s="8">
        <v>45071.0</v>
      </c>
      <c r="P120" s="7">
        <v>2.494272229E7</v>
      </c>
      <c r="Q120" s="7">
        <v>1.03015E7</v>
      </c>
      <c r="R120" s="7">
        <v>0.0</v>
      </c>
      <c r="S120" s="1" t="s">
        <v>52</v>
      </c>
    </row>
    <row r="121" ht="15.0" customHeight="1">
      <c r="B121" s="6">
        <f t="shared" si="1"/>
        <v>119</v>
      </c>
      <c r="C121" s="1" t="s">
        <v>292</v>
      </c>
      <c r="D121" s="1" t="s">
        <v>44</v>
      </c>
      <c r="E121" s="1" t="s">
        <v>292</v>
      </c>
      <c r="F121" s="1" t="s">
        <v>293</v>
      </c>
      <c r="G121" s="1" t="s">
        <v>38</v>
      </c>
      <c r="H121" s="6">
        <v>2015.0</v>
      </c>
      <c r="I121" s="1" t="s">
        <v>280</v>
      </c>
      <c r="J121" s="1" t="s">
        <v>62</v>
      </c>
      <c r="K121" s="1" t="s">
        <v>294</v>
      </c>
      <c r="M121" s="7">
        <v>1.5E7</v>
      </c>
      <c r="N121" s="7">
        <v>0.0</v>
      </c>
      <c r="O121" s="8">
        <v>43441.0</v>
      </c>
      <c r="P121" s="7">
        <v>7692510.0</v>
      </c>
      <c r="Q121" s="7">
        <v>5597250.0</v>
      </c>
      <c r="R121" s="7">
        <v>0.0</v>
      </c>
      <c r="S121" s="1" t="s">
        <v>52</v>
      </c>
    </row>
    <row r="122" ht="15.0" customHeight="1">
      <c r="B122" s="6">
        <f t="shared" si="1"/>
        <v>120</v>
      </c>
      <c r="C122" s="1" t="s">
        <v>295</v>
      </c>
      <c r="D122" s="1" t="s">
        <v>44</v>
      </c>
      <c r="E122" s="1" t="s">
        <v>295</v>
      </c>
      <c r="F122" s="1" t="s">
        <v>285</v>
      </c>
      <c r="G122" s="1" t="s">
        <v>38</v>
      </c>
      <c r="H122" s="6">
        <v>2015.0</v>
      </c>
      <c r="I122" s="1" t="s">
        <v>280</v>
      </c>
      <c r="J122" s="1" t="s">
        <v>54</v>
      </c>
      <c r="K122" s="1" t="s">
        <v>286</v>
      </c>
      <c r="M122" s="7">
        <v>1.2E7</v>
      </c>
      <c r="N122" s="7">
        <v>0.0</v>
      </c>
      <c r="O122" s="8">
        <v>45962.0</v>
      </c>
      <c r="P122" s="7">
        <v>1.800167596E7</v>
      </c>
      <c r="Q122" s="7">
        <v>1.2E7</v>
      </c>
      <c r="R122" s="7">
        <v>0.0</v>
      </c>
      <c r="S122" s="1" t="s">
        <v>52</v>
      </c>
    </row>
    <row r="123" ht="15.0" customHeight="1">
      <c r="B123" s="6">
        <f t="shared" si="1"/>
        <v>121</v>
      </c>
      <c r="C123" s="1" t="s">
        <v>296</v>
      </c>
      <c r="D123" s="1" t="s">
        <v>44</v>
      </c>
      <c r="E123" s="1" t="s">
        <v>296</v>
      </c>
      <c r="F123" s="1" t="s">
        <v>297</v>
      </c>
      <c r="G123" s="1" t="s">
        <v>38</v>
      </c>
      <c r="H123" s="6">
        <v>2015.0</v>
      </c>
      <c r="I123" s="1" t="s">
        <v>280</v>
      </c>
      <c r="J123" s="1" t="s">
        <v>62</v>
      </c>
      <c r="K123" s="1" t="s">
        <v>289</v>
      </c>
      <c r="M123" s="7">
        <v>1.5E7</v>
      </c>
      <c r="N123" s="7">
        <v>0.0</v>
      </c>
      <c r="O123" s="8">
        <v>46022.0</v>
      </c>
      <c r="P123" s="7">
        <v>5580493.0</v>
      </c>
      <c r="Q123" s="7">
        <v>1.5E7</v>
      </c>
      <c r="R123" s="7">
        <v>0.0</v>
      </c>
      <c r="S123" s="1" t="s">
        <v>52</v>
      </c>
    </row>
    <row r="124" ht="15.0" customHeight="1">
      <c r="B124" s="6">
        <f t="shared" si="1"/>
        <v>122</v>
      </c>
      <c r="C124" s="1" t="s">
        <v>298</v>
      </c>
      <c r="D124" s="1" t="s">
        <v>44</v>
      </c>
      <c r="E124" s="1" t="s">
        <v>298</v>
      </c>
      <c r="F124" s="1" t="s">
        <v>297</v>
      </c>
      <c r="G124" s="1" t="s">
        <v>38</v>
      </c>
      <c r="H124" s="6">
        <v>2017.0</v>
      </c>
      <c r="I124" s="1" t="s">
        <v>280</v>
      </c>
      <c r="J124" s="1" t="s">
        <v>62</v>
      </c>
      <c r="K124" s="1" t="s">
        <v>289</v>
      </c>
      <c r="M124" s="7">
        <v>1.5E7</v>
      </c>
      <c r="N124" s="7">
        <v>0.0</v>
      </c>
      <c r="O124" s="8">
        <v>46018.0</v>
      </c>
      <c r="P124" s="7">
        <v>3.5654317E7</v>
      </c>
      <c r="Q124" s="7">
        <v>1.4679462E7</v>
      </c>
      <c r="R124" s="7">
        <v>0.0</v>
      </c>
      <c r="S124" s="1" t="s">
        <v>52</v>
      </c>
    </row>
    <row r="125" ht="15.0" customHeight="1">
      <c r="B125" s="6">
        <f t="shared" si="1"/>
        <v>123</v>
      </c>
      <c r="C125" s="1" t="s">
        <v>299</v>
      </c>
      <c r="D125" s="1" t="s">
        <v>44</v>
      </c>
      <c r="E125" s="1" t="s">
        <v>299</v>
      </c>
      <c r="F125" s="1" t="s">
        <v>293</v>
      </c>
      <c r="G125" s="1" t="s">
        <v>38</v>
      </c>
      <c r="H125" s="6">
        <v>2017.0</v>
      </c>
      <c r="I125" s="1" t="s">
        <v>280</v>
      </c>
      <c r="J125" s="1" t="s">
        <v>62</v>
      </c>
      <c r="K125" s="1" t="s">
        <v>294</v>
      </c>
      <c r="M125" s="7">
        <v>1.1E7</v>
      </c>
      <c r="N125" s="7">
        <v>0.0</v>
      </c>
      <c r="O125" s="8">
        <v>43280.0</v>
      </c>
      <c r="P125" s="7">
        <v>1.1626927E7</v>
      </c>
      <c r="Q125" s="7">
        <v>1.026783E7</v>
      </c>
      <c r="R125" s="7">
        <v>0.0</v>
      </c>
      <c r="S125" s="1" t="s">
        <v>52</v>
      </c>
    </row>
    <row r="126" ht="15.0" customHeight="1">
      <c r="B126" s="6">
        <f t="shared" si="1"/>
        <v>124</v>
      </c>
      <c r="C126" s="1" t="s">
        <v>300</v>
      </c>
      <c r="D126" s="1" t="s">
        <v>44</v>
      </c>
      <c r="E126" s="1" t="s">
        <v>300</v>
      </c>
      <c r="F126" s="1" t="s">
        <v>293</v>
      </c>
      <c r="G126" s="1" t="s">
        <v>38</v>
      </c>
      <c r="H126" s="6">
        <v>2017.0</v>
      </c>
      <c r="I126" s="1" t="s">
        <v>280</v>
      </c>
      <c r="J126" s="1" t="s">
        <v>62</v>
      </c>
      <c r="K126" s="1" t="s">
        <v>301</v>
      </c>
      <c r="M126" s="7">
        <v>1.5E7</v>
      </c>
      <c r="N126" s="7">
        <v>0.0</v>
      </c>
      <c r="O126" s="8">
        <v>45657.0</v>
      </c>
      <c r="P126" s="7">
        <v>4710869.0</v>
      </c>
      <c r="Q126" s="7">
        <v>1.1876251E7</v>
      </c>
      <c r="R126" s="7">
        <v>0.0</v>
      </c>
      <c r="S126" s="1" t="s">
        <v>52</v>
      </c>
    </row>
    <row r="127" ht="15.0" customHeight="1">
      <c r="B127" s="6">
        <f t="shared" si="1"/>
        <v>125</v>
      </c>
      <c r="C127" s="1" t="s">
        <v>302</v>
      </c>
      <c r="D127" s="1" t="s">
        <v>44</v>
      </c>
      <c r="E127" s="1" t="s">
        <v>302</v>
      </c>
      <c r="F127" s="1" t="s">
        <v>293</v>
      </c>
      <c r="G127" s="1" t="s">
        <v>38</v>
      </c>
      <c r="H127" s="6">
        <v>2017.0</v>
      </c>
      <c r="I127" s="1" t="s">
        <v>280</v>
      </c>
      <c r="J127" s="1" t="s">
        <v>62</v>
      </c>
      <c r="K127" s="1" t="s">
        <v>294</v>
      </c>
      <c r="M127" s="7">
        <v>1.2E7</v>
      </c>
      <c r="N127" s="7">
        <v>0.0</v>
      </c>
      <c r="O127" s="8">
        <v>44352.0</v>
      </c>
      <c r="P127" s="7">
        <v>1.3936685E7</v>
      </c>
      <c r="Q127" s="7">
        <v>9742996.0</v>
      </c>
      <c r="R127" s="7">
        <v>0.0</v>
      </c>
      <c r="S127" s="1" t="s">
        <v>52</v>
      </c>
    </row>
    <row r="128" ht="15.0" customHeight="1">
      <c r="B128" s="6">
        <f t="shared" si="1"/>
        <v>126</v>
      </c>
      <c r="C128" s="1" t="s">
        <v>303</v>
      </c>
      <c r="D128" s="1" t="s">
        <v>44</v>
      </c>
      <c r="E128" s="1" t="s">
        <v>303</v>
      </c>
      <c r="F128" s="1" t="s">
        <v>279</v>
      </c>
      <c r="G128" s="1" t="s">
        <v>38</v>
      </c>
      <c r="H128" s="6">
        <v>2020.0</v>
      </c>
      <c r="I128" s="1" t="s">
        <v>280</v>
      </c>
      <c r="J128" s="1" t="s">
        <v>281</v>
      </c>
      <c r="K128" s="1" t="s">
        <v>282</v>
      </c>
      <c r="M128" s="7">
        <v>1.23496695E7</v>
      </c>
      <c r="N128" s="7">
        <v>1.6212193E7</v>
      </c>
      <c r="O128" s="8">
        <v>46112.0</v>
      </c>
      <c r="P128" s="7">
        <v>664622.6003</v>
      </c>
      <c r="Q128" s="7">
        <v>1.28054651003E7</v>
      </c>
      <c r="R128" s="7">
        <v>208827.0</v>
      </c>
      <c r="S128" s="1" t="s">
        <v>52</v>
      </c>
    </row>
    <row r="129" ht="15.0" customHeight="1">
      <c r="B129" s="6">
        <f t="shared" si="1"/>
        <v>127</v>
      </c>
      <c r="C129" s="1" t="s">
        <v>304</v>
      </c>
      <c r="D129" s="1" t="s">
        <v>44</v>
      </c>
      <c r="E129" s="1" t="s">
        <v>304</v>
      </c>
      <c r="F129" s="1" t="s">
        <v>305</v>
      </c>
      <c r="G129" s="1" t="s">
        <v>38</v>
      </c>
      <c r="H129" s="6">
        <v>2015.0</v>
      </c>
      <c r="I129" s="1" t="s">
        <v>280</v>
      </c>
      <c r="J129" s="1" t="s">
        <v>62</v>
      </c>
      <c r="K129" s="1" t="s">
        <v>289</v>
      </c>
      <c r="M129" s="7">
        <v>7.2133333E7</v>
      </c>
      <c r="N129" s="7">
        <v>6866394.0</v>
      </c>
      <c r="O129" s="8">
        <v>46112.0</v>
      </c>
      <c r="P129" s="7">
        <v>6.1976738E7</v>
      </c>
      <c r="Q129" s="7">
        <v>5.3512143E7</v>
      </c>
      <c r="R129" s="7">
        <v>2927152.0</v>
      </c>
      <c r="S129" s="1" t="s">
        <v>52</v>
      </c>
    </row>
    <row r="130" ht="15.0" customHeight="1">
      <c r="B130" s="6">
        <f t="shared" si="1"/>
        <v>128</v>
      </c>
      <c r="C130" s="1" t="s">
        <v>306</v>
      </c>
      <c r="D130" s="1" t="s">
        <v>44</v>
      </c>
      <c r="E130" s="1" t="s">
        <v>306</v>
      </c>
      <c r="F130" s="1" t="s">
        <v>305</v>
      </c>
      <c r="G130" s="1" t="s">
        <v>38</v>
      </c>
      <c r="H130" s="6">
        <v>2018.0</v>
      </c>
      <c r="I130" s="1" t="s">
        <v>280</v>
      </c>
      <c r="J130" s="1" t="s">
        <v>62</v>
      </c>
      <c r="K130" s="1" t="s">
        <v>289</v>
      </c>
      <c r="M130" s="7">
        <v>7.3206E7</v>
      </c>
      <c r="N130" s="7">
        <v>3.3181099E7</v>
      </c>
      <c r="O130" s="8">
        <v>46112.0</v>
      </c>
      <c r="P130" s="7">
        <v>2.3745817E7</v>
      </c>
      <c r="Q130" s="7">
        <v>4.6671423E7</v>
      </c>
      <c r="R130" s="7">
        <v>2.5425945E7</v>
      </c>
      <c r="S130" s="1" t="s">
        <v>52</v>
      </c>
    </row>
    <row r="131" ht="15.0" customHeight="1">
      <c r="B131" s="6">
        <f t="shared" si="1"/>
        <v>129</v>
      </c>
      <c r="C131" s="1" t="s">
        <v>307</v>
      </c>
      <c r="D131" s="1" t="s">
        <v>44</v>
      </c>
      <c r="E131" s="1" t="s">
        <v>307</v>
      </c>
      <c r="F131" s="1" t="s">
        <v>293</v>
      </c>
      <c r="G131" s="1" t="s">
        <v>38</v>
      </c>
      <c r="H131" s="6">
        <v>2013.0</v>
      </c>
      <c r="I131" s="1" t="s">
        <v>280</v>
      </c>
      <c r="J131" s="1" t="s">
        <v>62</v>
      </c>
      <c r="K131" s="1" t="s">
        <v>294</v>
      </c>
      <c r="M131" s="7">
        <v>2.1E7</v>
      </c>
      <c r="N131" s="7">
        <v>0.0</v>
      </c>
      <c r="O131" s="8">
        <v>42040.0</v>
      </c>
      <c r="P131" s="7">
        <v>2.375634459E7</v>
      </c>
      <c r="Q131" s="7">
        <v>2.1E7</v>
      </c>
      <c r="R131" s="7">
        <v>0.0</v>
      </c>
      <c r="S131" s="1" t="s">
        <v>52</v>
      </c>
    </row>
    <row r="132" ht="15.0" customHeight="1">
      <c r="B132" s="6">
        <f t="shared" si="1"/>
        <v>130</v>
      </c>
      <c r="C132" s="1" t="s">
        <v>308</v>
      </c>
      <c r="D132" s="1" t="s">
        <v>44</v>
      </c>
      <c r="E132" s="1" t="s">
        <v>308</v>
      </c>
      <c r="F132" s="1" t="s">
        <v>64</v>
      </c>
      <c r="G132" s="1" t="s">
        <v>38</v>
      </c>
      <c r="H132" s="6">
        <v>2021.0</v>
      </c>
      <c r="I132" s="1" t="s">
        <v>280</v>
      </c>
      <c r="J132" s="1" t="s">
        <v>281</v>
      </c>
      <c r="K132" s="1" t="s">
        <v>282</v>
      </c>
      <c r="M132" s="7">
        <v>2.5E7</v>
      </c>
      <c r="N132" s="7">
        <v>1.3529817E7</v>
      </c>
      <c r="O132" s="8">
        <v>46112.0</v>
      </c>
      <c r="P132" s="7">
        <v>887458.16</v>
      </c>
      <c r="Q132" s="7">
        <v>1.461452512E7</v>
      </c>
      <c r="R132" s="7">
        <v>1.127293304E7</v>
      </c>
      <c r="S132" s="1" t="s">
        <v>52</v>
      </c>
    </row>
    <row r="133" ht="15.0" customHeight="1">
      <c r="B133" s="6">
        <f t="shared" si="1"/>
        <v>131</v>
      </c>
      <c r="C133" s="1" t="s">
        <v>309</v>
      </c>
      <c r="D133" s="1" t="s">
        <v>44</v>
      </c>
      <c r="E133" s="1" t="s">
        <v>309</v>
      </c>
      <c r="F133" s="1" t="s">
        <v>291</v>
      </c>
      <c r="G133" s="1" t="s">
        <v>38</v>
      </c>
      <c r="H133" s="6">
        <v>2022.0</v>
      </c>
      <c r="I133" s="1" t="s">
        <v>280</v>
      </c>
      <c r="J133" s="1" t="s">
        <v>62</v>
      </c>
      <c r="K133" s="1" t="s">
        <v>289</v>
      </c>
      <c r="M133" s="7">
        <v>2.5E7</v>
      </c>
      <c r="N133" s="7">
        <v>1.3746E7</v>
      </c>
      <c r="O133" s="8">
        <v>46112.0</v>
      </c>
      <c r="P133" s="7">
        <v>407522.32</v>
      </c>
      <c r="Q133" s="7">
        <v>2.546956361E7</v>
      </c>
      <c r="R133" s="7">
        <v>0.0</v>
      </c>
      <c r="S133" s="1" t="s">
        <v>52</v>
      </c>
    </row>
    <row r="134" ht="15.0" customHeight="1">
      <c r="B134" s="6">
        <f t="shared" si="1"/>
        <v>132</v>
      </c>
      <c r="C134" s="1" t="s">
        <v>310</v>
      </c>
      <c r="D134" s="1" t="s">
        <v>44</v>
      </c>
      <c r="E134" s="1" t="s">
        <v>310</v>
      </c>
      <c r="F134" s="1" t="s">
        <v>291</v>
      </c>
      <c r="G134" s="1" t="s">
        <v>38</v>
      </c>
      <c r="H134" s="6">
        <v>2022.0</v>
      </c>
      <c r="I134" s="1" t="s">
        <v>280</v>
      </c>
      <c r="J134" s="1" t="s">
        <v>62</v>
      </c>
      <c r="K134" s="1" t="s">
        <v>289</v>
      </c>
      <c r="M134" s="7">
        <v>3.5E7</v>
      </c>
      <c r="N134" s="7">
        <v>2.8841E7</v>
      </c>
      <c r="O134" s="8">
        <v>46112.0</v>
      </c>
      <c r="P134" s="7">
        <v>643734.62</v>
      </c>
      <c r="Q134" s="7">
        <v>3.470994812E7</v>
      </c>
      <c r="R134" s="7">
        <v>993889.59</v>
      </c>
      <c r="S134" s="1" t="s">
        <v>52</v>
      </c>
    </row>
    <row r="135" ht="15.0" customHeight="1">
      <c r="B135" s="6">
        <f t="shared" si="1"/>
        <v>133</v>
      </c>
      <c r="C135" s="1" t="s">
        <v>311</v>
      </c>
      <c r="D135" s="1" t="s">
        <v>44</v>
      </c>
      <c r="E135" s="1" t="s">
        <v>311</v>
      </c>
      <c r="F135" s="1" t="s">
        <v>185</v>
      </c>
      <c r="G135" s="1" t="s">
        <v>38</v>
      </c>
      <c r="H135" s="6">
        <v>2016.0</v>
      </c>
      <c r="I135" s="1" t="s">
        <v>280</v>
      </c>
      <c r="J135" s="1" t="s">
        <v>54</v>
      </c>
      <c r="K135" s="1" t="s">
        <v>286</v>
      </c>
      <c r="M135" s="7">
        <v>3.25E7</v>
      </c>
      <c r="N135" s="7">
        <v>1.75861711E7</v>
      </c>
      <c r="O135" s="8">
        <v>46112.0</v>
      </c>
      <c r="P135" s="7">
        <v>4.697845339E7</v>
      </c>
      <c r="Q135" s="7">
        <v>5.000066126E7</v>
      </c>
      <c r="R135" s="7">
        <v>846710.53</v>
      </c>
      <c r="S135" s="1" t="s">
        <v>52</v>
      </c>
    </row>
    <row r="136" ht="15.0" customHeight="1">
      <c r="B136" s="6">
        <f t="shared" si="1"/>
        <v>134</v>
      </c>
      <c r="C136" s="1" t="s">
        <v>312</v>
      </c>
      <c r="D136" s="1" t="s">
        <v>44</v>
      </c>
      <c r="E136" s="1" t="s">
        <v>313</v>
      </c>
      <c r="F136" s="1" t="s">
        <v>64</v>
      </c>
      <c r="G136" s="1" t="s">
        <v>38</v>
      </c>
      <c r="H136" s="6">
        <v>2025.0</v>
      </c>
      <c r="I136" s="1" t="s">
        <v>280</v>
      </c>
      <c r="J136" s="1" t="s">
        <v>281</v>
      </c>
      <c r="K136" s="1" t="s">
        <v>314</v>
      </c>
      <c r="M136" s="7">
        <v>2.0E7</v>
      </c>
      <c r="N136" s="7">
        <v>2.0744445E7</v>
      </c>
      <c r="O136" s="8">
        <v>46112.0</v>
      </c>
      <c r="P136" s="7">
        <v>0.0</v>
      </c>
      <c r="Q136" s="7">
        <v>1.922351979E7</v>
      </c>
      <c r="R136" s="7">
        <v>776480.21</v>
      </c>
      <c r="S136" s="1" t="s">
        <v>52</v>
      </c>
    </row>
    <row r="137" ht="15.0" customHeight="1">
      <c r="B137" s="6">
        <f t="shared" si="1"/>
        <v>135</v>
      </c>
      <c r="C137" s="1" t="s">
        <v>315</v>
      </c>
      <c r="D137" s="1" t="s">
        <v>44</v>
      </c>
      <c r="E137" s="1" t="s">
        <v>315</v>
      </c>
      <c r="F137" s="1" t="s">
        <v>316</v>
      </c>
      <c r="G137" s="1" t="s">
        <v>38</v>
      </c>
      <c r="H137" s="6">
        <v>2026.0</v>
      </c>
      <c r="I137" s="1" t="s">
        <v>280</v>
      </c>
      <c r="J137" s="1" t="s">
        <v>281</v>
      </c>
      <c r="K137" s="1" t="s">
        <v>282</v>
      </c>
      <c r="M137" s="7">
        <v>2.0E7</v>
      </c>
      <c r="N137" s="7"/>
      <c r="O137" s="8"/>
      <c r="P137" s="7">
        <v>0.0</v>
      </c>
      <c r="Q137" s="7">
        <v>9380000.0</v>
      </c>
      <c r="R137" s="7">
        <v>1.062E7</v>
      </c>
      <c r="S137" s="1" t="s">
        <v>52</v>
      </c>
    </row>
    <row r="138" ht="15.0" customHeight="1">
      <c r="B138" s="6">
        <f t="shared" si="1"/>
        <v>136</v>
      </c>
      <c r="C138" s="1" t="s">
        <v>16</v>
      </c>
      <c r="D138" s="1" t="s">
        <v>9</v>
      </c>
      <c r="E138" s="1" t="s">
        <v>16</v>
      </c>
      <c r="F138" s="1" t="s">
        <v>317</v>
      </c>
      <c r="G138" s="1" t="s">
        <v>318</v>
      </c>
      <c r="H138" s="6">
        <v>2017.0</v>
      </c>
      <c r="I138" s="1" t="s">
        <v>319</v>
      </c>
      <c r="J138" s="1" t="s">
        <v>54</v>
      </c>
      <c r="K138" s="1" t="s">
        <v>320</v>
      </c>
      <c r="M138" s="7">
        <v>1.0E8</v>
      </c>
      <c r="N138" s="7">
        <v>2.9036643E7</v>
      </c>
      <c r="O138" s="8">
        <v>46112.0</v>
      </c>
      <c r="P138" s="7">
        <v>1.43197428E8</v>
      </c>
      <c r="Q138" s="7">
        <v>1.2843667336E8</v>
      </c>
      <c r="R138" s="7">
        <v>683268.75</v>
      </c>
      <c r="S138" s="1" t="s">
        <v>52</v>
      </c>
    </row>
    <row r="139" ht="15.0" customHeight="1">
      <c r="B139" s="6">
        <f t="shared" si="1"/>
        <v>137</v>
      </c>
      <c r="C139" s="1" t="s">
        <v>321</v>
      </c>
      <c r="D139" s="1" t="s">
        <v>9</v>
      </c>
      <c r="E139" s="1" t="s">
        <v>321</v>
      </c>
      <c r="F139" s="1" t="s">
        <v>322</v>
      </c>
      <c r="G139" s="1" t="s">
        <v>318</v>
      </c>
      <c r="H139" s="6">
        <v>2016.0</v>
      </c>
      <c r="I139" s="1" t="s">
        <v>319</v>
      </c>
      <c r="J139" s="1" t="s">
        <v>41</v>
      </c>
      <c r="K139" s="1" t="s">
        <v>55</v>
      </c>
      <c r="M139" s="7">
        <v>1.0E8</v>
      </c>
      <c r="N139" s="7">
        <v>2.3405457E7</v>
      </c>
      <c r="O139" s="8">
        <v>46112.0</v>
      </c>
      <c r="P139" s="7">
        <v>1.4943005641E8</v>
      </c>
      <c r="Q139" s="7">
        <v>1.1029036522E8</v>
      </c>
      <c r="R139" s="7">
        <v>6945279.94</v>
      </c>
      <c r="S139" s="1" t="s">
        <v>52</v>
      </c>
    </row>
    <row r="140" ht="15.0" customHeight="1">
      <c r="B140" s="6">
        <f t="shared" si="1"/>
        <v>138</v>
      </c>
      <c r="C140" s="1" t="s">
        <v>17</v>
      </c>
      <c r="D140" s="1" t="s">
        <v>9</v>
      </c>
      <c r="E140" s="1" t="s">
        <v>17</v>
      </c>
      <c r="F140" s="1" t="s">
        <v>37</v>
      </c>
      <c r="G140" s="1" t="s">
        <v>318</v>
      </c>
      <c r="H140" s="6">
        <v>2017.0</v>
      </c>
      <c r="I140" s="1" t="s">
        <v>319</v>
      </c>
      <c r="J140" s="1" t="s">
        <v>41</v>
      </c>
      <c r="K140" s="1" t="s">
        <v>323</v>
      </c>
      <c r="M140" s="7">
        <v>2.0E8</v>
      </c>
      <c r="N140" s="7">
        <v>1.43209167E8</v>
      </c>
      <c r="O140" s="8">
        <v>46112.0</v>
      </c>
      <c r="P140" s="7">
        <v>1.5664030304E8</v>
      </c>
      <c r="Q140" s="7">
        <v>1.7581225841E8</v>
      </c>
      <c r="R140" s="7">
        <v>8.548476635E7</v>
      </c>
      <c r="S140" s="1" t="s">
        <v>52</v>
      </c>
    </row>
    <row r="141" ht="15.0" customHeight="1">
      <c r="B141" s="6">
        <f t="shared" si="1"/>
        <v>139</v>
      </c>
      <c r="C141" s="1" t="s">
        <v>22</v>
      </c>
      <c r="D141" s="1" t="s">
        <v>9</v>
      </c>
      <c r="E141" s="1" t="s">
        <v>22</v>
      </c>
      <c r="F141" s="1" t="s">
        <v>37</v>
      </c>
      <c r="G141" s="1" t="s">
        <v>318</v>
      </c>
      <c r="H141" s="6">
        <v>2018.0</v>
      </c>
      <c r="I141" s="1" t="s">
        <v>319</v>
      </c>
      <c r="J141" s="1" t="s">
        <v>54</v>
      </c>
      <c r="K141" s="1" t="s">
        <v>55</v>
      </c>
      <c r="M141" s="7">
        <v>5.0E8</v>
      </c>
      <c r="N141" s="7">
        <v>8.68340223E8</v>
      </c>
      <c r="O141" s="8">
        <v>46112.0</v>
      </c>
      <c r="P141" s="7">
        <v>2.6885131226E8</v>
      </c>
      <c r="Q141" s="7">
        <v>5.2841116116E8</v>
      </c>
      <c r="R141" s="7">
        <v>0.0</v>
      </c>
      <c r="S141" s="1" t="s">
        <v>52</v>
      </c>
    </row>
    <row r="142" ht="15.0" customHeight="1">
      <c r="B142" s="6">
        <f t="shared" si="1"/>
        <v>140</v>
      </c>
      <c r="C142" s="1" t="s">
        <v>324</v>
      </c>
      <c r="D142" s="1" t="s">
        <v>9</v>
      </c>
      <c r="E142" s="1" t="s">
        <v>324</v>
      </c>
      <c r="F142" s="1" t="s">
        <v>50</v>
      </c>
      <c r="G142" s="1" t="s">
        <v>318</v>
      </c>
      <c r="H142" s="6">
        <v>2020.0</v>
      </c>
      <c r="I142" s="1" t="s">
        <v>319</v>
      </c>
      <c r="J142" s="1" t="s">
        <v>41</v>
      </c>
      <c r="K142" s="1" t="s">
        <v>55</v>
      </c>
      <c r="M142" s="7">
        <v>4.0E8</v>
      </c>
      <c r="N142" s="7">
        <v>4.08155535E8</v>
      </c>
      <c r="O142" s="8">
        <v>46112.0</v>
      </c>
      <c r="P142" s="7">
        <v>2.7630648E7</v>
      </c>
      <c r="Q142" s="7">
        <v>3.51483705E8</v>
      </c>
      <c r="R142" s="7">
        <v>7.6097997E7</v>
      </c>
      <c r="S142" s="1" t="s">
        <v>52</v>
      </c>
    </row>
    <row r="143" ht="15.0" customHeight="1">
      <c r="B143" s="6">
        <f t="shared" si="1"/>
        <v>141</v>
      </c>
      <c r="C143" s="1" t="s">
        <v>325</v>
      </c>
      <c r="D143" s="1" t="s">
        <v>9</v>
      </c>
      <c r="E143" s="1" t="s">
        <v>325</v>
      </c>
      <c r="F143" s="1" t="s">
        <v>64</v>
      </c>
      <c r="G143" s="1" t="s">
        <v>318</v>
      </c>
      <c r="H143" s="6">
        <v>2021.0</v>
      </c>
      <c r="I143" s="1" t="s">
        <v>319</v>
      </c>
      <c r="J143" s="1" t="s">
        <v>41</v>
      </c>
      <c r="K143" s="1" t="s">
        <v>71</v>
      </c>
      <c r="M143" s="7">
        <v>3.0E8</v>
      </c>
      <c r="N143" s="7">
        <v>2.54960901E8</v>
      </c>
      <c r="O143" s="8">
        <v>46112.0</v>
      </c>
      <c r="P143" s="7">
        <v>2.692471164E7</v>
      </c>
      <c r="Q143" s="7">
        <v>2.1759987935E8</v>
      </c>
      <c r="R143" s="7">
        <v>1.093575803E8</v>
      </c>
      <c r="S143" s="1" t="s">
        <v>52</v>
      </c>
    </row>
    <row r="144" ht="15.0" customHeight="1">
      <c r="B144" s="6">
        <f t="shared" si="1"/>
        <v>142</v>
      </c>
      <c r="C144" s="1" t="s">
        <v>326</v>
      </c>
      <c r="D144" s="1" t="s">
        <v>9</v>
      </c>
      <c r="E144" s="1" t="s">
        <v>326</v>
      </c>
      <c r="F144" s="1" t="s">
        <v>61</v>
      </c>
      <c r="G144" s="1" t="s">
        <v>318</v>
      </c>
      <c r="H144" s="6">
        <v>2022.0</v>
      </c>
      <c r="I144" s="1" t="s">
        <v>319</v>
      </c>
      <c r="J144" s="1" t="s">
        <v>62</v>
      </c>
      <c r="K144" s="1" t="s">
        <v>55</v>
      </c>
      <c r="M144" s="7">
        <v>2.47704472E8</v>
      </c>
      <c r="N144" s="7">
        <v>2.70988447E8</v>
      </c>
      <c r="O144" s="8">
        <v>46112.0</v>
      </c>
      <c r="P144" s="7">
        <v>1.78818676E7</v>
      </c>
      <c r="Q144" s="7">
        <v>1.62331224E8</v>
      </c>
      <c r="R144" s="7">
        <v>9.0111054E7</v>
      </c>
      <c r="S144" s="1" t="s">
        <v>52</v>
      </c>
    </row>
    <row r="145" ht="15.0" hidden="1" customHeight="1">
      <c r="B145" s="6">
        <f t="shared" si="1"/>
        <v>143</v>
      </c>
      <c r="C145" s="1" t="s">
        <v>327</v>
      </c>
      <c r="D145" s="1" t="s">
        <v>9</v>
      </c>
      <c r="E145" s="1" t="s">
        <v>327</v>
      </c>
      <c r="F145" s="1" t="s">
        <v>66</v>
      </c>
      <c r="G145" s="1" t="s">
        <v>318</v>
      </c>
      <c r="H145" s="6">
        <v>2022.0</v>
      </c>
      <c r="I145" s="1" t="s">
        <v>319</v>
      </c>
      <c r="J145" s="1" t="s">
        <v>41</v>
      </c>
      <c r="K145" s="1" t="s">
        <v>55</v>
      </c>
      <c r="M145" s="7">
        <v>2.0E8</v>
      </c>
      <c r="N145" s="7">
        <v>1.49108719E8</v>
      </c>
      <c r="O145" s="8">
        <v>46112.0</v>
      </c>
      <c r="P145" s="7">
        <v>5384271.48</v>
      </c>
      <c r="Q145" s="7">
        <v>1.3592215747E8</v>
      </c>
      <c r="R145" s="7">
        <v>6.676014903E7</v>
      </c>
      <c r="S145" s="1" t="s">
        <v>45</v>
      </c>
    </row>
    <row r="146" ht="15.0" customHeight="1">
      <c r="B146" s="6">
        <f t="shared" si="1"/>
        <v>144</v>
      </c>
      <c r="C146" s="1" t="s">
        <v>328</v>
      </c>
      <c r="D146" s="1" t="s">
        <v>9</v>
      </c>
      <c r="E146" s="1" t="s">
        <v>328</v>
      </c>
      <c r="F146" s="1" t="s">
        <v>68</v>
      </c>
      <c r="G146" s="1" t="s">
        <v>318</v>
      </c>
      <c r="H146" s="6">
        <v>2023.0</v>
      </c>
      <c r="I146" s="1" t="s">
        <v>319</v>
      </c>
      <c r="J146" s="1" t="s">
        <v>62</v>
      </c>
      <c r="K146" s="1" t="s">
        <v>55</v>
      </c>
      <c r="M146" s="7">
        <v>2.0E8</v>
      </c>
      <c r="N146" s="7">
        <v>1.6808107479E8</v>
      </c>
      <c r="O146" s="8">
        <v>46112.0</v>
      </c>
      <c r="P146" s="7">
        <v>2.471817035E7</v>
      </c>
      <c r="Q146" s="7">
        <v>1.4384017335E8</v>
      </c>
      <c r="R146" s="7">
        <v>8.0858229E7</v>
      </c>
      <c r="S146" s="1" t="s">
        <v>52</v>
      </c>
    </row>
    <row r="147" ht="15.0" customHeight="1">
      <c r="B147" s="6">
        <f t="shared" si="1"/>
        <v>145</v>
      </c>
      <c r="C147" s="1" t="s">
        <v>329</v>
      </c>
      <c r="D147" s="1" t="s">
        <v>9</v>
      </c>
      <c r="E147" s="1" t="s">
        <v>329</v>
      </c>
      <c r="F147" s="1" t="s">
        <v>322</v>
      </c>
      <c r="G147" s="1" t="s">
        <v>318</v>
      </c>
      <c r="H147" s="6">
        <v>2024.0</v>
      </c>
      <c r="I147" s="1" t="s">
        <v>319</v>
      </c>
      <c r="J147" s="1" t="s">
        <v>41</v>
      </c>
      <c r="K147" s="1" t="s">
        <v>55</v>
      </c>
      <c r="M147" s="7">
        <v>3.0E8</v>
      </c>
      <c r="N147" s="7">
        <v>2.9231369E8</v>
      </c>
      <c r="O147" s="8">
        <v>46112.0</v>
      </c>
      <c r="P147" s="7">
        <v>2171027.0</v>
      </c>
      <c r="Q147" s="7">
        <v>2.3935E8</v>
      </c>
      <c r="R147" s="7">
        <v>6.065E7</v>
      </c>
      <c r="S147" s="1" t="s">
        <v>52</v>
      </c>
    </row>
    <row r="148" ht="15.0" customHeight="1">
      <c r="B148" s="6">
        <f t="shared" si="1"/>
        <v>146</v>
      </c>
      <c r="C148" s="1" t="s">
        <v>330</v>
      </c>
      <c r="D148" s="1" t="s">
        <v>9</v>
      </c>
      <c r="E148" s="1" t="s">
        <v>331</v>
      </c>
      <c r="F148" s="1" t="s">
        <v>332</v>
      </c>
      <c r="G148" s="1" t="s">
        <v>318</v>
      </c>
      <c r="H148" s="6">
        <v>2023.0</v>
      </c>
      <c r="I148" s="1" t="s">
        <v>319</v>
      </c>
      <c r="J148" s="1" t="s">
        <v>62</v>
      </c>
      <c r="K148" s="1" t="s">
        <v>51</v>
      </c>
      <c r="M148" s="7">
        <v>1.0E8</v>
      </c>
      <c r="N148" s="7">
        <v>7.1568575E7</v>
      </c>
      <c r="O148" s="8">
        <v>46112.0</v>
      </c>
      <c r="P148" s="7">
        <v>88659.0</v>
      </c>
      <c r="Q148" s="7">
        <v>7.4813743E7</v>
      </c>
      <c r="R148" s="7">
        <v>2.6E7</v>
      </c>
      <c r="S148" s="1" t="s">
        <v>52</v>
      </c>
    </row>
    <row r="149" ht="15.0" hidden="1" customHeight="1">
      <c r="B149" s="6">
        <f t="shared" si="1"/>
        <v>147</v>
      </c>
      <c r="C149" s="1" t="s">
        <v>333</v>
      </c>
      <c r="D149" s="1" t="s">
        <v>9</v>
      </c>
      <c r="E149" s="1" t="s">
        <v>334</v>
      </c>
      <c r="F149" s="1" t="s">
        <v>37</v>
      </c>
      <c r="G149" s="1" t="s">
        <v>318</v>
      </c>
      <c r="H149" s="6">
        <v>2024.0</v>
      </c>
      <c r="I149" s="1" t="s">
        <v>319</v>
      </c>
      <c r="J149" s="1" t="s">
        <v>54</v>
      </c>
      <c r="K149" s="1" t="s">
        <v>55</v>
      </c>
      <c r="M149" s="7">
        <v>2.0E8</v>
      </c>
      <c r="N149" s="7">
        <v>1.06955039E8</v>
      </c>
      <c r="O149" s="8">
        <v>46112.0</v>
      </c>
      <c r="P149" s="7">
        <v>4567090.15</v>
      </c>
      <c r="Q149" s="7">
        <v>1.1040960753E8</v>
      </c>
      <c r="R149" s="7">
        <v>8.882906564E7</v>
      </c>
      <c r="S149" s="1" t="s">
        <v>45</v>
      </c>
    </row>
    <row r="150" ht="15.0" customHeight="1">
      <c r="B150" s="6">
        <f t="shared" si="1"/>
        <v>148</v>
      </c>
      <c r="C150" s="1" t="s">
        <v>335</v>
      </c>
      <c r="D150" s="1" t="s">
        <v>9</v>
      </c>
      <c r="E150" s="1" t="s">
        <v>335</v>
      </c>
      <c r="F150" s="1" t="s">
        <v>64</v>
      </c>
      <c r="G150" s="1" t="s">
        <v>318</v>
      </c>
      <c r="H150" s="6">
        <v>2024.0</v>
      </c>
      <c r="I150" s="1" t="s">
        <v>319</v>
      </c>
      <c r="J150" s="1" t="s">
        <v>41</v>
      </c>
      <c r="K150" s="1" t="s">
        <v>71</v>
      </c>
      <c r="M150" s="7">
        <v>2.5E8</v>
      </c>
      <c r="N150" s="7">
        <v>1.08311081E8</v>
      </c>
      <c r="O150" s="8">
        <v>46112.0</v>
      </c>
      <c r="P150" s="7">
        <v>0.0</v>
      </c>
      <c r="Q150" s="7">
        <v>1.1992385252E8</v>
      </c>
      <c r="R150" s="7">
        <v>1.3007614748E8</v>
      </c>
      <c r="S150" s="1" t="s">
        <v>52</v>
      </c>
    </row>
    <row r="151" ht="15.0" customHeight="1">
      <c r="B151" s="6">
        <f t="shared" si="1"/>
        <v>149</v>
      </c>
      <c r="C151" s="1" t="s">
        <v>336</v>
      </c>
      <c r="D151" s="1" t="s">
        <v>9</v>
      </c>
      <c r="E151" s="1" t="s">
        <v>337</v>
      </c>
      <c r="F151" s="1" t="s">
        <v>50</v>
      </c>
      <c r="G151" s="1" t="s">
        <v>318</v>
      </c>
      <c r="H151" s="6">
        <v>2025.0</v>
      </c>
      <c r="I151" s="1" t="s">
        <v>319</v>
      </c>
      <c r="J151" s="1" t="s">
        <v>41</v>
      </c>
      <c r="K151" s="1" t="s">
        <v>55</v>
      </c>
      <c r="M151" s="7">
        <v>2.0E8</v>
      </c>
      <c r="N151" s="7">
        <v>-2571038.0</v>
      </c>
      <c r="O151" s="8">
        <v>46112.0</v>
      </c>
      <c r="P151" s="7">
        <v>0.0</v>
      </c>
      <c r="Q151" s="7">
        <v>0.01</v>
      </c>
      <c r="R151" s="7">
        <v>1.9999999999E8</v>
      </c>
      <c r="S151" s="1" t="s">
        <v>52</v>
      </c>
    </row>
    <row r="152" ht="15.0" hidden="1" customHeight="1">
      <c r="B152" s="6">
        <f t="shared" si="1"/>
        <v>150</v>
      </c>
      <c r="C152" s="1" t="s">
        <v>338</v>
      </c>
      <c r="D152" s="1" t="s">
        <v>9</v>
      </c>
      <c r="E152" s="1" t="s">
        <v>338</v>
      </c>
      <c r="F152" s="1" t="s">
        <v>66</v>
      </c>
      <c r="G152" s="1" t="s">
        <v>318</v>
      </c>
      <c r="H152" s="6">
        <v>2025.0</v>
      </c>
      <c r="I152" s="1" t="s">
        <v>319</v>
      </c>
      <c r="J152" s="1" t="s">
        <v>41</v>
      </c>
      <c r="K152" s="1" t="s">
        <v>55</v>
      </c>
      <c r="M152" s="7">
        <v>1.0E8</v>
      </c>
      <c r="N152" s="7">
        <v>1.0406762E7</v>
      </c>
      <c r="O152" s="8">
        <v>46112.0</v>
      </c>
      <c r="P152" s="7">
        <v>0.0</v>
      </c>
      <c r="Q152" s="7">
        <v>1.45111277E7</v>
      </c>
      <c r="R152" s="7">
        <v>8.544383072E7</v>
      </c>
      <c r="S152" s="1" t="s">
        <v>45</v>
      </c>
    </row>
    <row r="153" ht="15.0" customHeight="1">
      <c r="B153" s="6">
        <f t="shared" si="1"/>
        <v>151</v>
      </c>
      <c r="C153" s="1" t="s">
        <v>339</v>
      </c>
      <c r="D153" s="1" t="s">
        <v>9</v>
      </c>
      <c r="E153" s="1" t="s">
        <v>340</v>
      </c>
      <c r="F153" s="1" t="s">
        <v>341</v>
      </c>
      <c r="G153" s="1" t="s">
        <v>318</v>
      </c>
      <c r="H153" s="6">
        <v>2022.0</v>
      </c>
      <c r="I153" s="1" t="s">
        <v>319</v>
      </c>
      <c r="J153" s="1" t="s">
        <v>62</v>
      </c>
      <c r="K153" s="1" t="s">
        <v>55</v>
      </c>
      <c r="M153" s="7">
        <v>7.5E7</v>
      </c>
      <c r="N153" s="7"/>
      <c r="O153" s="8"/>
      <c r="P153" s="7">
        <v>0.0</v>
      </c>
      <c r="Q153" s="7">
        <v>0.0</v>
      </c>
      <c r="R153" s="7">
        <v>7.5E7</v>
      </c>
      <c r="S153" s="1" t="s">
        <v>52</v>
      </c>
    </row>
    <row r="154" ht="15.0" customHeight="1">
      <c r="B154" s="6">
        <f t="shared" si="1"/>
        <v>152</v>
      </c>
      <c r="C154" s="1" t="s">
        <v>342</v>
      </c>
      <c r="D154" s="1" t="s">
        <v>9</v>
      </c>
      <c r="E154" s="1" t="s">
        <v>342</v>
      </c>
      <c r="F154" s="1" t="s">
        <v>68</v>
      </c>
      <c r="G154" s="1" t="s">
        <v>318</v>
      </c>
      <c r="H154" s="6">
        <v>2026.0</v>
      </c>
      <c r="I154" s="1" t="s">
        <v>319</v>
      </c>
      <c r="J154" s="1" t="s">
        <v>62</v>
      </c>
      <c r="K154" s="1" t="s">
        <v>55</v>
      </c>
      <c r="M154" s="7">
        <v>2.0E8</v>
      </c>
      <c r="N154" s="7"/>
      <c r="O154" s="8"/>
      <c r="P154" s="7">
        <v>0.0</v>
      </c>
      <c r="Q154" s="7">
        <v>0.0</v>
      </c>
      <c r="R154" s="7">
        <v>2.0E8</v>
      </c>
      <c r="S154" s="1" t="s">
        <v>52</v>
      </c>
    </row>
    <row r="155" ht="15.0" customHeight="1">
      <c r="B155" s="6">
        <f t="shared" si="1"/>
        <v>153</v>
      </c>
      <c r="C155" s="1" t="s">
        <v>343</v>
      </c>
      <c r="D155" s="1" t="s">
        <v>39</v>
      </c>
      <c r="E155" s="1" t="s">
        <v>343</v>
      </c>
      <c r="F155" s="1" t="s">
        <v>344</v>
      </c>
      <c r="G155" s="1" t="s">
        <v>318</v>
      </c>
      <c r="H155" s="6">
        <v>2007.0</v>
      </c>
      <c r="I155" s="1" t="s">
        <v>345</v>
      </c>
      <c r="J155" s="1" t="s">
        <v>92</v>
      </c>
      <c r="K155" s="1" t="s">
        <v>346</v>
      </c>
      <c r="M155" s="7">
        <v>3.5E8</v>
      </c>
      <c r="N155" s="7">
        <v>0.0</v>
      </c>
      <c r="O155" s="8">
        <v>43889.0</v>
      </c>
      <c r="P155" s="7">
        <v>3.8759586388E8</v>
      </c>
      <c r="Q155" s="7">
        <v>3.50055771E8</v>
      </c>
      <c r="R155" s="7">
        <v>0.0</v>
      </c>
      <c r="S155" s="1" t="s">
        <v>52</v>
      </c>
    </row>
    <row r="156" ht="15.0" customHeight="1">
      <c r="B156" s="6">
        <f t="shared" si="1"/>
        <v>154</v>
      </c>
      <c r="C156" s="1" t="s">
        <v>347</v>
      </c>
      <c r="D156" s="1" t="s">
        <v>39</v>
      </c>
      <c r="E156" s="1" t="s">
        <v>347</v>
      </c>
      <c r="F156" s="1" t="s">
        <v>348</v>
      </c>
      <c r="G156" s="1" t="s">
        <v>318</v>
      </c>
      <c r="H156" s="6">
        <v>2007.0</v>
      </c>
      <c r="I156" s="1" t="s">
        <v>345</v>
      </c>
      <c r="J156" s="1" t="s">
        <v>92</v>
      </c>
      <c r="K156" s="1" t="s">
        <v>349</v>
      </c>
      <c r="M156" s="7">
        <v>5.0E8</v>
      </c>
      <c r="N156" s="7">
        <v>0.0</v>
      </c>
      <c r="O156" s="8">
        <v>42565.0</v>
      </c>
      <c r="P156" s="7">
        <v>7.4830735912E8</v>
      </c>
      <c r="Q156" s="7">
        <v>5.0005421859E8</v>
      </c>
      <c r="R156" s="7">
        <v>0.0</v>
      </c>
      <c r="S156" s="1" t="s">
        <v>52</v>
      </c>
    </row>
    <row r="157" ht="15.0" customHeight="1">
      <c r="B157" s="6">
        <f t="shared" si="1"/>
        <v>155</v>
      </c>
      <c r="C157" s="1" t="s">
        <v>350</v>
      </c>
      <c r="D157" s="1" t="s">
        <v>39</v>
      </c>
      <c r="E157" s="1" t="s">
        <v>350</v>
      </c>
      <c r="F157" s="1" t="s">
        <v>232</v>
      </c>
      <c r="G157" s="1" t="s">
        <v>318</v>
      </c>
      <c r="H157" s="6">
        <v>2008.0</v>
      </c>
      <c r="I157" s="1" t="s">
        <v>345</v>
      </c>
      <c r="J157" s="1" t="s">
        <v>92</v>
      </c>
      <c r="K157" s="1" t="s">
        <v>93</v>
      </c>
      <c r="M157" s="7">
        <v>5.0E8</v>
      </c>
      <c r="N157" s="7">
        <v>541351.0</v>
      </c>
      <c r="O157" s="8">
        <v>45930.0</v>
      </c>
      <c r="P157" s="7">
        <v>7.0663599348E8</v>
      </c>
      <c r="Q157" s="7">
        <v>4.75E8</v>
      </c>
      <c r="R157" s="7">
        <v>0.0</v>
      </c>
      <c r="S157" s="1" t="s">
        <v>52</v>
      </c>
    </row>
    <row r="158" ht="15.0" customHeight="1">
      <c r="B158" s="6">
        <f t="shared" si="1"/>
        <v>156</v>
      </c>
      <c r="C158" s="1" t="s">
        <v>351</v>
      </c>
      <c r="D158" s="1" t="s">
        <v>39</v>
      </c>
      <c r="E158" s="1" t="s">
        <v>351</v>
      </c>
      <c r="F158" s="1" t="s">
        <v>352</v>
      </c>
      <c r="G158" s="1" t="s">
        <v>318</v>
      </c>
      <c r="H158" s="6">
        <v>2008.0</v>
      </c>
      <c r="I158" s="1" t="s">
        <v>345</v>
      </c>
      <c r="J158" s="1" t="s">
        <v>92</v>
      </c>
      <c r="K158" s="1" t="s">
        <v>103</v>
      </c>
      <c r="M158" s="7">
        <v>2.5E8</v>
      </c>
      <c r="N158" s="7">
        <v>0.0</v>
      </c>
      <c r="O158" s="8">
        <v>40421.0</v>
      </c>
      <c r="P158" s="7">
        <v>2.8870568674E8</v>
      </c>
      <c r="Q158" s="7">
        <v>2.1227515932E8</v>
      </c>
      <c r="R158" s="7">
        <v>0.0</v>
      </c>
      <c r="S158" s="1" t="s">
        <v>52</v>
      </c>
    </row>
    <row r="159" ht="15.0" customHeight="1">
      <c r="B159" s="6">
        <f t="shared" si="1"/>
        <v>157</v>
      </c>
      <c r="C159" s="1" t="s">
        <v>353</v>
      </c>
      <c r="D159" s="1" t="s">
        <v>39</v>
      </c>
      <c r="E159" s="1" t="s">
        <v>353</v>
      </c>
      <c r="F159" s="1" t="s">
        <v>101</v>
      </c>
      <c r="G159" s="1" t="s">
        <v>318</v>
      </c>
      <c r="H159" s="6">
        <v>2008.0</v>
      </c>
      <c r="I159" s="1" t="s">
        <v>345</v>
      </c>
      <c r="J159" s="1" t="s">
        <v>102</v>
      </c>
      <c r="K159" s="1" t="s">
        <v>103</v>
      </c>
      <c r="M159" s="7">
        <v>3.75E8</v>
      </c>
      <c r="N159" s="7">
        <v>0.0</v>
      </c>
      <c r="O159" s="8">
        <v>43539.0</v>
      </c>
      <c r="P159" s="7">
        <v>4.7192352532E8</v>
      </c>
      <c r="Q159" s="7">
        <v>3.488329918E8</v>
      </c>
      <c r="R159" s="7">
        <v>-0.21</v>
      </c>
      <c r="S159" s="1" t="s">
        <v>52</v>
      </c>
    </row>
    <row r="160" ht="15.0" customHeight="1">
      <c r="B160" s="6">
        <f t="shared" si="1"/>
        <v>158</v>
      </c>
      <c r="C160" s="1" t="s">
        <v>354</v>
      </c>
      <c r="D160" s="1" t="s">
        <v>39</v>
      </c>
      <c r="E160" s="1" t="s">
        <v>355</v>
      </c>
      <c r="F160" s="1" t="s">
        <v>232</v>
      </c>
      <c r="G160" s="1" t="s">
        <v>318</v>
      </c>
      <c r="H160" s="6">
        <v>2010.0</v>
      </c>
      <c r="I160" s="1" t="s">
        <v>345</v>
      </c>
      <c r="J160" s="1" t="s">
        <v>82</v>
      </c>
      <c r="K160" s="1" t="s">
        <v>356</v>
      </c>
      <c r="M160" s="7">
        <v>2.5E8</v>
      </c>
      <c r="N160" s="7">
        <v>0.0</v>
      </c>
      <c r="O160" s="8">
        <v>46071.0</v>
      </c>
      <c r="P160" s="7">
        <v>3.0678294215E8</v>
      </c>
      <c r="Q160" s="7">
        <v>2.425E8</v>
      </c>
      <c r="R160" s="7">
        <v>7500000.0</v>
      </c>
      <c r="S160" s="1" t="s">
        <v>52</v>
      </c>
    </row>
    <row r="161" ht="15.0" customHeight="1">
      <c r="B161" s="6">
        <f t="shared" si="1"/>
        <v>159</v>
      </c>
      <c r="C161" s="1" t="s">
        <v>357</v>
      </c>
      <c r="D161" s="1" t="s">
        <v>39</v>
      </c>
      <c r="E161" s="1" t="s">
        <v>357</v>
      </c>
      <c r="F161" s="1" t="s">
        <v>223</v>
      </c>
      <c r="G161" s="1" t="s">
        <v>318</v>
      </c>
      <c r="H161" s="6">
        <v>2011.0</v>
      </c>
      <c r="I161" s="1" t="s">
        <v>345</v>
      </c>
      <c r="J161" s="1" t="s">
        <v>102</v>
      </c>
      <c r="K161" s="1" t="s">
        <v>103</v>
      </c>
      <c r="M161" s="7">
        <v>2.0E8</v>
      </c>
      <c r="N161" s="7">
        <v>0.0</v>
      </c>
      <c r="O161" s="8">
        <v>44699.0</v>
      </c>
      <c r="P161" s="7">
        <v>1.9811924119E8</v>
      </c>
      <c r="Q161" s="7">
        <v>1.6492133644E8</v>
      </c>
      <c r="R161" s="7">
        <v>0.34</v>
      </c>
      <c r="S161" s="1" t="s">
        <v>52</v>
      </c>
    </row>
    <row r="162" ht="15.0" customHeight="1">
      <c r="B162" s="6">
        <f t="shared" si="1"/>
        <v>160</v>
      </c>
      <c r="C162" s="1" t="s">
        <v>358</v>
      </c>
      <c r="D162" s="1" t="s">
        <v>39</v>
      </c>
      <c r="E162" s="1" t="s">
        <v>358</v>
      </c>
      <c r="F162" s="1" t="s">
        <v>105</v>
      </c>
      <c r="G162" s="1" t="s">
        <v>318</v>
      </c>
      <c r="H162" s="6">
        <v>2011.0</v>
      </c>
      <c r="I162" s="1" t="s">
        <v>345</v>
      </c>
      <c r="J162" s="1" t="s">
        <v>92</v>
      </c>
      <c r="K162" s="1" t="s">
        <v>93</v>
      </c>
      <c r="M162" s="7">
        <v>1.0E8</v>
      </c>
      <c r="N162" s="7">
        <v>387567.0</v>
      </c>
      <c r="O162" s="8">
        <v>46112.0</v>
      </c>
      <c r="P162" s="7">
        <v>1.2214744698E8</v>
      </c>
      <c r="Q162" s="7">
        <v>6.9666193E7</v>
      </c>
      <c r="R162" s="7">
        <v>3.0099377E7</v>
      </c>
      <c r="S162" s="1" t="s">
        <v>52</v>
      </c>
    </row>
    <row r="163" ht="15.0" customHeight="1">
      <c r="B163" s="6">
        <f t="shared" si="1"/>
        <v>161</v>
      </c>
      <c r="C163" s="1" t="s">
        <v>359</v>
      </c>
      <c r="D163" s="1" t="s">
        <v>39</v>
      </c>
      <c r="E163" s="1" t="s">
        <v>359</v>
      </c>
      <c r="F163" s="1" t="s">
        <v>105</v>
      </c>
      <c r="G163" s="1" t="s">
        <v>318</v>
      </c>
      <c r="H163" s="6">
        <v>2011.0</v>
      </c>
      <c r="I163" s="1" t="s">
        <v>345</v>
      </c>
      <c r="J163" s="1" t="s">
        <v>92</v>
      </c>
      <c r="K163" s="1" t="s">
        <v>360</v>
      </c>
      <c r="M163" s="7">
        <v>1.0E8</v>
      </c>
      <c r="N163" s="7">
        <v>0.0</v>
      </c>
      <c r="O163" s="8">
        <v>45806.0</v>
      </c>
      <c r="P163" s="7">
        <v>1.0570775358E8</v>
      </c>
      <c r="Q163" s="7">
        <v>6.2440762E7</v>
      </c>
      <c r="R163" s="7">
        <v>0.0</v>
      </c>
      <c r="S163" s="1" t="s">
        <v>52</v>
      </c>
    </row>
    <row r="164" ht="15.0" customHeight="1">
      <c r="B164" s="6">
        <f t="shared" si="1"/>
        <v>162</v>
      </c>
      <c r="C164" s="1" t="s">
        <v>361</v>
      </c>
      <c r="D164" s="1" t="s">
        <v>39</v>
      </c>
      <c r="E164" s="1" t="s">
        <v>361</v>
      </c>
      <c r="F164" s="1" t="s">
        <v>91</v>
      </c>
      <c r="G164" s="1" t="s">
        <v>318</v>
      </c>
      <c r="H164" s="6">
        <v>2012.0</v>
      </c>
      <c r="I164" s="1" t="s">
        <v>345</v>
      </c>
      <c r="J164" s="1" t="s">
        <v>92</v>
      </c>
      <c r="K164" s="1" t="s">
        <v>346</v>
      </c>
      <c r="M164" s="7">
        <v>2.0E8</v>
      </c>
      <c r="N164" s="7">
        <v>3427325.19</v>
      </c>
      <c r="O164" s="8">
        <v>46112.0</v>
      </c>
      <c r="P164" s="7">
        <v>3.1564075606E8</v>
      </c>
      <c r="Q164" s="7">
        <v>2.7249553465E8</v>
      </c>
      <c r="R164" s="7">
        <v>3.734658489E7</v>
      </c>
      <c r="S164" s="1" t="s">
        <v>52</v>
      </c>
    </row>
    <row r="165" ht="15.0" customHeight="1">
      <c r="B165" s="6">
        <f t="shared" si="1"/>
        <v>163</v>
      </c>
      <c r="C165" s="1" t="s">
        <v>362</v>
      </c>
      <c r="D165" s="1" t="s">
        <v>39</v>
      </c>
      <c r="E165" s="1" t="s">
        <v>363</v>
      </c>
      <c r="F165" s="1" t="s">
        <v>232</v>
      </c>
      <c r="G165" s="1" t="s">
        <v>318</v>
      </c>
      <c r="H165" s="6">
        <v>2012.0</v>
      </c>
      <c r="I165" s="1" t="s">
        <v>345</v>
      </c>
      <c r="J165" s="1" t="s">
        <v>92</v>
      </c>
      <c r="K165" s="1" t="s">
        <v>93</v>
      </c>
      <c r="M165" s="7">
        <v>3.5E8</v>
      </c>
      <c r="N165" s="7">
        <v>1.8730425E7</v>
      </c>
      <c r="O165" s="8">
        <v>46112.0</v>
      </c>
      <c r="P165" s="7">
        <v>4.0889157703E8</v>
      </c>
      <c r="Q165" s="7">
        <v>3.5E8</v>
      </c>
      <c r="R165" s="7">
        <v>0.0</v>
      </c>
      <c r="S165" s="1" t="s">
        <v>52</v>
      </c>
    </row>
    <row r="166" ht="15.0" customHeight="1">
      <c r="B166" s="6">
        <f t="shared" si="1"/>
        <v>164</v>
      </c>
      <c r="C166" s="1" t="s">
        <v>364</v>
      </c>
      <c r="D166" s="1" t="s">
        <v>39</v>
      </c>
      <c r="E166" s="1" t="s">
        <v>364</v>
      </c>
      <c r="F166" s="1" t="s">
        <v>97</v>
      </c>
      <c r="G166" s="1" t="s">
        <v>318</v>
      </c>
      <c r="H166" s="6">
        <v>2010.0</v>
      </c>
      <c r="I166" s="1" t="s">
        <v>345</v>
      </c>
      <c r="J166" s="1" t="s">
        <v>98</v>
      </c>
      <c r="K166" s="1" t="s">
        <v>99</v>
      </c>
      <c r="M166" s="7">
        <v>2.0E8</v>
      </c>
      <c r="N166" s="7">
        <v>0.0</v>
      </c>
      <c r="O166" s="8">
        <v>45657.0</v>
      </c>
      <c r="P166" s="7">
        <v>1.895227599E8</v>
      </c>
      <c r="Q166" s="7">
        <v>2.617642829E8</v>
      </c>
      <c r="R166" s="7">
        <v>0.0</v>
      </c>
      <c r="S166" s="1" t="s">
        <v>52</v>
      </c>
    </row>
    <row r="167" ht="15.0" customHeight="1">
      <c r="B167" s="6">
        <f t="shared" si="1"/>
        <v>165</v>
      </c>
      <c r="C167" s="1" t="s">
        <v>365</v>
      </c>
      <c r="D167" s="1" t="s">
        <v>39</v>
      </c>
      <c r="E167" s="1" t="s">
        <v>365</v>
      </c>
      <c r="F167" s="1" t="s">
        <v>223</v>
      </c>
      <c r="G167" s="1" t="s">
        <v>318</v>
      </c>
      <c r="H167" s="6">
        <v>2012.0</v>
      </c>
      <c r="I167" s="1" t="s">
        <v>345</v>
      </c>
      <c r="J167" s="1" t="s">
        <v>102</v>
      </c>
      <c r="K167" s="1" t="s">
        <v>103</v>
      </c>
      <c r="M167" s="7">
        <v>2.25E8</v>
      </c>
      <c r="N167" s="7">
        <v>9536508.0</v>
      </c>
      <c r="O167" s="8">
        <v>46173.0</v>
      </c>
      <c r="P167" s="7">
        <v>2.1998271048E8</v>
      </c>
      <c r="Q167" s="7">
        <v>1.8122758874E8</v>
      </c>
      <c r="R167" s="7">
        <v>1.528838326E7</v>
      </c>
      <c r="S167" s="1" t="s">
        <v>52</v>
      </c>
    </row>
    <row r="168" ht="15.0" hidden="1" customHeight="1">
      <c r="B168" s="6">
        <f t="shared" si="1"/>
        <v>166</v>
      </c>
      <c r="C168" s="1" t="s">
        <v>366</v>
      </c>
      <c r="D168" s="1" t="s">
        <v>39</v>
      </c>
      <c r="E168" s="1" t="s">
        <v>366</v>
      </c>
      <c r="F168" s="1" t="s">
        <v>367</v>
      </c>
      <c r="G168" s="1" t="s">
        <v>318</v>
      </c>
      <c r="H168" s="6">
        <v>2012.0</v>
      </c>
      <c r="I168" s="1" t="s">
        <v>345</v>
      </c>
      <c r="J168" s="1" t="s">
        <v>92</v>
      </c>
      <c r="K168" s="1" t="s">
        <v>346</v>
      </c>
      <c r="M168" s="7">
        <v>2.0E8</v>
      </c>
      <c r="N168" s="7">
        <v>1042485.19</v>
      </c>
      <c r="O168" s="8">
        <v>46022.0</v>
      </c>
      <c r="P168" s="7">
        <v>2.0992052997E8</v>
      </c>
      <c r="Q168" s="7">
        <v>1.4734945393E8</v>
      </c>
      <c r="R168" s="7">
        <v>0.21</v>
      </c>
      <c r="S168" s="1" t="s">
        <v>45</v>
      </c>
    </row>
    <row r="169" ht="15.0" customHeight="1">
      <c r="B169" s="6">
        <f t="shared" si="1"/>
        <v>167</v>
      </c>
      <c r="C169" s="1" t="s">
        <v>368</v>
      </c>
      <c r="D169" s="1" t="s">
        <v>39</v>
      </c>
      <c r="E169" s="1" t="s">
        <v>368</v>
      </c>
      <c r="F169" s="1" t="s">
        <v>101</v>
      </c>
      <c r="G169" s="1" t="s">
        <v>318</v>
      </c>
      <c r="H169" s="6">
        <v>2012.0</v>
      </c>
      <c r="I169" s="1" t="s">
        <v>345</v>
      </c>
      <c r="J169" s="1" t="s">
        <v>102</v>
      </c>
      <c r="K169" s="1" t="s">
        <v>103</v>
      </c>
      <c r="M169" s="7">
        <v>2.4E8</v>
      </c>
      <c r="N169" s="7">
        <v>4731331.0</v>
      </c>
      <c r="O169" s="8">
        <v>46112.0</v>
      </c>
      <c r="P169" s="7">
        <v>2.8252668099E8</v>
      </c>
      <c r="Q169" s="7">
        <v>2.267058578E8</v>
      </c>
      <c r="R169" s="7">
        <v>1.2E7</v>
      </c>
      <c r="S169" s="1" t="s">
        <v>52</v>
      </c>
    </row>
    <row r="170" ht="15.0" hidden="1" customHeight="1">
      <c r="B170" s="6">
        <f t="shared" si="1"/>
        <v>168</v>
      </c>
      <c r="C170" s="1" t="s">
        <v>369</v>
      </c>
      <c r="D170" s="1" t="s">
        <v>39</v>
      </c>
      <c r="E170" s="1" t="s">
        <v>369</v>
      </c>
      <c r="F170" s="1" t="s">
        <v>80</v>
      </c>
      <c r="G170" s="1" t="s">
        <v>318</v>
      </c>
      <c r="H170" s="6">
        <v>2011.0</v>
      </c>
      <c r="I170" s="1" t="s">
        <v>345</v>
      </c>
      <c r="J170" s="1" t="s">
        <v>82</v>
      </c>
      <c r="K170" s="1" t="s">
        <v>83</v>
      </c>
      <c r="M170" s="7">
        <v>2.0E8</v>
      </c>
      <c r="N170" s="7">
        <v>628846.63</v>
      </c>
      <c r="O170" s="8">
        <v>46112.0</v>
      </c>
      <c r="P170" s="7">
        <v>3.340018513E8</v>
      </c>
      <c r="Q170" s="7">
        <v>2.294364231E8</v>
      </c>
      <c r="R170" s="7">
        <v>8432122.34</v>
      </c>
      <c r="S170" s="1" t="s">
        <v>45</v>
      </c>
    </row>
    <row r="171" ht="15.0" customHeight="1">
      <c r="B171" s="6">
        <f t="shared" si="1"/>
        <v>169</v>
      </c>
      <c r="C171" s="1" t="s">
        <v>370</v>
      </c>
      <c r="D171" s="1" t="s">
        <v>39</v>
      </c>
      <c r="E171" s="1" t="s">
        <v>370</v>
      </c>
      <c r="F171" s="1" t="s">
        <v>371</v>
      </c>
      <c r="G171" s="1" t="s">
        <v>318</v>
      </c>
      <c r="H171" s="6">
        <v>2013.0</v>
      </c>
      <c r="I171" s="1" t="s">
        <v>345</v>
      </c>
      <c r="J171" s="1" t="s">
        <v>372</v>
      </c>
      <c r="K171" s="1" t="s">
        <v>349</v>
      </c>
      <c r="M171" s="7">
        <v>1.5E8</v>
      </c>
      <c r="N171" s="7">
        <v>0.0</v>
      </c>
      <c r="O171" s="8">
        <v>45302.0</v>
      </c>
      <c r="P171" s="7">
        <v>1.7638296257E8</v>
      </c>
      <c r="Q171" s="7">
        <v>1.4975256822E8</v>
      </c>
      <c r="R171" s="7">
        <v>0.0</v>
      </c>
      <c r="S171" s="1" t="s">
        <v>52</v>
      </c>
    </row>
    <row r="172" ht="15.0" customHeight="1">
      <c r="B172" s="6">
        <f t="shared" si="1"/>
        <v>170</v>
      </c>
      <c r="C172" s="1" t="s">
        <v>373</v>
      </c>
      <c r="D172" s="1" t="s">
        <v>39</v>
      </c>
      <c r="E172" s="1" t="s">
        <v>374</v>
      </c>
      <c r="F172" s="1" t="s">
        <v>232</v>
      </c>
      <c r="G172" s="1" t="s">
        <v>318</v>
      </c>
      <c r="H172" s="6">
        <v>2013.0</v>
      </c>
      <c r="I172" s="1" t="s">
        <v>345</v>
      </c>
      <c r="J172" s="1" t="s">
        <v>82</v>
      </c>
      <c r="K172" s="1" t="s">
        <v>356</v>
      </c>
      <c r="M172" s="7">
        <v>2.0E8</v>
      </c>
      <c r="N172" s="7">
        <v>7844356.0</v>
      </c>
      <c r="O172" s="8">
        <v>46112.0</v>
      </c>
      <c r="P172" s="7">
        <v>2.2763516472E8</v>
      </c>
      <c r="Q172" s="7">
        <v>1.9E8</v>
      </c>
      <c r="R172" s="7">
        <v>1.0E7</v>
      </c>
      <c r="S172" s="1" t="s">
        <v>52</v>
      </c>
    </row>
    <row r="173" ht="15.0" customHeight="1">
      <c r="B173" s="6">
        <f t="shared" si="1"/>
        <v>171</v>
      </c>
      <c r="C173" s="1" t="s">
        <v>375</v>
      </c>
      <c r="D173" s="1" t="s">
        <v>39</v>
      </c>
      <c r="E173" s="1" t="s">
        <v>375</v>
      </c>
      <c r="F173" s="1" t="s">
        <v>317</v>
      </c>
      <c r="G173" s="1" t="s">
        <v>318</v>
      </c>
      <c r="H173" s="6">
        <v>2013.0</v>
      </c>
      <c r="I173" s="1" t="s">
        <v>345</v>
      </c>
      <c r="J173" s="1" t="s">
        <v>376</v>
      </c>
      <c r="K173" s="1" t="s">
        <v>377</v>
      </c>
      <c r="M173" s="7">
        <v>1.5E8</v>
      </c>
      <c r="N173" s="7">
        <v>3627870.0</v>
      </c>
      <c r="O173" s="8">
        <v>46112.0</v>
      </c>
      <c r="P173" s="7">
        <v>1.9705877515E8</v>
      </c>
      <c r="Q173" s="7">
        <v>1.5341213653E8</v>
      </c>
      <c r="R173" s="7">
        <v>3842461.5</v>
      </c>
      <c r="S173" s="1" t="s">
        <v>52</v>
      </c>
    </row>
    <row r="174" ht="15.0" customHeight="1">
      <c r="B174" s="6">
        <f t="shared" si="1"/>
        <v>172</v>
      </c>
      <c r="C174" s="1" t="s">
        <v>378</v>
      </c>
      <c r="D174" s="1" t="s">
        <v>39</v>
      </c>
      <c r="E174" s="1" t="s">
        <v>378</v>
      </c>
      <c r="F174" s="1" t="s">
        <v>105</v>
      </c>
      <c r="G174" s="1" t="s">
        <v>318</v>
      </c>
      <c r="H174" s="6">
        <v>2014.0</v>
      </c>
      <c r="I174" s="1" t="s">
        <v>345</v>
      </c>
      <c r="J174" s="1" t="s">
        <v>92</v>
      </c>
      <c r="K174" s="1" t="s">
        <v>93</v>
      </c>
      <c r="M174" s="7">
        <v>1.24323673E8</v>
      </c>
      <c r="N174" s="7">
        <v>1.4682E7</v>
      </c>
      <c r="O174" s="8">
        <v>46112.0</v>
      </c>
      <c r="P174" s="7">
        <v>2.21463616E8</v>
      </c>
      <c r="Q174" s="7">
        <v>1.88814666E8</v>
      </c>
      <c r="R174" s="7">
        <v>1.7678322E7</v>
      </c>
      <c r="S174" s="1" t="s">
        <v>52</v>
      </c>
    </row>
    <row r="175" ht="15.0" customHeight="1">
      <c r="B175" s="6">
        <f t="shared" si="1"/>
        <v>173</v>
      </c>
      <c r="C175" s="1" t="s">
        <v>379</v>
      </c>
      <c r="D175" s="1" t="s">
        <v>39</v>
      </c>
      <c r="E175" s="1" t="s">
        <v>379</v>
      </c>
      <c r="F175" s="1" t="s">
        <v>245</v>
      </c>
      <c r="G175" s="1" t="s">
        <v>318</v>
      </c>
      <c r="H175" s="6">
        <v>2014.0</v>
      </c>
      <c r="I175" s="1" t="s">
        <v>345</v>
      </c>
      <c r="J175" s="1" t="s">
        <v>102</v>
      </c>
      <c r="K175" s="1" t="s">
        <v>103</v>
      </c>
      <c r="M175" s="7">
        <v>2.0E8</v>
      </c>
      <c r="N175" s="7">
        <v>2.1075227E7</v>
      </c>
      <c r="O175" s="8">
        <v>46112.0</v>
      </c>
      <c r="P175" s="7">
        <v>2.86642801E8</v>
      </c>
      <c r="Q175" s="7">
        <v>2.83771403E8</v>
      </c>
      <c r="R175" s="7">
        <v>1595735.0</v>
      </c>
      <c r="S175" s="1" t="s">
        <v>52</v>
      </c>
    </row>
    <row r="176" ht="15.0" customHeight="1">
      <c r="B176" s="6">
        <f t="shared" si="1"/>
        <v>174</v>
      </c>
      <c r="C176" s="1" t="s">
        <v>380</v>
      </c>
      <c r="D176" s="1" t="s">
        <v>39</v>
      </c>
      <c r="E176" s="1" t="s">
        <v>380</v>
      </c>
      <c r="F176" s="1" t="s">
        <v>381</v>
      </c>
      <c r="G176" s="1" t="s">
        <v>318</v>
      </c>
      <c r="H176" s="6">
        <v>2014.0</v>
      </c>
      <c r="I176" s="1" t="s">
        <v>345</v>
      </c>
      <c r="J176" s="1" t="s">
        <v>92</v>
      </c>
      <c r="K176" s="1" t="s">
        <v>115</v>
      </c>
      <c r="M176" s="7">
        <v>1.5E8</v>
      </c>
      <c r="N176" s="7">
        <v>1205194.82</v>
      </c>
      <c r="O176" s="8">
        <v>46173.0</v>
      </c>
      <c r="P176" s="7">
        <v>1.77342183E8</v>
      </c>
      <c r="Q176" s="7">
        <v>1.4987663E8</v>
      </c>
      <c r="R176" s="7">
        <v>0.0</v>
      </c>
      <c r="S176" s="1" t="s">
        <v>52</v>
      </c>
    </row>
    <row r="177" ht="15.0" customHeight="1">
      <c r="B177" s="6">
        <f t="shared" si="1"/>
        <v>175</v>
      </c>
      <c r="C177" s="1" t="s">
        <v>382</v>
      </c>
      <c r="D177" s="1" t="s">
        <v>39</v>
      </c>
      <c r="E177" s="1" t="s">
        <v>382</v>
      </c>
      <c r="F177" s="1" t="s">
        <v>383</v>
      </c>
      <c r="G177" s="1" t="s">
        <v>318</v>
      </c>
      <c r="H177" s="6">
        <v>2014.0</v>
      </c>
      <c r="I177" s="1" t="s">
        <v>345</v>
      </c>
      <c r="J177" s="1" t="s">
        <v>98</v>
      </c>
      <c r="K177" s="1" t="s">
        <v>99</v>
      </c>
      <c r="M177" s="7">
        <v>2.0E8</v>
      </c>
      <c r="N177" s="7">
        <v>3.2747029E7</v>
      </c>
      <c r="O177" s="8">
        <v>46173.0</v>
      </c>
      <c r="P177" s="7">
        <v>3.02720896E8</v>
      </c>
      <c r="Q177" s="7">
        <v>1.96190781E8</v>
      </c>
      <c r="R177" s="7">
        <v>0.0</v>
      </c>
      <c r="S177" s="1" t="s">
        <v>52</v>
      </c>
    </row>
    <row r="178" ht="15.0" hidden="1" customHeight="1">
      <c r="B178" s="6">
        <f t="shared" si="1"/>
        <v>176</v>
      </c>
      <c r="C178" s="1" t="s">
        <v>384</v>
      </c>
      <c r="D178" s="1" t="s">
        <v>39</v>
      </c>
      <c r="E178" s="1" t="s">
        <v>384</v>
      </c>
      <c r="F178" s="1" t="s">
        <v>80</v>
      </c>
      <c r="G178" s="1" t="s">
        <v>318</v>
      </c>
      <c r="H178" s="6">
        <v>2015.0</v>
      </c>
      <c r="I178" s="1" t="s">
        <v>345</v>
      </c>
      <c r="J178" s="1" t="s">
        <v>82</v>
      </c>
      <c r="K178" s="1" t="s">
        <v>83</v>
      </c>
      <c r="M178" s="7">
        <v>1.5E8</v>
      </c>
      <c r="N178" s="7">
        <v>8271548.86</v>
      </c>
      <c r="O178" s="8">
        <v>46112.0</v>
      </c>
      <c r="P178" s="7">
        <v>2.8848429864E8</v>
      </c>
      <c r="Q178" s="7">
        <v>1.6203888006E8</v>
      </c>
      <c r="R178" s="7">
        <v>2.944488599E7</v>
      </c>
      <c r="S178" s="1" t="s">
        <v>45</v>
      </c>
    </row>
    <row r="179" ht="15.0" customHeight="1">
      <c r="B179" s="6">
        <f t="shared" si="1"/>
        <v>177</v>
      </c>
      <c r="C179" s="1" t="s">
        <v>385</v>
      </c>
      <c r="D179" s="1" t="s">
        <v>39</v>
      </c>
      <c r="E179" s="1" t="s">
        <v>385</v>
      </c>
      <c r="F179" s="1" t="s">
        <v>97</v>
      </c>
      <c r="G179" s="1" t="s">
        <v>318</v>
      </c>
      <c r="H179" s="6">
        <v>2015.0</v>
      </c>
      <c r="I179" s="1" t="s">
        <v>345</v>
      </c>
      <c r="J179" s="1" t="s">
        <v>98</v>
      </c>
      <c r="K179" s="1" t="s">
        <v>99</v>
      </c>
      <c r="M179" s="7">
        <v>2.5E8</v>
      </c>
      <c r="N179" s="7">
        <v>3113963.0</v>
      </c>
      <c r="O179" s="8">
        <v>46112.0</v>
      </c>
      <c r="P179" s="7">
        <v>1.92428492E8</v>
      </c>
      <c r="Q179" s="7">
        <v>1.72076075E8</v>
      </c>
      <c r="R179" s="7">
        <v>4208187.0</v>
      </c>
      <c r="S179" s="1" t="s">
        <v>52</v>
      </c>
    </row>
    <row r="180" ht="15.0" customHeight="1">
      <c r="B180" s="6">
        <f t="shared" si="1"/>
        <v>178</v>
      </c>
      <c r="C180" s="1" t="s">
        <v>386</v>
      </c>
      <c r="D180" s="1" t="s">
        <v>39</v>
      </c>
      <c r="E180" s="1" t="s">
        <v>386</v>
      </c>
      <c r="F180" s="1" t="s">
        <v>387</v>
      </c>
      <c r="G180" s="1" t="s">
        <v>318</v>
      </c>
      <c r="H180" s="6">
        <v>2011.0</v>
      </c>
      <c r="I180" s="1" t="s">
        <v>345</v>
      </c>
      <c r="J180" s="1" t="s">
        <v>92</v>
      </c>
      <c r="K180" s="1" t="s">
        <v>388</v>
      </c>
      <c r="M180" s="7">
        <v>1.0E8</v>
      </c>
      <c r="N180" s="7">
        <v>0.0</v>
      </c>
      <c r="O180" s="8">
        <v>44653.0</v>
      </c>
      <c r="P180" s="7">
        <v>2.3510677522E8</v>
      </c>
      <c r="Q180" s="7">
        <v>1.0E8</v>
      </c>
      <c r="R180" s="7">
        <v>0.0</v>
      </c>
      <c r="S180" s="1" t="s">
        <v>52</v>
      </c>
    </row>
    <row r="181" ht="15.0" customHeight="1">
      <c r="B181" s="6">
        <f t="shared" si="1"/>
        <v>179</v>
      </c>
      <c r="C181" s="1" t="s">
        <v>389</v>
      </c>
      <c r="D181" s="1" t="s">
        <v>39</v>
      </c>
      <c r="E181" s="1" t="s">
        <v>389</v>
      </c>
      <c r="F181" s="1" t="s">
        <v>387</v>
      </c>
      <c r="G181" s="1" t="s">
        <v>318</v>
      </c>
      <c r="H181" s="6">
        <v>2014.0</v>
      </c>
      <c r="I181" s="1" t="s">
        <v>345</v>
      </c>
      <c r="J181" s="1" t="s">
        <v>92</v>
      </c>
      <c r="K181" s="1" t="s">
        <v>390</v>
      </c>
      <c r="M181" s="7">
        <v>2.0E8</v>
      </c>
      <c r="N181" s="7">
        <v>0.0</v>
      </c>
      <c r="O181" s="8">
        <v>44562.0</v>
      </c>
      <c r="P181" s="7">
        <v>3.5137989977E8</v>
      </c>
      <c r="Q181" s="7">
        <v>2.0E8</v>
      </c>
      <c r="R181" s="7">
        <v>0.0</v>
      </c>
      <c r="S181" s="1" t="s">
        <v>52</v>
      </c>
    </row>
    <row r="182" ht="15.0" customHeight="1">
      <c r="B182" s="6">
        <f t="shared" si="1"/>
        <v>180</v>
      </c>
      <c r="C182" s="1" t="s">
        <v>391</v>
      </c>
      <c r="D182" s="1" t="s">
        <v>39</v>
      </c>
      <c r="E182" s="1" t="s">
        <v>391</v>
      </c>
      <c r="F182" s="1" t="s">
        <v>371</v>
      </c>
      <c r="G182" s="1" t="s">
        <v>318</v>
      </c>
      <c r="H182" s="6">
        <v>2010.0</v>
      </c>
      <c r="I182" s="1" t="s">
        <v>345</v>
      </c>
      <c r="J182" s="1" t="s">
        <v>92</v>
      </c>
      <c r="K182" s="1" t="s">
        <v>390</v>
      </c>
      <c r="M182" s="7">
        <v>3.2618194E8</v>
      </c>
      <c r="N182" s="7">
        <v>0.0</v>
      </c>
      <c r="O182" s="8">
        <v>44286.0</v>
      </c>
      <c r="P182" s="7">
        <v>5.3279330087E8</v>
      </c>
      <c r="Q182" s="7">
        <v>3.2618194E8</v>
      </c>
      <c r="R182" s="7">
        <v>0.0</v>
      </c>
      <c r="S182" s="1" t="s">
        <v>52</v>
      </c>
    </row>
    <row r="183" ht="15.0" customHeight="1">
      <c r="B183" s="6">
        <f t="shared" si="1"/>
        <v>181</v>
      </c>
      <c r="C183" s="1" t="s">
        <v>392</v>
      </c>
      <c r="D183" s="1" t="s">
        <v>39</v>
      </c>
      <c r="E183" s="1" t="s">
        <v>393</v>
      </c>
      <c r="F183" s="1" t="s">
        <v>232</v>
      </c>
      <c r="G183" s="1" t="s">
        <v>318</v>
      </c>
      <c r="H183" s="6">
        <v>2015.0</v>
      </c>
      <c r="I183" s="1" t="s">
        <v>345</v>
      </c>
      <c r="J183" s="1" t="s">
        <v>92</v>
      </c>
      <c r="K183" s="1" t="s">
        <v>93</v>
      </c>
      <c r="M183" s="7">
        <v>2.5E8</v>
      </c>
      <c r="N183" s="7">
        <v>9.1059129E7</v>
      </c>
      <c r="O183" s="8">
        <v>46112.0</v>
      </c>
      <c r="P183" s="7">
        <v>2.4230019937E8</v>
      </c>
      <c r="Q183" s="7">
        <v>2.5E8</v>
      </c>
      <c r="R183" s="7">
        <v>0.0</v>
      </c>
      <c r="S183" s="1" t="s">
        <v>52</v>
      </c>
    </row>
    <row r="184" ht="15.0" customHeight="1">
      <c r="B184" s="6">
        <f t="shared" si="1"/>
        <v>182</v>
      </c>
      <c r="C184" s="1" t="s">
        <v>394</v>
      </c>
      <c r="D184" s="1" t="s">
        <v>39</v>
      </c>
      <c r="E184" s="1" t="s">
        <v>394</v>
      </c>
      <c r="F184" s="1" t="s">
        <v>383</v>
      </c>
      <c r="G184" s="1" t="s">
        <v>318</v>
      </c>
      <c r="H184" s="6">
        <v>2015.0</v>
      </c>
      <c r="I184" s="1" t="s">
        <v>345</v>
      </c>
      <c r="J184" s="1" t="s">
        <v>92</v>
      </c>
      <c r="K184" s="1" t="s">
        <v>346</v>
      </c>
      <c r="M184" s="7">
        <v>2.0E8</v>
      </c>
      <c r="N184" s="7">
        <v>3.6249436E7</v>
      </c>
      <c r="O184" s="8">
        <v>46112.0</v>
      </c>
      <c r="P184" s="7">
        <v>1.88587923E8</v>
      </c>
      <c r="Q184" s="7">
        <v>2.00890954E8</v>
      </c>
      <c r="R184" s="7">
        <v>0.0</v>
      </c>
      <c r="S184" s="1" t="s">
        <v>52</v>
      </c>
    </row>
    <row r="185" ht="15.0" customHeight="1">
      <c r="B185" s="6">
        <f t="shared" si="1"/>
        <v>183</v>
      </c>
      <c r="C185" s="1" t="s">
        <v>395</v>
      </c>
      <c r="D185" s="1" t="s">
        <v>39</v>
      </c>
      <c r="E185" s="1" t="s">
        <v>395</v>
      </c>
      <c r="F185" s="1" t="s">
        <v>367</v>
      </c>
      <c r="G185" s="1" t="s">
        <v>318</v>
      </c>
      <c r="H185" s="6">
        <v>2016.0</v>
      </c>
      <c r="I185" s="1" t="s">
        <v>345</v>
      </c>
      <c r="J185" s="1" t="s">
        <v>92</v>
      </c>
      <c r="K185" s="1" t="s">
        <v>346</v>
      </c>
      <c r="M185" s="7">
        <v>1.6E8</v>
      </c>
      <c r="N185" s="7">
        <v>4.211672744E7</v>
      </c>
      <c r="O185" s="8">
        <v>46112.0</v>
      </c>
      <c r="P185" s="7">
        <v>4.767477016E7</v>
      </c>
      <c r="Q185" s="7">
        <v>2.358623192E7</v>
      </c>
      <c r="R185" s="7">
        <v>1.596886245E8</v>
      </c>
      <c r="S185" s="1" t="s">
        <v>52</v>
      </c>
    </row>
    <row r="186" ht="15.0" customHeight="1">
      <c r="B186" s="6">
        <f t="shared" si="1"/>
        <v>184</v>
      </c>
      <c r="C186" s="1" t="s">
        <v>396</v>
      </c>
      <c r="D186" s="1" t="s">
        <v>39</v>
      </c>
      <c r="E186" s="1" t="s">
        <v>396</v>
      </c>
      <c r="F186" s="1" t="s">
        <v>367</v>
      </c>
      <c r="G186" s="1" t="s">
        <v>318</v>
      </c>
      <c r="H186" s="6">
        <v>2016.0</v>
      </c>
      <c r="I186" s="1" t="s">
        <v>345</v>
      </c>
      <c r="J186" s="1" t="s">
        <v>92</v>
      </c>
      <c r="K186" s="1" t="s">
        <v>93</v>
      </c>
      <c r="M186" s="7">
        <v>4.0E7</v>
      </c>
      <c r="N186" s="7">
        <v>8500076.52</v>
      </c>
      <c r="O186" s="8">
        <v>46112.0</v>
      </c>
      <c r="P186" s="7">
        <v>2.115619267E7</v>
      </c>
      <c r="Q186" s="7">
        <v>2.144299817E7</v>
      </c>
      <c r="R186" s="7">
        <v>3.235233362E7</v>
      </c>
      <c r="S186" s="1" t="s">
        <v>52</v>
      </c>
    </row>
    <row r="187" ht="15.0" customHeight="1">
      <c r="B187" s="6">
        <f t="shared" si="1"/>
        <v>185</v>
      </c>
      <c r="C187" s="1" t="s">
        <v>397</v>
      </c>
      <c r="D187" s="1" t="s">
        <v>39</v>
      </c>
      <c r="E187" s="1" t="s">
        <v>397</v>
      </c>
      <c r="F187" s="1" t="s">
        <v>381</v>
      </c>
      <c r="G187" s="1" t="s">
        <v>318</v>
      </c>
      <c r="H187" s="6">
        <v>2016.0</v>
      </c>
      <c r="I187" s="1" t="s">
        <v>345</v>
      </c>
      <c r="J187" s="1" t="s">
        <v>92</v>
      </c>
      <c r="K187" s="1" t="s">
        <v>115</v>
      </c>
      <c r="M187" s="7">
        <v>7.5E7</v>
      </c>
      <c r="N187" s="7">
        <v>5196567.21</v>
      </c>
      <c r="O187" s="8">
        <v>46173.0</v>
      </c>
      <c r="P187" s="7">
        <v>7.9726922E7</v>
      </c>
      <c r="Q187" s="7">
        <v>7.5E7</v>
      </c>
      <c r="R187" s="7">
        <v>0.0</v>
      </c>
      <c r="S187" s="1" t="s">
        <v>52</v>
      </c>
    </row>
    <row r="188" ht="15.0" customHeight="1">
      <c r="B188" s="6">
        <f t="shared" si="1"/>
        <v>186</v>
      </c>
      <c r="C188" s="1" t="s">
        <v>398</v>
      </c>
      <c r="D188" s="1" t="s">
        <v>39</v>
      </c>
      <c r="E188" s="1" t="s">
        <v>398</v>
      </c>
      <c r="F188" s="1" t="s">
        <v>91</v>
      </c>
      <c r="G188" s="1" t="s">
        <v>318</v>
      </c>
      <c r="H188" s="6">
        <v>2016.0</v>
      </c>
      <c r="I188" s="1" t="s">
        <v>345</v>
      </c>
      <c r="J188" s="1" t="s">
        <v>92</v>
      </c>
      <c r="K188" s="1" t="s">
        <v>93</v>
      </c>
      <c r="M188" s="7">
        <v>2.0E8</v>
      </c>
      <c r="N188" s="7">
        <v>5.4189451E7</v>
      </c>
      <c r="O188" s="8">
        <v>46112.0</v>
      </c>
      <c r="P188" s="7">
        <v>2.33853919E8</v>
      </c>
      <c r="Q188" s="7">
        <v>2.7403579047E8</v>
      </c>
      <c r="R188" s="7">
        <v>4.378660222E7</v>
      </c>
      <c r="S188" s="1" t="s">
        <v>52</v>
      </c>
    </row>
    <row r="189" ht="15.0" customHeight="1">
      <c r="B189" s="6">
        <f t="shared" si="1"/>
        <v>187</v>
      </c>
      <c r="C189" s="1" t="s">
        <v>399</v>
      </c>
      <c r="D189" s="1" t="s">
        <v>39</v>
      </c>
      <c r="E189" s="1" t="s">
        <v>399</v>
      </c>
      <c r="F189" s="1" t="s">
        <v>400</v>
      </c>
      <c r="G189" s="1" t="s">
        <v>318</v>
      </c>
      <c r="H189" s="6">
        <v>2017.0</v>
      </c>
      <c r="I189" s="1" t="s">
        <v>345</v>
      </c>
      <c r="J189" s="1" t="s">
        <v>372</v>
      </c>
      <c r="K189" s="1" t="s">
        <v>401</v>
      </c>
      <c r="M189" s="7">
        <v>7.5E7</v>
      </c>
      <c r="N189" s="7">
        <v>1.5420851E7</v>
      </c>
      <c r="O189" s="8">
        <v>46112.0</v>
      </c>
      <c r="P189" s="7">
        <v>9.124634604E7</v>
      </c>
      <c r="Q189" s="7">
        <v>7.49484357E7</v>
      </c>
      <c r="R189" s="7">
        <v>0.0</v>
      </c>
      <c r="S189" s="1" t="s">
        <v>52</v>
      </c>
    </row>
    <row r="190" ht="15.0" customHeight="1">
      <c r="B190" s="6">
        <f t="shared" si="1"/>
        <v>188</v>
      </c>
      <c r="C190" s="1" t="s">
        <v>402</v>
      </c>
      <c r="D190" s="1" t="s">
        <v>39</v>
      </c>
      <c r="E190" s="1" t="s">
        <v>402</v>
      </c>
      <c r="F190" s="1" t="s">
        <v>383</v>
      </c>
      <c r="G190" s="1" t="s">
        <v>318</v>
      </c>
      <c r="H190" s="6">
        <v>2017.0</v>
      </c>
      <c r="I190" s="1" t="s">
        <v>345</v>
      </c>
      <c r="J190" s="1" t="s">
        <v>98</v>
      </c>
      <c r="K190" s="1" t="s">
        <v>99</v>
      </c>
      <c r="M190" s="7">
        <v>1.0E8</v>
      </c>
      <c r="N190" s="7">
        <v>2.1095634E7</v>
      </c>
      <c r="O190" s="8">
        <v>46173.0</v>
      </c>
      <c r="P190" s="7">
        <v>2.44650448E8</v>
      </c>
      <c r="Q190" s="7">
        <v>1.54377201E8</v>
      </c>
      <c r="R190" s="7">
        <v>0.0</v>
      </c>
      <c r="S190" s="1" t="s">
        <v>52</v>
      </c>
    </row>
    <row r="191" ht="15.0" customHeight="1">
      <c r="B191" s="6">
        <f t="shared" si="1"/>
        <v>189</v>
      </c>
      <c r="C191" s="1" t="s">
        <v>403</v>
      </c>
      <c r="D191" s="1" t="s">
        <v>39</v>
      </c>
      <c r="E191" s="1" t="s">
        <v>403</v>
      </c>
      <c r="F191" s="1" t="s">
        <v>371</v>
      </c>
      <c r="G191" s="1" t="s">
        <v>318</v>
      </c>
      <c r="H191" s="6">
        <v>2017.0</v>
      </c>
      <c r="I191" s="1" t="s">
        <v>345</v>
      </c>
      <c r="J191" s="1" t="s">
        <v>372</v>
      </c>
      <c r="K191" s="1" t="s">
        <v>349</v>
      </c>
      <c r="M191" s="7">
        <v>1.5E8</v>
      </c>
      <c r="N191" s="7">
        <v>3.871541326E7</v>
      </c>
      <c r="O191" s="8">
        <v>46081.0</v>
      </c>
      <c r="P191" s="7">
        <v>5.745534491E7</v>
      </c>
      <c r="Q191" s="7">
        <v>1.3499142605E8</v>
      </c>
      <c r="R191" s="7">
        <v>-0.22</v>
      </c>
      <c r="S191" s="1" t="s">
        <v>52</v>
      </c>
    </row>
    <row r="192" ht="15.0" customHeight="1">
      <c r="B192" s="6">
        <f t="shared" si="1"/>
        <v>190</v>
      </c>
      <c r="C192" s="1" t="s">
        <v>404</v>
      </c>
      <c r="D192" s="1" t="s">
        <v>39</v>
      </c>
      <c r="E192" s="1" t="s">
        <v>404</v>
      </c>
      <c r="F192" s="1" t="s">
        <v>111</v>
      </c>
      <c r="G192" s="1" t="s">
        <v>318</v>
      </c>
      <c r="H192" s="6">
        <v>2016.0</v>
      </c>
      <c r="I192" s="1" t="s">
        <v>345</v>
      </c>
      <c r="J192" s="1" t="s">
        <v>92</v>
      </c>
      <c r="K192" s="1" t="s">
        <v>93</v>
      </c>
      <c r="M192" s="7">
        <v>2.5E8</v>
      </c>
      <c r="N192" s="7">
        <v>1.22844108E8</v>
      </c>
      <c r="O192" s="8">
        <v>46112.0</v>
      </c>
      <c r="P192" s="7">
        <v>2.9424211303E8</v>
      </c>
      <c r="Q192" s="7">
        <v>2.6421033489E8</v>
      </c>
      <c r="R192" s="7">
        <v>2.5548151811E8</v>
      </c>
      <c r="S192" s="1" t="s">
        <v>52</v>
      </c>
    </row>
    <row r="193" ht="15.0" hidden="1" customHeight="1">
      <c r="B193" s="6">
        <f t="shared" si="1"/>
        <v>191</v>
      </c>
      <c r="C193" s="1" t="s">
        <v>405</v>
      </c>
      <c r="D193" s="1" t="s">
        <v>39</v>
      </c>
      <c r="E193" s="1" t="s">
        <v>405</v>
      </c>
      <c r="F193" s="1" t="s">
        <v>80</v>
      </c>
      <c r="G193" s="1" t="s">
        <v>318</v>
      </c>
      <c r="H193" s="6">
        <v>2018.0</v>
      </c>
      <c r="I193" s="1" t="s">
        <v>345</v>
      </c>
      <c r="J193" s="1" t="s">
        <v>82</v>
      </c>
      <c r="K193" s="1" t="s">
        <v>83</v>
      </c>
      <c r="M193" s="7">
        <v>1.5E8</v>
      </c>
      <c r="N193" s="7">
        <v>5.7105524E7</v>
      </c>
      <c r="O193" s="8">
        <v>46112.0</v>
      </c>
      <c r="P193" s="7">
        <v>1.8936831108E8</v>
      </c>
      <c r="Q193" s="7">
        <v>1.4828713211E8</v>
      </c>
      <c r="R193" s="7">
        <v>2.640107437E7</v>
      </c>
      <c r="S193" s="1" t="s">
        <v>45</v>
      </c>
    </row>
    <row r="194" ht="15.0" customHeight="1">
      <c r="B194" s="6">
        <f t="shared" si="1"/>
        <v>192</v>
      </c>
      <c r="C194" s="1" t="s">
        <v>406</v>
      </c>
      <c r="D194" s="1" t="s">
        <v>39</v>
      </c>
      <c r="E194" s="1" t="s">
        <v>406</v>
      </c>
      <c r="F194" s="1" t="s">
        <v>407</v>
      </c>
      <c r="G194" s="1" t="s">
        <v>318</v>
      </c>
      <c r="H194" s="6">
        <v>2018.0</v>
      </c>
      <c r="I194" s="1" t="s">
        <v>345</v>
      </c>
      <c r="J194" s="1" t="s">
        <v>372</v>
      </c>
      <c r="K194" s="1" t="s">
        <v>294</v>
      </c>
      <c r="M194" s="7">
        <v>4.0E8</v>
      </c>
      <c r="N194" s="7">
        <v>5.8554356E7</v>
      </c>
      <c r="O194" s="8">
        <v>46112.0</v>
      </c>
      <c r="P194" s="7">
        <v>1.5985135332E8</v>
      </c>
      <c r="Q194" s="7">
        <v>1.7656106182E8</v>
      </c>
      <c r="R194" s="7">
        <v>4.547976887E7</v>
      </c>
      <c r="S194" s="1" t="s">
        <v>52</v>
      </c>
    </row>
    <row r="195" ht="15.0" customHeight="1">
      <c r="B195" s="6">
        <f t="shared" si="1"/>
        <v>193</v>
      </c>
      <c r="C195" s="1" t="s">
        <v>408</v>
      </c>
      <c r="D195" s="1" t="s">
        <v>39</v>
      </c>
      <c r="E195" s="1" t="s">
        <v>408</v>
      </c>
      <c r="F195" s="1" t="s">
        <v>105</v>
      </c>
      <c r="G195" s="1" t="s">
        <v>318</v>
      </c>
      <c r="H195" s="6">
        <v>2018.0</v>
      </c>
      <c r="I195" s="1" t="s">
        <v>345</v>
      </c>
      <c r="J195" s="1" t="s">
        <v>92</v>
      </c>
      <c r="K195" s="1" t="s">
        <v>93</v>
      </c>
      <c r="M195" s="7">
        <v>1.5E8</v>
      </c>
      <c r="N195" s="7">
        <v>8.7190106E7</v>
      </c>
      <c r="O195" s="8">
        <v>46112.0</v>
      </c>
      <c r="P195" s="7">
        <v>1.90717475E8</v>
      </c>
      <c r="Q195" s="7">
        <v>2.03714962E8</v>
      </c>
      <c r="R195" s="7">
        <v>1.5739597E7</v>
      </c>
      <c r="S195" s="1" t="s">
        <v>52</v>
      </c>
    </row>
    <row r="196" ht="15.0" customHeight="1">
      <c r="B196" s="6">
        <f t="shared" si="1"/>
        <v>194</v>
      </c>
      <c r="C196" s="1" t="s">
        <v>409</v>
      </c>
      <c r="D196" s="1" t="s">
        <v>39</v>
      </c>
      <c r="E196" s="1" t="s">
        <v>409</v>
      </c>
      <c r="F196" s="1" t="s">
        <v>111</v>
      </c>
      <c r="G196" s="1" t="s">
        <v>318</v>
      </c>
      <c r="H196" s="6">
        <v>2018.0</v>
      </c>
      <c r="I196" s="1" t="s">
        <v>345</v>
      </c>
      <c r="J196" s="1" t="s">
        <v>372</v>
      </c>
      <c r="K196" s="1" t="s">
        <v>401</v>
      </c>
      <c r="M196" s="7">
        <v>2.0E8</v>
      </c>
      <c r="N196" s="7">
        <v>5.9512077E7</v>
      </c>
      <c r="O196" s="8">
        <v>46112.0</v>
      </c>
      <c r="P196" s="7">
        <v>1.4792263085E8</v>
      </c>
      <c r="Q196" s="7">
        <v>1.5489913672E8</v>
      </c>
      <c r="R196" s="7">
        <v>1.2750218843E8</v>
      </c>
      <c r="S196" s="1" t="s">
        <v>52</v>
      </c>
    </row>
    <row r="197" ht="15.0" customHeight="1">
      <c r="B197" s="6">
        <f t="shared" si="1"/>
        <v>195</v>
      </c>
      <c r="C197" s="1" t="s">
        <v>410</v>
      </c>
      <c r="D197" s="1" t="s">
        <v>39</v>
      </c>
      <c r="E197" s="1" t="s">
        <v>410</v>
      </c>
      <c r="F197" s="1" t="s">
        <v>88</v>
      </c>
      <c r="G197" s="1" t="s">
        <v>318</v>
      </c>
      <c r="H197" s="6">
        <v>2019.0</v>
      </c>
      <c r="I197" s="1" t="s">
        <v>345</v>
      </c>
      <c r="J197" s="1" t="s">
        <v>82</v>
      </c>
      <c r="K197" s="1" t="s">
        <v>89</v>
      </c>
      <c r="M197" s="7">
        <v>1.0E8</v>
      </c>
      <c r="N197" s="7">
        <v>6.9631168E7</v>
      </c>
      <c r="O197" s="8">
        <v>46112.0</v>
      </c>
      <c r="P197" s="7">
        <v>4.348974845E7</v>
      </c>
      <c r="Q197" s="7">
        <v>9.138601467E7</v>
      </c>
      <c r="R197" s="7">
        <v>2.699726038E7</v>
      </c>
      <c r="S197" s="1" t="s">
        <v>52</v>
      </c>
    </row>
    <row r="198" ht="15.0" customHeight="1">
      <c r="B198" s="6">
        <f t="shared" si="1"/>
        <v>196</v>
      </c>
      <c r="C198" s="1" t="s">
        <v>411</v>
      </c>
      <c r="D198" s="1" t="s">
        <v>39</v>
      </c>
      <c r="E198" s="1" t="s">
        <v>411</v>
      </c>
      <c r="F198" s="1" t="s">
        <v>232</v>
      </c>
      <c r="G198" s="1" t="s">
        <v>318</v>
      </c>
      <c r="H198" s="6">
        <v>2019.0</v>
      </c>
      <c r="I198" s="1" t="s">
        <v>345</v>
      </c>
      <c r="J198" s="1" t="s">
        <v>92</v>
      </c>
      <c r="K198" s="1" t="s">
        <v>93</v>
      </c>
      <c r="M198" s="7">
        <v>2.0E8</v>
      </c>
      <c r="N198" s="7">
        <v>2.39371777E8</v>
      </c>
      <c r="O198" s="8">
        <v>46112.0</v>
      </c>
      <c r="P198" s="7">
        <v>1.3276009893E8</v>
      </c>
      <c r="Q198" s="7">
        <v>2.0843035949E8</v>
      </c>
      <c r="R198" s="7">
        <v>1.2476009893E8</v>
      </c>
      <c r="S198" s="1" t="s">
        <v>52</v>
      </c>
    </row>
    <row r="199" ht="15.0" customHeight="1">
      <c r="B199" s="6">
        <f t="shared" si="1"/>
        <v>197</v>
      </c>
      <c r="C199" s="1" t="s">
        <v>412</v>
      </c>
      <c r="D199" s="1" t="s">
        <v>39</v>
      </c>
      <c r="E199" s="1" t="s">
        <v>412</v>
      </c>
      <c r="F199" s="1" t="s">
        <v>413</v>
      </c>
      <c r="G199" s="1" t="s">
        <v>318</v>
      </c>
      <c r="H199" s="6">
        <v>2018.0</v>
      </c>
      <c r="I199" s="1" t="s">
        <v>345</v>
      </c>
      <c r="J199" s="1" t="s">
        <v>92</v>
      </c>
      <c r="K199" s="1" t="s">
        <v>93</v>
      </c>
      <c r="M199" s="7">
        <v>1.5E8</v>
      </c>
      <c r="N199" s="7">
        <v>2.7150114E7</v>
      </c>
      <c r="O199" s="8">
        <v>46112.0</v>
      </c>
      <c r="P199" s="7">
        <v>2.2560207061E8</v>
      </c>
      <c r="Q199" s="7">
        <v>2.1562105228E8</v>
      </c>
      <c r="R199" s="7">
        <v>1.0460435911E8</v>
      </c>
      <c r="S199" s="1" t="s">
        <v>52</v>
      </c>
    </row>
    <row r="200" ht="15.0" customHeight="1">
      <c r="B200" s="6">
        <f t="shared" si="1"/>
        <v>198</v>
      </c>
      <c r="C200" s="1" t="s">
        <v>414</v>
      </c>
      <c r="D200" s="1" t="s">
        <v>39</v>
      </c>
      <c r="E200" s="1" t="s">
        <v>414</v>
      </c>
      <c r="F200" s="1" t="s">
        <v>413</v>
      </c>
      <c r="G200" s="1" t="s">
        <v>318</v>
      </c>
      <c r="H200" s="6">
        <v>2019.0</v>
      </c>
      <c r="I200" s="1" t="s">
        <v>345</v>
      </c>
      <c r="J200" s="1" t="s">
        <v>92</v>
      </c>
      <c r="K200" s="1" t="s">
        <v>93</v>
      </c>
      <c r="M200" s="7">
        <v>1.5E8</v>
      </c>
      <c r="N200" s="7">
        <v>4.7020269E7</v>
      </c>
      <c r="O200" s="8">
        <v>46112.0</v>
      </c>
      <c r="P200" s="7">
        <v>2.2984644231E8</v>
      </c>
      <c r="Q200" s="7">
        <v>2.0314578862E8</v>
      </c>
      <c r="R200" s="7">
        <v>8.998264382E7</v>
      </c>
      <c r="S200" s="1" t="s">
        <v>52</v>
      </c>
    </row>
    <row r="201" ht="15.0" customHeight="1">
      <c r="B201" s="6">
        <f t="shared" si="1"/>
        <v>199</v>
      </c>
      <c r="C201" s="1" t="s">
        <v>415</v>
      </c>
      <c r="D201" s="1" t="s">
        <v>39</v>
      </c>
      <c r="E201" s="1" t="s">
        <v>415</v>
      </c>
      <c r="F201" s="1" t="s">
        <v>105</v>
      </c>
      <c r="G201" s="1" t="s">
        <v>318</v>
      </c>
      <c r="H201" s="6">
        <v>2020.0</v>
      </c>
      <c r="I201" s="1" t="s">
        <v>345</v>
      </c>
      <c r="J201" s="1" t="s">
        <v>92</v>
      </c>
      <c r="K201" s="1" t="s">
        <v>346</v>
      </c>
      <c r="M201" s="7">
        <v>2.0E8</v>
      </c>
      <c r="N201" s="7">
        <v>1.08033087E8</v>
      </c>
      <c r="O201" s="8">
        <v>46112.0</v>
      </c>
      <c r="P201" s="7">
        <v>3.14270807E8</v>
      </c>
      <c r="Q201" s="7">
        <v>3.7234615701E8</v>
      </c>
      <c r="R201" s="7">
        <v>5.649357999E7</v>
      </c>
      <c r="S201" s="1" t="s">
        <v>52</v>
      </c>
    </row>
    <row r="202" ht="15.0" customHeight="1">
      <c r="B202" s="6">
        <f t="shared" si="1"/>
        <v>200</v>
      </c>
      <c r="C202" s="1" t="s">
        <v>416</v>
      </c>
      <c r="D202" s="1" t="s">
        <v>39</v>
      </c>
      <c r="E202" s="1" t="s">
        <v>417</v>
      </c>
      <c r="F202" s="1" t="s">
        <v>418</v>
      </c>
      <c r="G202" s="1" t="s">
        <v>318</v>
      </c>
      <c r="H202" s="6">
        <v>2020.0</v>
      </c>
      <c r="I202" s="1" t="s">
        <v>345</v>
      </c>
      <c r="J202" s="1" t="s">
        <v>376</v>
      </c>
      <c r="K202" s="1" t="s">
        <v>419</v>
      </c>
      <c r="M202" s="7">
        <v>2.0E8</v>
      </c>
      <c r="N202" s="7">
        <v>0.0</v>
      </c>
      <c r="O202" s="8">
        <v>44929.0</v>
      </c>
      <c r="P202" s="7">
        <v>9.166074907E7</v>
      </c>
      <c r="Q202" s="7">
        <v>1.7104943501E8</v>
      </c>
      <c r="R202" s="7">
        <v>0.27</v>
      </c>
      <c r="S202" s="1" t="s">
        <v>52</v>
      </c>
    </row>
    <row r="203" ht="15.0" customHeight="1">
      <c r="B203" s="6">
        <f t="shared" si="1"/>
        <v>201</v>
      </c>
      <c r="C203" s="1" t="s">
        <v>420</v>
      </c>
      <c r="D203" s="1" t="s">
        <v>39</v>
      </c>
      <c r="E203" s="1" t="s">
        <v>420</v>
      </c>
      <c r="F203" s="1" t="s">
        <v>105</v>
      </c>
      <c r="G203" s="1" t="s">
        <v>318</v>
      </c>
      <c r="H203" s="6">
        <v>2020.0</v>
      </c>
      <c r="I203" s="1" t="s">
        <v>345</v>
      </c>
      <c r="J203" s="1" t="s">
        <v>102</v>
      </c>
      <c r="K203" s="1" t="s">
        <v>421</v>
      </c>
      <c r="M203" s="7">
        <v>1.25E8</v>
      </c>
      <c r="N203" s="7">
        <v>8.5477761E7</v>
      </c>
      <c r="O203" s="8">
        <v>46112.0</v>
      </c>
      <c r="P203" s="7">
        <v>1.13809238E8</v>
      </c>
      <c r="Q203" s="7">
        <v>1.5947895E8</v>
      </c>
      <c r="R203" s="7">
        <v>6.1594507E7</v>
      </c>
      <c r="S203" s="1" t="s">
        <v>52</v>
      </c>
    </row>
    <row r="204" ht="15.0" customHeight="1">
      <c r="B204" s="6">
        <f t="shared" si="1"/>
        <v>202</v>
      </c>
      <c r="C204" s="1" t="s">
        <v>422</v>
      </c>
      <c r="D204" s="1" t="s">
        <v>39</v>
      </c>
      <c r="E204" s="1" t="s">
        <v>422</v>
      </c>
      <c r="F204" s="1" t="s">
        <v>105</v>
      </c>
      <c r="G204" s="1" t="s">
        <v>318</v>
      </c>
      <c r="H204" s="6">
        <v>2022.0</v>
      </c>
      <c r="I204" s="1" t="s">
        <v>345</v>
      </c>
      <c r="J204" s="1" t="s">
        <v>92</v>
      </c>
      <c r="K204" s="1" t="s">
        <v>93</v>
      </c>
      <c r="M204" s="7">
        <v>1.5E8</v>
      </c>
      <c r="N204" s="7">
        <v>1.35787679E8</v>
      </c>
      <c r="O204" s="8">
        <v>46112.0</v>
      </c>
      <c r="P204" s="7">
        <v>8.0639816E7</v>
      </c>
      <c r="Q204" s="7">
        <v>1.8418714E8</v>
      </c>
      <c r="R204" s="7">
        <v>4.6360296E7</v>
      </c>
      <c r="S204" s="1" t="s">
        <v>52</v>
      </c>
    </row>
    <row r="205" ht="15.0" customHeight="1">
      <c r="B205" s="6">
        <f t="shared" si="1"/>
        <v>203</v>
      </c>
      <c r="C205" s="1" t="s">
        <v>423</v>
      </c>
      <c r="D205" s="1" t="s">
        <v>39</v>
      </c>
      <c r="E205" s="1" t="s">
        <v>423</v>
      </c>
      <c r="F205" s="1" t="s">
        <v>232</v>
      </c>
      <c r="G205" s="1" t="s">
        <v>318</v>
      </c>
      <c r="H205" s="6">
        <v>2021.0</v>
      </c>
      <c r="I205" s="1" t="s">
        <v>345</v>
      </c>
      <c r="J205" s="1" t="s">
        <v>92</v>
      </c>
      <c r="K205" s="1" t="s">
        <v>93</v>
      </c>
      <c r="M205" s="7">
        <v>1.25E8</v>
      </c>
      <c r="N205" s="7">
        <v>1.34445708E8</v>
      </c>
      <c r="O205" s="8">
        <v>46112.0</v>
      </c>
      <c r="P205" s="7">
        <v>0.0</v>
      </c>
      <c r="Q205" s="7">
        <v>1.0689414384E8</v>
      </c>
      <c r="R205" s="7">
        <v>1.875E7</v>
      </c>
      <c r="S205" s="1" t="s">
        <v>52</v>
      </c>
    </row>
    <row r="206" ht="15.0" customHeight="1">
      <c r="B206" s="6">
        <f t="shared" si="1"/>
        <v>204</v>
      </c>
      <c r="C206" s="1" t="s">
        <v>424</v>
      </c>
      <c r="D206" s="1" t="s">
        <v>39</v>
      </c>
      <c r="E206" s="1" t="s">
        <v>424</v>
      </c>
      <c r="F206" s="1" t="s">
        <v>317</v>
      </c>
      <c r="G206" s="1" t="s">
        <v>318</v>
      </c>
      <c r="H206" s="6">
        <v>2020.0</v>
      </c>
      <c r="I206" s="1" t="s">
        <v>345</v>
      </c>
      <c r="J206" s="1" t="s">
        <v>376</v>
      </c>
      <c r="K206" s="1" t="s">
        <v>320</v>
      </c>
      <c r="M206" s="7">
        <v>1.5E8</v>
      </c>
      <c r="N206" s="7">
        <v>7.4027634E7</v>
      </c>
      <c r="O206" s="8">
        <v>46112.0</v>
      </c>
      <c r="P206" s="7">
        <v>1.8125479798E8</v>
      </c>
      <c r="Q206" s="7">
        <v>2.1828745867E8</v>
      </c>
      <c r="R206" s="7">
        <v>3.719506573E7</v>
      </c>
      <c r="S206" s="1" t="s">
        <v>52</v>
      </c>
    </row>
    <row r="207" ht="15.0" customHeight="1">
      <c r="B207" s="6">
        <f t="shared" si="1"/>
        <v>205</v>
      </c>
      <c r="C207" s="1" t="s">
        <v>425</v>
      </c>
      <c r="D207" s="1" t="s">
        <v>39</v>
      </c>
      <c r="E207" s="1" t="s">
        <v>425</v>
      </c>
      <c r="F207" s="1" t="s">
        <v>317</v>
      </c>
      <c r="G207" s="1" t="s">
        <v>318</v>
      </c>
      <c r="H207" s="6">
        <v>2022.0</v>
      </c>
      <c r="I207" s="1" t="s">
        <v>345</v>
      </c>
      <c r="J207" s="1" t="s">
        <v>376</v>
      </c>
      <c r="K207" s="1" t="s">
        <v>320</v>
      </c>
      <c r="M207" s="7">
        <v>1.0E8</v>
      </c>
      <c r="N207" s="7">
        <v>7.2698546E7</v>
      </c>
      <c r="O207" s="8">
        <v>46112.0</v>
      </c>
      <c r="P207" s="7">
        <v>9.622974633E7</v>
      </c>
      <c r="Q207" s="7">
        <v>1.2793324883E8</v>
      </c>
      <c r="R207" s="7">
        <v>3.032238939E7</v>
      </c>
      <c r="S207" s="1" t="s">
        <v>52</v>
      </c>
    </row>
    <row r="208" ht="15.0" hidden="1" customHeight="1">
      <c r="B208" s="6">
        <f t="shared" si="1"/>
        <v>206</v>
      </c>
      <c r="C208" s="1" t="s">
        <v>426</v>
      </c>
      <c r="D208" s="1" t="s">
        <v>39</v>
      </c>
      <c r="E208" s="1" t="s">
        <v>426</v>
      </c>
      <c r="F208" s="1" t="s">
        <v>80</v>
      </c>
      <c r="G208" s="1" t="s">
        <v>318</v>
      </c>
      <c r="H208" s="6">
        <v>2021.0</v>
      </c>
      <c r="I208" s="1" t="s">
        <v>345</v>
      </c>
      <c r="J208" s="1" t="s">
        <v>82</v>
      </c>
      <c r="K208" s="1" t="s">
        <v>83</v>
      </c>
      <c r="M208" s="7">
        <v>2.0E8</v>
      </c>
      <c r="N208" s="7">
        <v>1.8899757812E8</v>
      </c>
      <c r="O208" s="8">
        <v>46112.0</v>
      </c>
      <c r="P208" s="7">
        <v>2.299077275E7</v>
      </c>
      <c r="Q208" s="7">
        <v>1.5952346715E8</v>
      </c>
      <c r="R208" s="7">
        <v>6.478764879E7</v>
      </c>
      <c r="S208" s="1" t="s">
        <v>45</v>
      </c>
    </row>
    <row r="209" ht="15.0" customHeight="1">
      <c r="B209" s="6">
        <f t="shared" si="1"/>
        <v>207</v>
      </c>
      <c r="C209" s="1" t="s">
        <v>427</v>
      </c>
      <c r="D209" s="1" t="s">
        <v>39</v>
      </c>
      <c r="E209" s="1" t="s">
        <v>428</v>
      </c>
      <c r="F209" s="1" t="s">
        <v>418</v>
      </c>
      <c r="G209" s="1" t="s">
        <v>318</v>
      </c>
      <c r="H209" s="6">
        <v>2022.0</v>
      </c>
      <c r="I209" s="1" t="s">
        <v>345</v>
      </c>
      <c r="J209" s="1" t="s">
        <v>376</v>
      </c>
      <c r="K209" s="1" t="s">
        <v>419</v>
      </c>
      <c r="M209" s="7">
        <v>2.0E8</v>
      </c>
      <c r="N209" s="7">
        <v>0.0</v>
      </c>
      <c r="O209" s="8">
        <v>44929.0</v>
      </c>
      <c r="P209" s="7">
        <v>2.465759723E7</v>
      </c>
      <c r="Q209" s="7">
        <v>8.466975989E7</v>
      </c>
      <c r="R209" s="7">
        <v>-0.49</v>
      </c>
      <c r="S209" s="1" t="s">
        <v>52</v>
      </c>
    </row>
    <row r="210" ht="15.0" customHeight="1">
      <c r="B210" s="6">
        <f t="shared" si="1"/>
        <v>208</v>
      </c>
      <c r="C210" s="1" t="s">
        <v>429</v>
      </c>
      <c r="D210" s="1" t="s">
        <v>39</v>
      </c>
      <c r="E210" s="1" t="s">
        <v>429</v>
      </c>
      <c r="F210" s="1" t="s">
        <v>88</v>
      </c>
      <c r="G210" s="1" t="s">
        <v>318</v>
      </c>
      <c r="H210" s="6">
        <v>2022.0</v>
      </c>
      <c r="I210" s="1" t="s">
        <v>345</v>
      </c>
      <c r="J210" s="1" t="s">
        <v>82</v>
      </c>
      <c r="K210" s="1" t="s">
        <v>89</v>
      </c>
      <c r="M210" s="7">
        <v>1.0E8</v>
      </c>
      <c r="N210" s="7">
        <v>2.6303996E7</v>
      </c>
      <c r="O210" s="8">
        <v>46112.0</v>
      </c>
      <c r="P210" s="7">
        <v>378690.3</v>
      </c>
      <c r="Q210" s="7">
        <v>3.72758711E7</v>
      </c>
      <c r="R210" s="7">
        <v>6.272458749E7</v>
      </c>
      <c r="S210" s="1" t="s">
        <v>52</v>
      </c>
    </row>
    <row r="211" ht="15.0" customHeight="1">
      <c r="B211" s="6">
        <f t="shared" si="1"/>
        <v>209</v>
      </c>
      <c r="C211" s="1" t="s">
        <v>430</v>
      </c>
      <c r="D211" s="1" t="s">
        <v>39</v>
      </c>
      <c r="E211" s="1" t="s">
        <v>430</v>
      </c>
      <c r="F211" s="1" t="s">
        <v>111</v>
      </c>
      <c r="G211" s="1" t="s">
        <v>318</v>
      </c>
      <c r="H211" s="6">
        <v>2021.0</v>
      </c>
      <c r="I211" s="1" t="s">
        <v>345</v>
      </c>
      <c r="J211" s="1" t="s">
        <v>372</v>
      </c>
      <c r="K211" s="1" t="s">
        <v>401</v>
      </c>
      <c r="M211" s="7">
        <v>2.0E8</v>
      </c>
      <c r="N211" s="7">
        <v>1.06998371E8</v>
      </c>
      <c r="O211" s="8">
        <v>46112.0</v>
      </c>
      <c r="P211" s="7">
        <v>9.447848338E7</v>
      </c>
      <c r="Q211" s="7">
        <v>1.6013126334E8</v>
      </c>
      <c r="R211" s="7">
        <v>1.3275389623E8</v>
      </c>
      <c r="S211" s="1" t="s">
        <v>52</v>
      </c>
    </row>
    <row r="212" ht="15.0" customHeight="1">
      <c r="B212" s="6">
        <f t="shared" si="1"/>
        <v>210</v>
      </c>
      <c r="C212" s="1" t="s">
        <v>431</v>
      </c>
      <c r="D212" s="1" t="s">
        <v>39</v>
      </c>
      <c r="E212" s="1" t="s">
        <v>431</v>
      </c>
      <c r="F212" s="1" t="s">
        <v>407</v>
      </c>
      <c r="G212" s="1" t="s">
        <v>318</v>
      </c>
      <c r="H212" s="6">
        <v>2023.0</v>
      </c>
      <c r="I212" s="1" t="s">
        <v>345</v>
      </c>
      <c r="J212" s="1" t="s">
        <v>372</v>
      </c>
      <c r="K212" s="1" t="s">
        <v>294</v>
      </c>
      <c r="M212" s="7">
        <v>2.0E8</v>
      </c>
      <c r="N212" s="7">
        <v>1.07200688E8</v>
      </c>
      <c r="O212" s="8">
        <v>46112.0</v>
      </c>
      <c r="P212" s="7">
        <v>7303911.03</v>
      </c>
      <c r="Q212" s="7">
        <v>8.975853639E7</v>
      </c>
      <c r="R212" s="7">
        <v>1.0787051567E8</v>
      </c>
      <c r="S212" s="1" t="s">
        <v>52</v>
      </c>
    </row>
    <row r="213" ht="15.0" customHeight="1">
      <c r="B213" s="6">
        <f t="shared" si="1"/>
        <v>211</v>
      </c>
      <c r="C213" s="1" t="s">
        <v>432</v>
      </c>
      <c r="D213" s="1" t="s">
        <v>39</v>
      </c>
      <c r="E213" s="1" t="s">
        <v>433</v>
      </c>
      <c r="F213" s="1" t="s">
        <v>105</v>
      </c>
      <c r="G213" s="1" t="s">
        <v>318</v>
      </c>
      <c r="H213" s="6">
        <v>2022.0</v>
      </c>
      <c r="I213" s="1" t="s">
        <v>345</v>
      </c>
      <c r="J213" s="1" t="s">
        <v>102</v>
      </c>
      <c r="K213" s="1" t="s">
        <v>103</v>
      </c>
      <c r="M213" s="7">
        <v>2.5E8</v>
      </c>
      <c r="N213" s="7">
        <v>1.21022602E8</v>
      </c>
      <c r="O213" s="8">
        <v>46112.0</v>
      </c>
      <c r="P213" s="7">
        <v>3.604463E7</v>
      </c>
      <c r="Q213" s="7">
        <v>1.33131677E8</v>
      </c>
      <c r="R213" s="7">
        <v>1.16868323E8</v>
      </c>
      <c r="S213" s="1" t="s">
        <v>52</v>
      </c>
    </row>
    <row r="214" ht="15.0" customHeight="1">
      <c r="B214" s="6">
        <f t="shared" si="1"/>
        <v>212</v>
      </c>
      <c r="C214" s="1" t="s">
        <v>434</v>
      </c>
      <c r="D214" s="1" t="s">
        <v>39</v>
      </c>
      <c r="E214" s="1" t="s">
        <v>434</v>
      </c>
      <c r="F214" s="1" t="s">
        <v>435</v>
      </c>
      <c r="G214" s="1" t="s">
        <v>318</v>
      </c>
      <c r="H214" s="6">
        <v>2018.0</v>
      </c>
      <c r="I214" s="1" t="s">
        <v>345</v>
      </c>
      <c r="J214" s="1" t="s">
        <v>98</v>
      </c>
      <c r="K214" s="1" t="s">
        <v>42</v>
      </c>
      <c r="M214" s="7">
        <v>1.0E8</v>
      </c>
      <c r="N214" s="7">
        <v>5.4680029E7</v>
      </c>
      <c r="O214" s="8">
        <v>46112.0</v>
      </c>
      <c r="P214" s="7">
        <v>5.52484056E7</v>
      </c>
      <c r="Q214" s="7">
        <v>9.333841354E7</v>
      </c>
      <c r="R214" s="7">
        <v>3.09160872E7</v>
      </c>
      <c r="S214" s="1" t="s">
        <v>52</v>
      </c>
    </row>
    <row r="215" ht="15.0" customHeight="1">
      <c r="B215" s="6">
        <f t="shared" si="1"/>
        <v>213</v>
      </c>
      <c r="C215" s="1" t="s">
        <v>436</v>
      </c>
      <c r="D215" s="1" t="s">
        <v>39</v>
      </c>
      <c r="E215" s="1" t="s">
        <v>436</v>
      </c>
      <c r="F215" s="1" t="s">
        <v>97</v>
      </c>
      <c r="G215" s="1" t="s">
        <v>318</v>
      </c>
      <c r="H215" s="6">
        <v>2014.0</v>
      </c>
      <c r="I215" s="1" t="s">
        <v>345</v>
      </c>
      <c r="J215" s="1" t="s">
        <v>98</v>
      </c>
      <c r="K215" s="1" t="s">
        <v>42</v>
      </c>
      <c r="M215" s="7">
        <v>1.5E8</v>
      </c>
      <c r="N215" s="7">
        <v>1.267557622E7</v>
      </c>
      <c r="O215" s="8">
        <v>46112.0</v>
      </c>
      <c r="P215" s="7">
        <v>1.718964456E7</v>
      </c>
      <c r="Q215" s="7">
        <v>1.100322458E7</v>
      </c>
      <c r="R215" s="7">
        <v>5.287688813E7</v>
      </c>
      <c r="S215" s="1" t="s">
        <v>52</v>
      </c>
    </row>
    <row r="216" ht="15.0" customHeight="1">
      <c r="B216" s="6">
        <f t="shared" si="1"/>
        <v>214</v>
      </c>
      <c r="C216" s="1" t="s">
        <v>437</v>
      </c>
      <c r="D216" s="1" t="s">
        <v>39</v>
      </c>
      <c r="E216" s="1" t="s">
        <v>437</v>
      </c>
      <c r="F216" s="1" t="s">
        <v>97</v>
      </c>
      <c r="G216" s="1" t="s">
        <v>318</v>
      </c>
      <c r="H216" s="6">
        <v>2017.0</v>
      </c>
      <c r="I216" s="1" t="s">
        <v>345</v>
      </c>
      <c r="J216" s="1" t="s">
        <v>98</v>
      </c>
      <c r="K216" s="1" t="s">
        <v>42</v>
      </c>
      <c r="M216" s="7">
        <v>1.5E8</v>
      </c>
      <c r="N216" s="7">
        <v>8.128507E7</v>
      </c>
      <c r="O216" s="8">
        <v>46112.0</v>
      </c>
      <c r="P216" s="7">
        <v>7.500000008E7</v>
      </c>
      <c r="Q216" s="7">
        <v>4.6371737E7</v>
      </c>
      <c r="R216" s="7">
        <v>7.1999102E7</v>
      </c>
      <c r="S216" s="1" t="s">
        <v>52</v>
      </c>
    </row>
    <row r="217" ht="15.0" customHeight="1">
      <c r="B217" s="6">
        <f t="shared" si="1"/>
        <v>215</v>
      </c>
      <c r="C217" s="1" t="s">
        <v>438</v>
      </c>
      <c r="D217" s="1" t="s">
        <v>39</v>
      </c>
      <c r="E217" s="1" t="s">
        <v>438</v>
      </c>
      <c r="F217" s="1" t="s">
        <v>97</v>
      </c>
      <c r="G217" s="1" t="s">
        <v>318</v>
      </c>
      <c r="H217" s="6">
        <v>2020.0</v>
      </c>
      <c r="I217" s="1" t="s">
        <v>345</v>
      </c>
      <c r="J217" s="1" t="s">
        <v>98</v>
      </c>
      <c r="K217" s="1" t="s">
        <v>42</v>
      </c>
      <c r="M217" s="7">
        <v>1.5E8</v>
      </c>
      <c r="N217" s="7">
        <v>1.16391948E8</v>
      </c>
      <c r="O217" s="8">
        <v>46112.0</v>
      </c>
      <c r="P217" s="7">
        <v>7.184615358E7</v>
      </c>
      <c r="Q217" s="7">
        <v>1.23942056E8</v>
      </c>
      <c r="R217" s="7">
        <v>3.3262337E7</v>
      </c>
      <c r="S217" s="1" t="s">
        <v>52</v>
      </c>
    </row>
    <row r="218" ht="15.0" customHeight="1">
      <c r="B218" s="6">
        <f t="shared" si="1"/>
        <v>216</v>
      </c>
      <c r="C218" s="1" t="s">
        <v>439</v>
      </c>
      <c r="D218" s="1" t="s">
        <v>39</v>
      </c>
      <c r="E218" s="1" t="s">
        <v>440</v>
      </c>
      <c r="F218" s="1" t="s">
        <v>441</v>
      </c>
      <c r="G218" s="1" t="s">
        <v>318</v>
      </c>
      <c r="H218" s="6">
        <v>2024.0</v>
      </c>
      <c r="I218" s="1" t="s">
        <v>345</v>
      </c>
      <c r="J218" s="1" t="s">
        <v>372</v>
      </c>
      <c r="K218" s="1" t="s">
        <v>294</v>
      </c>
      <c r="M218" s="7">
        <v>1.25E8</v>
      </c>
      <c r="N218" s="7">
        <v>4.9495341E7</v>
      </c>
      <c r="O218" s="8">
        <v>46112.0</v>
      </c>
      <c r="P218" s="7">
        <v>1.876711168E7</v>
      </c>
      <c r="Q218" s="7">
        <v>7.166849183E7</v>
      </c>
      <c r="R218" s="7">
        <v>6.788270348E7</v>
      </c>
      <c r="S218" s="1" t="s">
        <v>52</v>
      </c>
    </row>
    <row r="219" ht="15.0" customHeight="1">
      <c r="B219" s="6">
        <f t="shared" si="1"/>
        <v>217</v>
      </c>
      <c r="C219" s="1" t="s">
        <v>442</v>
      </c>
      <c r="D219" s="1" t="s">
        <v>39</v>
      </c>
      <c r="E219" s="1" t="s">
        <v>442</v>
      </c>
      <c r="F219" s="1" t="s">
        <v>441</v>
      </c>
      <c r="G219" s="1" t="s">
        <v>318</v>
      </c>
      <c r="H219" s="6">
        <v>2024.0</v>
      </c>
      <c r="I219" s="1" t="s">
        <v>345</v>
      </c>
      <c r="J219" s="1" t="s">
        <v>372</v>
      </c>
      <c r="K219" s="1" t="s">
        <v>294</v>
      </c>
      <c r="M219" s="7">
        <v>5.0E7</v>
      </c>
      <c r="N219" s="7">
        <v>2.3661524E7</v>
      </c>
      <c r="O219" s="8">
        <v>46112.0</v>
      </c>
      <c r="P219" s="7">
        <v>0.0</v>
      </c>
      <c r="Q219" s="7">
        <v>2.300399201E7</v>
      </c>
      <c r="R219" s="7">
        <v>2.699600799E7</v>
      </c>
      <c r="S219" s="1" t="s">
        <v>52</v>
      </c>
    </row>
    <row r="220" ht="15.0" hidden="1" customHeight="1">
      <c r="B220" s="6">
        <f t="shared" si="1"/>
        <v>218</v>
      </c>
      <c r="C220" s="1" t="s">
        <v>443</v>
      </c>
      <c r="D220" s="1" t="s">
        <v>39</v>
      </c>
      <c r="E220" s="1" t="s">
        <v>443</v>
      </c>
      <c r="F220" s="1" t="s">
        <v>80</v>
      </c>
      <c r="G220" s="1" t="s">
        <v>318</v>
      </c>
      <c r="H220" s="6">
        <v>2023.0</v>
      </c>
      <c r="I220" s="1" t="s">
        <v>345</v>
      </c>
      <c r="J220" s="1" t="s">
        <v>82</v>
      </c>
      <c r="K220" s="1" t="s">
        <v>83</v>
      </c>
      <c r="M220" s="7">
        <v>1.5E8</v>
      </c>
      <c r="N220" s="7">
        <v>2.9816707E7</v>
      </c>
      <c r="O220" s="8">
        <v>46112.0</v>
      </c>
      <c r="P220" s="7">
        <v>1.707378567E7</v>
      </c>
      <c r="Q220" s="7">
        <v>5.279167132E7</v>
      </c>
      <c r="R220" s="7">
        <v>1.0705751118E8</v>
      </c>
      <c r="S220" s="1" t="s">
        <v>45</v>
      </c>
    </row>
    <row r="221" ht="15.0" customHeight="1">
      <c r="B221" s="6">
        <f t="shared" si="1"/>
        <v>219</v>
      </c>
      <c r="C221" s="1" t="s">
        <v>444</v>
      </c>
      <c r="D221" s="1" t="s">
        <v>39</v>
      </c>
      <c r="E221" s="1" t="s">
        <v>444</v>
      </c>
      <c r="F221" s="1" t="s">
        <v>105</v>
      </c>
      <c r="G221" s="1" t="s">
        <v>318</v>
      </c>
      <c r="H221" s="6">
        <v>2024.0</v>
      </c>
      <c r="I221" s="1" t="s">
        <v>345</v>
      </c>
      <c r="J221" s="1" t="s">
        <v>102</v>
      </c>
      <c r="K221" s="1" t="s">
        <v>421</v>
      </c>
      <c r="M221" s="7">
        <v>1.65E8</v>
      </c>
      <c r="N221" s="7">
        <v>1.2757706E7</v>
      </c>
      <c r="O221" s="8">
        <v>46112.0</v>
      </c>
      <c r="P221" s="7">
        <v>4294971.0</v>
      </c>
      <c r="Q221" s="7">
        <v>1.3898403E7</v>
      </c>
      <c r="R221" s="7">
        <v>1.55376051E8</v>
      </c>
      <c r="S221" s="1" t="s">
        <v>52</v>
      </c>
    </row>
    <row r="222" ht="15.0" hidden="1" customHeight="1">
      <c r="B222" s="6">
        <f t="shared" si="1"/>
        <v>220</v>
      </c>
      <c r="C222" s="1" t="s">
        <v>445</v>
      </c>
      <c r="D222" s="1" t="s">
        <v>39</v>
      </c>
      <c r="E222" s="1" t="s">
        <v>445</v>
      </c>
      <c r="F222" s="1" t="s">
        <v>80</v>
      </c>
      <c r="G222" s="1" t="s">
        <v>318</v>
      </c>
      <c r="H222" s="6">
        <v>2025.0</v>
      </c>
      <c r="I222" s="1" t="s">
        <v>345</v>
      </c>
      <c r="J222" s="1" t="s">
        <v>82</v>
      </c>
      <c r="K222" s="1" t="s">
        <v>83</v>
      </c>
      <c r="M222" s="7">
        <v>1.5E8</v>
      </c>
      <c r="N222" s="7">
        <v>1672529.0</v>
      </c>
      <c r="O222" s="8">
        <v>46112.0</v>
      </c>
      <c r="P222" s="7">
        <v>0.0</v>
      </c>
      <c r="Q222" s="7">
        <v>1246593.67</v>
      </c>
      <c r="R222" s="7">
        <v>1.4875340633E8</v>
      </c>
      <c r="S222" s="1" t="s">
        <v>45</v>
      </c>
    </row>
    <row r="223" ht="15.0" customHeight="1">
      <c r="B223" s="6">
        <f t="shared" si="1"/>
        <v>221</v>
      </c>
      <c r="C223" s="1" t="s">
        <v>446</v>
      </c>
      <c r="D223" s="1" t="s">
        <v>39</v>
      </c>
      <c r="E223" s="1" t="s">
        <v>446</v>
      </c>
      <c r="F223" s="1" t="s">
        <v>50</v>
      </c>
      <c r="G223" s="1" t="s">
        <v>318</v>
      </c>
      <c r="H223" s="6">
        <v>2024.0</v>
      </c>
      <c r="I223" s="1" t="s">
        <v>345</v>
      </c>
      <c r="J223" s="1" t="s">
        <v>98</v>
      </c>
      <c r="K223" s="1" t="s">
        <v>41</v>
      </c>
      <c r="M223" s="7">
        <v>1.5E8</v>
      </c>
      <c r="N223" s="7">
        <v>1.2542099E7</v>
      </c>
      <c r="O223" s="8">
        <v>46112.0</v>
      </c>
      <c r="P223" s="7">
        <v>0.0</v>
      </c>
      <c r="Q223" s="7">
        <v>3.26076206E7</v>
      </c>
      <c r="R223" s="7">
        <v>1.173923794E8</v>
      </c>
      <c r="S223" s="1" t="s">
        <v>52</v>
      </c>
    </row>
    <row r="224" ht="15.0" customHeight="1">
      <c r="B224" s="6">
        <f t="shared" si="1"/>
        <v>222</v>
      </c>
      <c r="C224" s="1" t="s">
        <v>447</v>
      </c>
      <c r="D224" s="1" t="s">
        <v>39</v>
      </c>
      <c r="E224" s="1" t="s">
        <v>448</v>
      </c>
      <c r="F224" s="1" t="s">
        <v>109</v>
      </c>
      <c r="G224" s="1" t="s">
        <v>318</v>
      </c>
      <c r="H224" s="6">
        <v>2025.0</v>
      </c>
      <c r="I224" s="1" t="s">
        <v>345</v>
      </c>
      <c r="J224" s="1" t="s">
        <v>102</v>
      </c>
      <c r="K224" s="1" t="s">
        <v>103</v>
      </c>
      <c r="M224" s="7">
        <v>1.0E8</v>
      </c>
      <c r="N224" s="7">
        <v>-649741.0</v>
      </c>
      <c r="O224" s="8">
        <v>46112.0</v>
      </c>
      <c r="P224" s="7">
        <v>0.0</v>
      </c>
      <c r="Q224" s="7">
        <v>0.01</v>
      </c>
      <c r="R224" s="7">
        <v>9.999999999E7</v>
      </c>
      <c r="S224" s="1" t="s">
        <v>52</v>
      </c>
    </row>
    <row r="225" ht="15.0" customHeight="1">
      <c r="B225" s="6">
        <f t="shared" si="1"/>
        <v>223</v>
      </c>
      <c r="C225" s="1" t="s">
        <v>449</v>
      </c>
      <c r="D225" s="1" t="s">
        <v>39</v>
      </c>
      <c r="E225" s="1" t="s">
        <v>449</v>
      </c>
      <c r="F225" s="1" t="s">
        <v>232</v>
      </c>
      <c r="G225" s="1" t="s">
        <v>318</v>
      </c>
      <c r="H225" s="6">
        <v>2017.0</v>
      </c>
      <c r="I225" s="1" t="s">
        <v>345</v>
      </c>
      <c r="J225" s="1" t="s">
        <v>92</v>
      </c>
      <c r="K225" s="1" t="s">
        <v>93</v>
      </c>
      <c r="M225" s="7">
        <v>7.5E7</v>
      </c>
      <c r="N225" s="7">
        <v>5.0537078E7</v>
      </c>
      <c r="O225" s="8">
        <v>46112.0</v>
      </c>
      <c r="P225" s="7">
        <v>6763902.51</v>
      </c>
      <c r="Q225" s="7">
        <v>5.7422637E7</v>
      </c>
      <c r="R225" s="7">
        <v>7.216109251E7</v>
      </c>
      <c r="S225" s="1" t="s">
        <v>52</v>
      </c>
    </row>
    <row r="226" ht="15.0" customHeight="1">
      <c r="B226" s="6">
        <f t="shared" si="1"/>
        <v>224</v>
      </c>
      <c r="C226" s="1" t="s">
        <v>450</v>
      </c>
      <c r="D226" s="1" t="s">
        <v>39</v>
      </c>
      <c r="E226" s="1" t="s">
        <v>450</v>
      </c>
      <c r="F226" s="1" t="s">
        <v>105</v>
      </c>
      <c r="G226" s="1" t="s">
        <v>318</v>
      </c>
      <c r="H226" s="6">
        <v>2025.0</v>
      </c>
      <c r="I226" s="1" t="s">
        <v>345</v>
      </c>
      <c r="J226" s="1" t="s">
        <v>92</v>
      </c>
      <c r="K226" s="1" t="s">
        <v>93</v>
      </c>
      <c r="M226" s="7">
        <v>7.5E7</v>
      </c>
      <c r="N226" s="7">
        <v>1241292.0</v>
      </c>
      <c r="O226" s="8">
        <v>46112.0</v>
      </c>
      <c r="P226" s="7">
        <v>641298.0</v>
      </c>
      <c r="Q226" s="7">
        <v>1.921662501E7</v>
      </c>
      <c r="R226" s="7">
        <v>5.600251699E7</v>
      </c>
      <c r="S226" s="1" t="s">
        <v>52</v>
      </c>
    </row>
    <row r="227" ht="15.0" customHeight="1">
      <c r="B227" s="6">
        <f t="shared" si="1"/>
        <v>225</v>
      </c>
      <c r="C227" s="1" t="s">
        <v>451</v>
      </c>
      <c r="D227" s="1" t="s">
        <v>43</v>
      </c>
      <c r="E227" s="1" t="s">
        <v>451</v>
      </c>
      <c r="F227" s="1" t="s">
        <v>208</v>
      </c>
      <c r="G227" s="1" t="s">
        <v>318</v>
      </c>
      <c r="H227" s="6">
        <v>1987.0</v>
      </c>
      <c r="I227" s="1" t="s">
        <v>150</v>
      </c>
      <c r="J227" s="1" t="s">
        <v>150</v>
      </c>
      <c r="K227" s="1" t="s">
        <v>123</v>
      </c>
      <c r="M227" s="7">
        <v>2.0E7</v>
      </c>
      <c r="N227" s="7">
        <v>0.0</v>
      </c>
      <c r="O227" s="8">
        <v>40178.0</v>
      </c>
      <c r="P227" s="7">
        <v>7.713219311E7</v>
      </c>
      <c r="Q227" s="7">
        <v>2.0E7</v>
      </c>
      <c r="R227" s="7">
        <v>0.0</v>
      </c>
      <c r="S227" s="1" t="s">
        <v>52</v>
      </c>
    </row>
    <row r="228" ht="15.0" customHeight="1">
      <c r="B228" s="6">
        <f t="shared" si="1"/>
        <v>226</v>
      </c>
      <c r="C228" s="1" t="s">
        <v>452</v>
      </c>
      <c r="D228" s="1" t="s">
        <v>43</v>
      </c>
      <c r="E228" s="1" t="s">
        <v>453</v>
      </c>
      <c r="F228" s="1" t="s">
        <v>454</v>
      </c>
      <c r="G228" s="1" t="s">
        <v>318</v>
      </c>
      <c r="H228" s="6">
        <v>1994.0</v>
      </c>
      <c r="I228" s="1" t="s">
        <v>121</v>
      </c>
      <c r="J228" s="1" t="s">
        <v>122</v>
      </c>
      <c r="K228" s="1" t="s">
        <v>123</v>
      </c>
      <c r="M228" s="7">
        <v>1.25E7</v>
      </c>
      <c r="N228" s="7">
        <v>0.0</v>
      </c>
      <c r="O228" s="8">
        <v>39629.0</v>
      </c>
      <c r="P228" s="7">
        <v>2.414831855E7</v>
      </c>
      <c r="Q228" s="7">
        <v>1.224689544E7</v>
      </c>
      <c r="R228" s="7">
        <v>0.0</v>
      </c>
      <c r="S228" s="1" t="s">
        <v>52</v>
      </c>
    </row>
    <row r="229" ht="15.0" customHeight="1">
      <c r="B229" s="6">
        <f t="shared" si="1"/>
        <v>227</v>
      </c>
      <c r="C229" s="1" t="s">
        <v>455</v>
      </c>
      <c r="D229" s="1" t="s">
        <v>43</v>
      </c>
      <c r="E229" s="1" t="s">
        <v>455</v>
      </c>
      <c r="F229" s="1" t="s">
        <v>456</v>
      </c>
      <c r="G229" s="1" t="s">
        <v>318</v>
      </c>
      <c r="H229" s="6">
        <v>1996.0</v>
      </c>
      <c r="I229" s="1" t="s">
        <v>121</v>
      </c>
      <c r="J229" s="1" t="s">
        <v>122</v>
      </c>
      <c r="K229" s="1" t="s">
        <v>123</v>
      </c>
      <c r="M229" s="7">
        <v>2.5E7</v>
      </c>
      <c r="N229" s="7">
        <v>0.0</v>
      </c>
      <c r="O229" s="8">
        <v>41270.0</v>
      </c>
      <c r="P229" s="7">
        <v>4.456002452E7</v>
      </c>
      <c r="Q229" s="7">
        <v>2.444501442E7</v>
      </c>
      <c r="R229" s="7">
        <v>0.0</v>
      </c>
      <c r="S229" s="1" t="s">
        <v>52</v>
      </c>
    </row>
    <row r="230" ht="15.0" customHeight="1">
      <c r="B230" s="6">
        <f t="shared" si="1"/>
        <v>228</v>
      </c>
      <c r="C230" s="1" t="s">
        <v>457</v>
      </c>
      <c r="D230" s="1" t="s">
        <v>43</v>
      </c>
      <c r="E230" s="1" t="s">
        <v>457</v>
      </c>
      <c r="F230" s="1" t="s">
        <v>458</v>
      </c>
      <c r="G230" s="1" t="s">
        <v>318</v>
      </c>
      <c r="H230" s="6">
        <v>1987.0</v>
      </c>
      <c r="I230" s="1" t="s">
        <v>150</v>
      </c>
      <c r="J230" s="1" t="s">
        <v>150</v>
      </c>
      <c r="K230" s="1" t="s">
        <v>173</v>
      </c>
      <c r="M230" s="7">
        <v>1000000.0</v>
      </c>
      <c r="N230" s="7">
        <v>0.0</v>
      </c>
      <c r="O230" s="8">
        <v>37529.0</v>
      </c>
      <c r="P230" s="7">
        <v>1101748.77</v>
      </c>
      <c r="Q230" s="7">
        <v>1000000.0</v>
      </c>
      <c r="R230" s="7">
        <v>0.0</v>
      </c>
      <c r="S230" s="1" t="s">
        <v>52</v>
      </c>
    </row>
    <row r="231" ht="15.0" customHeight="1">
      <c r="B231" s="6">
        <f t="shared" si="1"/>
        <v>229</v>
      </c>
      <c r="C231" s="1" t="s">
        <v>459</v>
      </c>
      <c r="D231" s="1" t="s">
        <v>43</v>
      </c>
      <c r="E231" s="1" t="s">
        <v>459</v>
      </c>
      <c r="F231" s="1" t="s">
        <v>458</v>
      </c>
      <c r="G231" s="1" t="s">
        <v>318</v>
      </c>
      <c r="H231" s="6">
        <v>1989.0</v>
      </c>
      <c r="I231" s="1" t="s">
        <v>150</v>
      </c>
      <c r="J231" s="1" t="s">
        <v>150</v>
      </c>
      <c r="K231" s="1" t="s">
        <v>173</v>
      </c>
      <c r="M231" s="7">
        <v>1.5E7</v>
      </c>
      <c r="N231" s="7">
        <v>0.0</v>
      </c>
      <c r="O231" s="8">
        <v>39082.0</v>
      </c>
      <c r="P231" s="7">
        <v>1.065173035E7</v>
      </c>
      <c r="Q231" s="7">
        <v>1.5E7</v>
      </c>
      <c r="R231" s="7">
        <v>0.0</v>
      </c>
      <c r="S231" s="1" t="s">
        <v>52</v>
      </c>
    </row>
    <row r="232" ht="15.0" customHeight="1">
      <c r="B232" s="6">
        <f t="shared" si="1"/>
        <v>230</v>
      </c>
      <c r="C232" s="1" t="s">
        <v>460</v>
      </c>
      <c r="D232" s="1" t="s">
        <v>43</v>
      </c>
      <c r="E232" s="1" t="s">
        <v>460</v>
      </c>
      <c r="F232" s="1" t="s">
        <v>461</v>
      </c>
      <c r="G232" s="1" t="s">
        <v>318</v>
      </c>
      <c r="H232" s="6">
        <v>1988.0</v>
      </c>
      <c r="I232" s="1" t="s">
        <v>150</v>
      </c>
      <c r="J232" s="1" t="s">
        <v>150</v>
      </c>
      <c r="K232" s="1" t="s">
        <v>132</v>
      </c>
      <c r="M232" s="7">
        <v>4566946.0</v>
      </c>
      <c r="N232" s="7">
        <v>0.0</v>
      </c>
      <c r="O232" s="8">
        <v>37529.0</v>
      </c>
      <c r="P232" s="7">
        <v>6645348.71</v>
      </c>
      <c r="Q232" s="7">
        <v>4566946.0</v>
      </c>
      <c r="R232" s="7">
        <v>0.0</v>
      </c>
      <c r="S232" s="1" t="s">
        <v>52</v>
      </c>
    </row>
    <row r="233" ht="15.0" customHeight="1">
      <c r="B233" s="6">
        <f t="shared" si="1"/>
        <v>231</v>
      </c>
      <c r="C233" s="1" t="s">
        <v>462</v>
      </c>
      <c r="D233" s="1" t="s">
        <v>43</v>
      </c>
      <c r="E233" s="1" t="s">
        <v>462</v>
      </c>
      <c r="F233" s="1" t="s">
        <v>463</v>
      </c>
      <c r="G233" s="1" t="s">
        <v>318</v>
      </c>
      <c r="H233" s="6">
        <v>1986.0</v>
      </c>
      <c r="I233" s="1" t="s">
        <v>150</v>
      </c>
      <c r="J233" s="1" t="s">
        <v>150</v>
      </c>
      <c r="K233" s="1" t="s">
        <v>173</v>
      </c>
      <c r="M233" s="7">
        <v>2.0E7</v>
      </c>
      <c r="N233" s="7">
        <v>0.0</v>
      </c>
      <c r="O233" s="8">
        <v>40268.0</v>
      </c>
      <c r="P233" s="7">
        <v>2.058415604E7</v>
      </c>
      <c r="Q233" s="7">
        <v>2.0E7</v>
      </c>
      <c r="R233" s="7">
        <v>0.0</v>
      </c>
      <c r="S233" s="1" t="s">
        <v>52</v>
      </c>
    </row>
    <row r="234" ht="15.0" customHeight="1">
      <c r="B234" s="6">
        <f t="shared" si="1"/>
        <v>232</v>
      </c>
      <c r="C234" s="1" t="s">
        <v>464</v>
      </c>
      <c r="D234" s="1" t="s">
        <v>43</v>
      </c>
      <c r="E234" s="1" t="s">
        <v>464</v>
      </c>
      <c r="F234" s="1" t="s">
        <v>463</v>
      </c>
      <c r="G234" s="1" t="s">
        <v>318</v>
      </c>
      <c r="H234" s="6">
        <v>1992.0</v>
      </c>
      <c r="I234" s="1" t="s">
        <v>150</v>
      </c>
      <c r="J234" s="1" t="s">
        <v>150</v>
      </c>
      <c r="K234" s="1" t="s">
        <v>173</v>
      </c>
      <c r="M234" s="7">
        <v>1.0E7</v>
      </c>
      <c r="N234" s="7">
        <v>0.0</v>
      </c>
      <c r="O234" s="8">
        <v>40268.0</v>
      </c>
      <c r="P234" s="7">
        <v>1.521476603E7</v>
      </c>
      <c r="Q234" s="7">
        <v>1.0E7</v>
      </c>
      <c r="R234" s="7">
        <v>0.0</v>
      </c>
      <c r="S234" s="1" t="s">
        <v>52</v>
      </c>
    </row>
    <row r="235" ht="15.0" customHeight="1">
      <c r="B235" s="6">
        <f t="shared" si="1"/>
        <v>233</v>
      </c>
      <c r="C235" s="1" t="s">
        <v>465</v>
      </c>
      <c r="D235" s="1" t="s">
        <v>43</v>
      </c>
      <c r="E235" s="1" t="s">
        <v>465</v>
      </c>
      <c r="F235" s="1" t="s">
        <v>466</v>
      </c>
      <c r="G235" s="1" t="s">
        <v>318</v>
      </c>
      <c r="H235" s="6">
        <v>1991.0</v>
      </c>
      <c r="I235" s="1" t="s">
        <v>150</v>
      </c>
      <c r="J235" s="1" t="s">
        <v>150</v>
      </c>
      <c r="K235" s="1" t="s">
        <v>151</v>
      </c>
      <c r="M235" s="7">
        <v>1.0E7</v>
      </c>
      <c r="N235" s="7">
        <v>0.0</v>
      </c>
      <c r="O235" s="8">
        <v>40178.0</v>
      </c>
      <c r="P235" s="7">
        <v>2.59726034E7</v>
      </c>
      <c r="Q235" s="7">
        <v>1.0E7</v>
      </c>
      <c r="R235" s="7">
        <v>0.0</v>
      </c>
      <c r="S235" s="1" t="s">
        <v>52</v>
      </c>
    </row>
    <row r="236" ht="15.0" customHeight="1">
      <c r="B236" s="6">
        <f t="shared" si="1"/>
        <v>234</v>
      </c>
      <c r="C236" s="1" t="s">
        <v>467</v>
      </c>
      <c r="D236" s="1" t="s">
        <v>43</v>
      </c>
      <c r="E236" s="1" t="s">
        <v>467</v>
      </c>
      <c r="F236" s="1" t="s">
        <v>466</v>
      </c>
      <c r="G236" s="1" t="s">
        <v>318</v>
      </c>
      <c r="H236" s="6">
        <v>1994.0</v>
      </c>
      <c r="I236" s="1" t="s">
        <v>150</v>
      </c>
      <c r="J236" s="1" t="s">
        <v>150</v>
      </c>
      <c r="K236" s="1" t="s">
        <v>151</v>
      </c>
      <c r="M236" s="7">
        <v>1.480769E7</v>
      </c>
      <c r="N236" s="7">
        <v>0.0</v>
      </c>
      <c r="O236" s="8">
        <v>40724.0</v>
      </c>
      <c r="P236" s="7">
        <v>2.878501322E7</v>
      </c>
      <c r="Q236" s="7">
        <v>1.48076902E7</v>
      </c>
      <c r="R236" s="7">
        <v>0.0</v>
      </c>
      <c r="S236" s="1" t="s">
        <v>52</v>
      </c>
    </row>
    <row r="237" ht="15.0" customHeight="1">
      <c r="B237" s="6">
        <f t="shared" si="1"/>
        <v>235</v>
      </c>
      <c r="C237" s="1" t="s">
        <v>468</v>
      </c>
      <c r="D237" s="1" t="s">
        <v>43</v>
      </c>
      <c r="E237" s="1" t="s">
        <v>468</v>
      </c>
      <c r="F237" s="1" t="s">
        <v>469</v>
      </c>
      <c r="G237" s="1" t="s">
        <v>318</v>
      </c>
      <c r="H237" s="6">
        <v>1995.0</v>
      </c>
      <c r="I237" s="1" t="s">
        <v>150</v>
      </c>
      <c r="J237" s="1" t="s">
        <v>150</v>
      </c>
      <c r="K237" s="1" t="s">
        <v>470</v>
      </c>
      <c r="M237" s="7">
        <v>1.5E7</v>
      </c>
      <c r="N237" s="7">
        <v>0.0</v>
      </c>
      <c r="O237" s="8">
        <v>42735.0</v>
      </c>
      <c r="P237" s="7">
        <v>1.455846482E7</v>
      </c>
      <c r="Q237" s="7">
        <v>1.5E7</v>
      </c>
      <c r="R237" s="7">
        <v>0.0</v>
      </c>
      <c r="S237" s="1" t="s">
        <v>52</v>
      </c>
    </row>
    <row r="238" ht="15.0" customHeight="1">
      <c r="B238" s="6">
        <f t="shared" si="1"/>
        <v>236</v>
      </c>
      <c r="C238" s="1" t="s">
        <v>471</v>
      </c>
      <c r="D238" s="1" t="s">
        <v>43</v>
      </c>
      <c r="E238" s="1" t="s">
        <v>471</v>
      </c>
      <c r="F238" s="1" t="s">
        <v>472</v>
      </c>
      <c r="G238" s="1" t="s">
        <v>318</v>
      </c>
      <c r="H238" s="6">
        <v>1987.0</v>
      </c>
      <c r="I238" s="1" t="s">
        <v>150</v>
      </c>
      <c r="J238" s="1" t="s">
        <v>150</v>
      </c>
      <c r="K238" s="1" t="s">
        <v>173</v>
      </c>
      <c r="M238" s="7">
        <v>2000000.0</v>
      </c>
      <c r="N238" s="7">
        <v>0.0</v>
      </c>
      <c r="O238" s="8">
        <v>37529.0</v>
      </c>
      <c r="P238" s="7">
        <v>815686.99</v>
      </c>
      <c r="Q238" s="7">
        <v>2000000.0</v>
      </c>
      <c r="R238" s="7">
        <v>0.0</v>
      </c>
      <c r="S238" s="1" t="s">
        <v>52</v>
      </c>
    </row>
    <row r="239" ht="15.0" customHeight="1">
      <c r="B239" s="6">
        <f t="shared" si="1"/>
        <v>237</v>
      </c>
      <c r="C239" s="1" t="s">
        <v>473</v>
      </c>
      <c r="D239" s="1" t="s">
        <v>43</v>
      </c>
      <c r="E239" s="1" t="s">
        <v>473</v>
      </c>
      <c r="F239" s="1" t="s">
        <v>474</v>
      </c>
      <c r="G239" s="1" t="s">
        <v>318</v>
      </c>
      <c r="H239" s="6">
        <v>1994.0</v>
      </c>
      <c r="I239" s="1" t="s">
        <v>121</v>
      </c>
      <c r="J239" s="1" t="s">
        <v>122</v>
      </c>
      <c r="K239" s="1" t="s">
        <v>123</v>
      </c>
      <c r="M239" s="7">
        <v>2.5E7</v>
      </c>
      <c r="N239" s="7">
        <v>0.0</v>
      </c>
      <c r="O239" s="8">
        <v>41274.0</v>
      </c>
      <c r="P239" s="7">
        <v>5.091612663E7</v>
      </c>
      <c r="Q239" s="7">
        <v>2.41510047E7</v>
      </c>
      <c r="R239" s="7">
        <v>0.0</v>
      </c>
      <c r="S239" s="1" t="s">
        <v>52</v>
      </c>
    </row>
    <row r="240" ht="15.0" customHeight="1">
      <c r="B240" s="6">
        <f t="shared" si="1"/>
        <v>238</v>
      </c>
      <c r="C240" s="1" t="s">
        <v>475</v>
      </c>
      <c r="D240" s="1" t="s">
        <v>43</v>
      </c>
      <c r="E240" s="1" t="s">
        <v>476</v>
      </c>
      <c r="F240" s="1" t="s">
        <v>477</v>
      </c>
      <c r="G240" s="1" t="s">
        <v>318</v>
      </c>
      <c r="H240" s="6">
        <v>1993.0</v>
      </c>
      <c r="I240" s="1" t="s">
        <v>150</v>
      </c>
      <c r="J240" s="1" t="s">
        <v>150</v>
      </c>
      <c r="K240" s="1" t="s">
        <v>173</v>
      </c>
      <c r="M240" s="7">
        <v>2.5E7</v>
      </c>
      <c r="N240" s="7">
        <v>0.0</v>
      </c>
      <c r="O240" s="8">
        <v>39813.0</v>
      </c>
      <c r="P240" s="7">
        <v>4.421069318E7</v>
      </c>
      <c r="Q240" s="7">
        <v>2.5E7</v>
      </c>
      <c r="R240" s="7">
        <v>0.0</v>
      </c>
      <c r="S240" s="1" t="s">
        <v>52</v>
      </c>
    </row>
    <row r="241" ht="15.0" customHeight="1">
      <c r="B241" s="6">
        <f t="shared" si="1"/>
        <v>239</v>
      </c>
      <c r="C241" s="1" t="s">
        <v>478</v>
      </c>
      <c r="D241" s="1" t="s">
        <v>43</v>
      </c>
      <c r="E241" s="1" t="s">
        <v>478</v>
      </c>
      <c r="F241" s="1" t="s">
        <v>479</v>
      </c>
      <c r="G241" s="1" t="s">
        <v>318</v>
      </c>
      <c r="H241" s="6">
        <v>1994.0</v>
      </c>
      <c r="I241" s="1" t="s">
        <v>121</v>
      </c>
      <c r="J241" s="1" t="s">
        <v>122</v>
      </c>
      <c r="K241" s="1" t="s">
        <v>123</v>
      </c>
      <c r="M241" s="7">
        <v>2.5E7</v>
      </c>
      <c r="N241" s="7">
        <v>0.0</v>
      </c>
      <c r="O241" s="8">
        <v>40492.0</v>
      </c>
      <c r="P241" s="7">
        <v>2.47554843E7</v>
      </c>
      <c r="Q241" s="7">
        <v>2.4999999E7</v>
      </c>
      <c r="R241" s="7">
        <v>0.0</v>
      </c>
      <c r="S241" s="1" t="s">
        <v>52</v>
      </c>
    </row>
    <row r="242" ht="15.0" customHeight="1">
      <c r="B242" s="6">
        <f t="shared" si="1"/>
        <v>240</v>
      </c>
      <c r="C242" s="1" t="s">
        <v>480</v>
      </c>
      <c r="D242" s="1" t="s">
        <v>43</v>
      </c>
      <c r="E242" s="1" t="s">
        <v>480</v>
      </c>
      <c r="F242" s="1" t="s">
        <v>481</v>
      </c>
      <c r="G242" s="1" t="s">
        <v>318</v>
      </c>
      <c r="H242" s="6">
        <v>1994.0</v>
      </c>
      <c r="I242" s="1" t="s">
        <v>150</v>
      </c>
      <c r="J242" s="1" t="s">
        <v>150</v>
      </c>
      <c r="K242" s="1" t="s">
        <v>470</v>
      </c>
      <c r="M242" s="7">
        <v>114865.0</v>
      </c>
      <c r="N242" s="7">
        <v>0.0</v>
      </c>
      <c r="O242" s="8">
        <v>39263.0</v>
      </c>
      <c r="P242" s="7">
        <v>15364.99</v>
      </c>
      <c r="Q242" s="7">
        <v>114864.86</v>
      </c>
      <c r="R242" s="7">
        <v>0.0</v>
      </c>
      <c r="S242" s="1" t="s">
        <v>52</v>
      </c>
    </row>
    <row r="243" ht="15.0" customHeight="1">
      <c r="B243" s="6">
        <f t="shared" si="1"/>
        <v>241</v>
      </c>
      <c r="C243" s="1" t="s">
        <v>482</v>
      </c>
      <c r="D243" s="1" t="s">
        <v>43</v>
      </c>
      <c r="E243" s="1" t="s">
        <v>482</v>
      </c>
      <c r="F243" s="1" t="s">
        <v>483</v>
      </c>
      <c r="G243" s="1" t="s">
        <v>318</v>
      </c>
      <c r="H243" s="6">
        <v>1993.0</v>
      </c>
      <c r="I243" s="1" t="s">
        <v>150</v>
      </c>
      <c r="J243" s="1" t="s">
        <v>150</v>
      </c>
      <c r="K243" s="1" t="s">
        <v>151</v>
      </c>
      <c r="M243" s="7">
        <v>7766667.0</v>
      </c>
      <c r="N243" s="7">
        <v>0.0</v>
      </c>
      <c r="O243" s="8">
        <v>39629.0</v>
      </c>
      <c r="P243" s="7">
        <v>5904516.32</v>
      </c>
      <c r="Q243" s="7">
        <v>7766666.47</v>
      </c>
      <c r="R243" s="7">
        <v>0.0</v>
      </c>
      <c r="S243" s="1" t="s">
        <v>52</v>
      </c>
    </row>
    <row r="244" ht="15.0" customHeight="1">
      <c r="B244" s="6">
        <f t="shared" si="1"/>
        <v>242</v>
      </c>
      <c r="C244" s="1" t="s">
        <v>484</v>
      </c>
      <c r="D244" s="1" t="s">
        <v>43</v>
      </c>
      <c r="E244" s="1" t="s">
        <v>484</v>
      </c>
      <c r="F244" s="1" t="s">
        <v>413</v>
      </c>
      <c r="G244" s="1" t="s">
        <v>318</v>
      </c>
      <c r="H244" s="6">
        <v>1992.0</v>
      </c>
      <c r="I244" s="1" t="s">
        <v>150</v>
      </c>
      <c r="J244" s="1" t="s">
        <v>274</v>
      </c>
      <c r="K244" s="1" t="s">
        <v>204</v>
      </c>
      <c r="M244" s="7">
        <v>2.5E7</v>
      </c>
      <c r="N244" s="7">
        <v>0.0</v>
      </c>
      <c r="O244" s="8">
        <v>41820.0</v>
      </c>
      <c r="P244" s="7">
        <v>3.904231802E7</v>
      </c>
      <c r="Q244" s="7">
        <v>2.5E7</v>
      </c>
      <c r="R244" s="7">
        <v>0.0</v>
      </c>
      <c r="S244" s="1" t="s">
        <v>52</v>
      </c>
    </row>
    <row r="245" ht="15.0" customHeight="1">
      <c r="B245" s="6">
        <f t="shared" si="1"/>
        <v>243</v>
      </c>
      <c r="C245" s="1" t="s">
        <v>485</v>
      </c>
      <c r="D245" s="1" t="s">
        <v>43</v>
      </c>
      <c r="E245" s="1" t="s">
        <v>485</v>
      </c>
      <c r="F245" s="1" t="s">
        <v>413</v>
      </c>
      <c r="G245" s="1" t="s">
        <v>318</v>
      </c>
      <c r="H245" s="6">
        <v>1993.0</v>
      </c>
      <c r="I245" s="1" t="s">
        <v>121</v>
      </c>
      <c r="J245" s="1" t="s">
        <v>274</v>
      </c>
      <c r="K245" s="1" t="s">
        <v>204</v>
      </c>
      <c r="M245" s="7">
        <v>2.708501E7</v>
      </c>
      <c r="N245" s="7">
        <v>0.0</v>
      </c>
      <c r="O245" s="8">
        <v>41820.0</v>
      </c>
      <c r="P245" s="7">
        <v>7.645420886E7</v>
      </c>
      <c r="Q245" s="7">
        <v>2.708501E7</v>
      </c>
      <c r="R245" s="7">
        <v>0.0</v>
      </c>
      <c r="S245" s="1" t="s">
        <v>52</v>
      </c>
    </row>
    <row r="246" ht="15.0" customHeight="1">
      <c r="B246" s="6">
        <f t="shared" si="1"/>
        <v>244</v>
      </c>
      <c r="C246" s="1" t="s">
        <v>486</v>
      </c>
      <c r="D246" s="1" t="s">
        <v>43</v>
      </c>
      <c r="E246" s="1" t="s">
        <v>486</v>
      </c>
      <c r="F246" s="1" t="s">
        <v>413</v>
      </c>
      <c r="G246" s="1" t="s">
        <v>318</v>
      </c>
      <c r="H246" s="6">
        <v>1994.0</v>
      </c>
      <c r="I246" s="1" t="s">
        <v>121</v>
      </c>
      <c r="J246" s="1" t="s">
        <v>274</v>
      </c>
      <c r="K246" s="1" t="s">
        <v>204</v>
      </c>
      <c r="M246" s="7">
        <v>1.0533687E7</v>
      </c>
      <c r="N246" s="7">
        <v>0.0</v>
      </c>
      <c r="O246" s="8">
        <v>45278.0</v>
      </c>
      <c r="P246" s="7">
        <v>1.542454403E7</v>
      </c>
      <c r="Q246" s="7">
        <v>1.0254032E7</v>
      </c>
      <c r="R246" s="7">
        <v>0.0</v>
      </c>
      <c r="S246" s="1" t="s">
        <v>52</v>
      </c>
    </row>
    <row r="247" ht="15.0" customHeight="1">
      <c r="B247" s="6">
        <f t="shared" si="1"/>
        <v>245</v>
      </c>
      <c r="C247" s="1" t="s">
        <v>487</v>
      </c>
      <c r="D247" s="1" t="s">
        <v>43</v>
      </c>
      <c r="E247" s="1" t="s">
        <v>487</v>
      </c>
      <c r="F247" s="1" t="s">
        <v>413</v>
      </c>
      <c r="G247" s="1" t="s">
        <v>318</v>
      </c>
      <c r="H247" s="6">
        <v>1994.0</v>
      </c>
      <c r="I247" s="1" t="s">
        <v>121</v>
      </c>
      <c r="J247" s="1" t="s">
        <v>274</v>
      </c>
      <c r="K247" s="1" t="s">
        <v>488</v>
      </c>
      <c r="M247" s="7">
        <v>7.5E7</v>
      </c>
      <c r="N247" s="7">
        <v>0.0</v>
      </c>
      <c r="O247" s="8">
        <v>45278.0</v>
      </c>
      <c r="P247" s="7">
        <v>1.0782769002E8</v>
      </c>
      <c r="Q247" s="7">
        <v>5.91713397E7</v>
      </c>
      <c r="R247" s="7">
        <v>0.0</v>
      </c>
      <c r="S247" s="1" t="s">
        <v>52</v>
      </c>
    </row>
    <row r="248" ht="15.0" customHeight="1">
      <c r="B248" s="6">
        <f t="shared" si="1"/>
        <v>246</v>
      </c>
      <c r="C248" s="1" t="s">
        <v>489</v>
      </c>
      <c r="D248" s="1" t="s">
        <v>43</v>
      </c>
      <c r="E248" s="1" t="s">
        <v>489</v>
      </c>
      <c r="F248" s="1" t="s">
        <v>490</v>
      </c>
      <c r="G248" s="1" t="s">
        <v>318</v>
      </c>
      <c r="H248" s="6">
        <v>1987.0</v>
      </c>
      <c r="I248" s="1" t="s">
        <v>150</v>
      </c>
      <c r="J248" s="1" t="s">
        <v>150</v>
      </c>
      <c r="K248" s="1" t="s">
        <v>470</v>
      </c>
      <c r="M248" s="7">
        <v>1.5E7</v>
      </c>
      <c r="N248" s="7">
        <v>0.0</v>
      </c>
      <c r="O248" s="8">
        <v>37529.0</v>
      </c>
      <c r="P248" s="7">
        <v>2.144620278E7</v>
      </c>
      <c r="Q248" s="7">
        <v>1.5E7</v>
      </c>
      <c r="R248" s="7">
        <v>0.0</v>
      </c>
      <c r="S248" s="1" t="s">
        <v>52</v>
      </c>
    </row>
    <row r="249" ht="15.0" customHeight="1">
      <c r="B249" s="6">
        <f t="shared" si="1"/>
        <v>247</v>
      </c>
      <c r="C249" s="1" t="s">
        <v>491</v>
      </c>
      <c r="D249" s="1" t="s">
        <v>43</v>
      </c>
      <c r="E249" s="1" t="s">
        <v>491</v>
      </c>
      <c r="F249" s="1" t="s">
        <v>492</v>
      </c>
      <c r="G249" s="1" t="s">
        <v>318</v>
      </c>
      <c r="H249" s="6">
        <v>1996.0</v>
      </c>
      <c r="I249" s="1" t="s">
        <v>121</v>
      </c>
      <c r="J249" s="1" t="s">
        <v>274</v>
      </c>
      <c r="K249" s="1" t="s">
        <v>204</v>
      </c>
      <c r="M249" s="7">
        <v>5.0E7</v>
      </c>
      <c r="N249" s="7">
        <v>0.0</v>
      </c>
      <c r="O249" s="8">
        <v>43190.0</v>
      </c>
      <c r="P249" s="7">
        <v>6.299373E7</v>
      </c>
      <c r="Q249" s="7">
        <v>4.961312E7</v>
      </c>
      <c r="R249" s="7">
        <v>0.0</v>
      </c>
      <c r="S249" s="1" t="s">
        <v>52</v>
      </c>
    </row>
    <row r="250" ht="15.0" customHeight="1">
      <c r="B250" s="6">
        <f t="shared" si="1"/>
        <v>248</v>
      </c>
      <c r="C250" s="1" t="s">
        <v>493</v>
      </c>
      <c r="D250" s="1" t="s">
        <v>43</v>
      </c>
      <c r="E250" s="1" t="s">
        <v>493</v>
      </c>
      <c r="F250" s="1" t="s">
        <v>494</v>
      </c>
      <c r="G250" s="1" t="s">
        <v>318</v>
      </c>
      <c r="H250" s="6">
        <v>1985.0</v>
      </c>
      <c r="I250" s="1" t="s">
        <v>150</v>
      </c>
      <c r="J250" s="1" t="s">
        <v>150</v>
      </c>
      <c r="K250" s="1" t="s">
        <v>173</v>
      </c>
      <c r="M250" s="7">
        <v>1000000.0</v>
      </c>
      <c r="N250" s="7">
        <v>0.0</v>
      </c>
      <c r="O250" s="8">
        <v>37894.0</v>
      </c>
      <c r="P250" s="7">
        <v>6080528.26</v>
      </c>
      <c r="Q250" s="7">
        <v>1000000.0</v>
      </c>
      <c r="R250" s="7">
        <v>0.0</v>
      </c>
      <c r="S250" s="1" t="s">
        <v>52</v>
      </c>
    </row>
    <row r="251" ht="15.0" customHeight="1">
      <c r="B251" s="6">
        <f t="shared" si="1"/>
        <v>249</v>
      </c>
      <c r="C251" s="1" t="s">
        <v>495</v>
      </c>
      <c r="D251" s="1" t="s">
        <v>43</v>
      </c>
      <c r="E251" s="1" t="s">
        <v>495</v>
      </c>
      <c r="F251" s="1" t="s">
        <v>494</v>
      </c>
      <c r="G251" s="1" t="s">
        <v>318</v>
      </c>
      <c r="H251" s="6">
        <v>1992.0</v>
      </c>
      <c r="I251" s="1" t="s">
        <v>150</v>
      </c>
      <c r="J251" s="1" t="s">
        <v>150</v>
      </c>
      <c r="K251" s="1" t="s">
        <v>173</v>
      </c>
      <c r="M251" s="7">
        <v>5000000.0</v>
      </c>
      <c r="N251" s="7">
        <v>0.0</v>
      </c>
      <c r="O251" s="8">
        <v>45589.0</v>
      </c>
      <c r="P251" s="7">
        <v>2.7097659E7</v>
      </c>
      <c r="Q251" s="7">
        <v>5000000.0</v>
      </c>
      <c r="R251" s="7">
        <v>0.0</v>
      </c>
      <c r="S251" s="1" t="s">
        <v>52</v>
      </c>
    </row>
    <row r="252" ht="15.0" customHeight="1">
      <c r="B252" s="6">
        <f t="shared" si="1"/>
        <v>250</v>
      </c>
      <c r="C252" s="1" t="s">
        <v>496</v>
      </c>
      <c r="D252" s="1" t="s">
        <v>43</v>
      </c>
      <c r="E252" s="1" t="s">
        <v>496</v>
      </c>
      <c r="F252" s="1" t="s">
        <v>497</v>
      </c>
      <c r="G252" s="1" t="s">
        <v>318</v>
      </c>
      <c r="H252" s="6">
        <v>1994.0</v>
      </c>
      <c r="I252" s="1" t="s">
        <v>126</v>
      </c>
      <c r="J252" s="1" t="s">
        <v>126</v>
      </c>
      <c r="K252" s="1" t="s">
        <v>127</v>
      </c>
      <c r="M252" s="7">
        <v>2.5E7</v>
      </c>
      <c r="N252" s="7">
        <v>0.0</v>
      </c>
      <c r="O252" s="8">
        <v>38923.0</v>
      </c>
      <c r="P252" s="7">
        <v>5.226139179E7</v>
      </c>
      <c r="Q252" s="7">
        <v>2.5E7</v>
      </c>
      <c r="R252" s="7">
        <v>0.0</v>
      </c>
      <c r="S252" s="1" t="s">
        <v>52</v>
      </c>
    </row>
    <row r="253" ht="15.0" customHeight="1">
      <c r="B253" s="6">
        <f t="shared" si="1"/>
        <v>251</v>
      </c>
      <c r="C253" s="1" t="s">
        <v>498</v>
      </c>
      <c r="D253" s="1" t="s">
        <v>43</v>
      </c>
      <c r="E253" s="1" t="s">
        <v>498</v>
      </c>
      <c r="F253" s="1" t="s">
        <v>499</v>
      </c>
      <c r="G253" s="1" t="s">
        <v>318</v>
      </c>
      <c r="H253" s="6">
        <v>1993.0</v>
      </c>
      <c r="I253" s="1" t="s">
        <v>150</v>
      </c>
      <c r="J253" s="1" t="s">
        <v>150</v>
      </c>
      <c r="K253" s="1" t="s">
        <v>470</v>
      </c>
      <c r="M253" s="7">
        <v>7350750.0</v>
      </c>
      <c r="N253" s="7">
        <v>0.0</v>
      </c>
      <c r="O253" s="8">
        <v>43921.0</v>
      </c>
      <c r="P253" s="7">
        <v>4874315.77</v>
      </c>
      <c r="Q253" s="7">
        <v>7350750.0</v>
      </c>
      <c r="R253" s="7">
        <v>0.0</v>
      </c>
      <c r="S253" s="1" t="s">
        <v>52</v>
      </c>
    </row>
    <row r="254" ht="15.0" customHeight="1">
      <c r="B254" s="6">
        <f t="shared" si="1"/>
        <v>252</v>
      </c>
      <c r="C254" s="1" t="s">
        <v>500</v>
      </c>
      <c r="D254" s="1" t="s">
        <v>43</v>
      </c>
      <c r="E254" s="1" t="s">
        <v>500</v>
      </c>
      <c r="F254" s="1" t="s">
        <v>501</v>
      </c>
      <c r="G254" s="1" t="s">
        <v>318</v>
      </c>
      <c r="H254" s="6">
        <v>1992.0</v>
      </c>
      <c r="I254" s="1" t="s">
        <v>150</v>
      </c>
      <c r="J254" s="1" t="s">
        <v>150</v>
      </c>
      <c r="K254" s="1" t="s">
        <v>470</v>
      </c>
      <c r="M254" s="7">
        <v>1.0E7</v>
      </c>
      <c r="N254" s="7">
        <v>0.0</v>
      </c>
      <c r="O254" s="8">
        <v>39813.0</v>
      </c>
      <c r="P254" s="7">
        <v>2.211189752E7</v>
      </c>
      <c r="Q254" s="7">
        <v>1.0E7</v>
      </c>
      <c r="R254" s="7">
        <v>0.0</v>
      </c>
      <c r="S254" s="1" t="s">
        <v>52</v>
      </c>
    </row>
    <row r="255" ht="15.0" customHeight="1">
      <c r="B255" s="6">
        <f t="shared" si="1"/>
        <v>253</v>
      </c>
      <c r="C255" s="1" t="s">
        <v>502</v>
      </c>
      <c r="D255" s="1" t="s">
        <v>43</v>
      </c>
      <c r="E255" s="1" t="s">
        <v>502</v>
      </c>
      <c r="F255" s="1" t="s">
        <v>208</v>
      </c>
      <c r="G255" s="1" t="s">
        <v>318</v>
      </c>
      <c r="H255" s="6">
        <v>1993.0</v>
      </c>
      <c r="I255" s="1" t="s">
        <v>150</v>
      </c>
      <c r="J255" s="1" t="s">
        <v>150</v>
      </c>
      <c r="K255" s="1" t="s">
        <v>123</v>
      </c>
      <c r="M255" s="7">
        <v>3.0E7</v>
      </c>
      <c r="N255" s="7">
        <v>0.0</v>
      </c>
      <c r="O255" s="8">
        <v>41270.0</v>
      </c>
      <c r="P255" s="7">
        <v>6.683523281E7</v>
      </c>
      <c r="Q255" s="7">
        <v>3.0E7</v>
      </c>
      <c r="R255" s="7">
        <v>0.0</v>
      </c>
      <c r="S255" s="1" t="s">
        <v>52</v>
      </c>
    </row>
    <row r="256" ht="15.0" customHeight="1">
      <c r="B256" s="6">
        <f t="shared" si="1"/>
        <v>254</v>
      </c>
      <c r="C256" s="1" t="s">
        <v>503</v>
      </c>
      <c r="D256" s="1" t="s">
        <v>43</v>
      </c>
      <c r="E256" s="1" t="s">
        <v>503</v>
      </c>
      <c r="F256" s="1" t="s">
        <v>332</v>
      </c>
      <c r="G256" s="1" t="s">
        <v>318</v>
      </c>
      <c r="H256" s="6">
        <v>1993.0</v>
      </c>
      <c r="I256" s="1" t="s">
        <v>121</v>
      </c>
      <c r="J256" s="1" t="s">
        <v>122</v>
      </c>
      <c r="K256" s="1" t="s">
        <v>127</v>
      </c>
      <c r="M256" s="7">
        <v>2.4194356E7</v>
      </c>
      <c r="N256" s="7">
        <v>0.0</v>
      </c>
      <c r="O256" s="8">
        <v>39538.0</v>
      </c>
      <c r="P256" s="7">
        <v>8.930077642E7</v>
      </c>
      <c r="Q256" s="7">
        <v>2.4465437E7</v>
      </c>
      <c r="R256" s="7">
        <v>0.0</v>
      </c>
      <c r="S256" s="1" t="s">
        <v>52</v>
      </c>
    </row>
    <row r="257" ht="15.0" customHeight="1">
      <c r="B257" s="6">
        <f t="shared" si="1"/>
        <v>255</v>
      </c>
      <c r="C257" s="1" t="s">
        <v>504</v>
      </c>
      <c r="D257" s="1" t="s">
        <v>43</v>
      </c>
      <c r="E257" s="1" t="s">
        <v>504</v>
      </c>
      <c r="F257" s="1" t="s">
        <v>505</v>
      </c>
      <c r="G257" s="1" t="s">
        <v>318</v>
      </c>
      <c r="H257" s="6">
        <v>1996.0</v>
      </c>
      <c r="I257" s="1" t="s">
        <v>121</v>
      </c>
      <c r="J257" s="1" t="s">
        <v>122</v>
      </c>
      <c r="K257" s="1" t="s">
        <v>123</v>
      </c>
      <c r="M257" s="7">
        <v>2.5E7</v>
      </c>
      <c r="N257" s="7">
        <v>0.0</v>
      </c>
      <c r="O257" s="8">
        <v>40816.0</v>
      </c>
      <c r="P257" s="7">
        <v>5.3581016E7</v>
      </c>
      <c r="Q257" s="7">
        <v>2.5004635E7</v>
      </c>
      <c r="R257" s="7">
        <v>0.0</v>
      </c>
      <c r="S257" s="1" t="s">
        <v>52</v>
      </c>
    </row>
    <row r="258" ht="15.0" customHeight="1">
      <c r="B258" s="6">
        <f t="shared" si="1"/>
        <v>256</v>
      </c>
      <c r="C258" s="1" t="s">
        <v>506</v>
      </c>
      <c r="D258" s="1" t="s">
        <v>43</v>
      </c>
      <c r="E258" s="1" t="s">
        <v>506</v>
      </c>
      <c r="F258" s="1" t="s">
        <v>507</v>
      </c>
      <c r="G258" s="1" t="s">
        <v>318</v>
      </c>
      <c r="H258" s="6">
        <v>1996.0</v>
      </c>
      <c r="I258" s="1" t="s">
        <v>121</v>
      </c>
      <c r="J258" s="1" t="s">
        <v>122</v>
      </c>
      <c r="K258" s="1" t="s">
        <v>126</v>
      </c>
      <c r="M258" s="7">
        <v>4.0E7</v>
      </c>
      <c r="N258" s="7">
        <v>0.0</v>
      </c>
      <c r="O258" s="8">
        <v>43839.0</v>
      </c>
      <c r="P258" s="7">
        <v>4.587530156E7</v>
      </c>
      <c r="Q258" s="7">
        <v>3.929128719E7</v>
      </c>
      <c r="R258" s="7">
        <v>0.0</v>
      </c>
      <c r="S258" s="1" t="s">
        <v>52</v>
      </c>
    </row>
    <row r="259" ht="15.0" customHeight="1">
      <c r="B259" s="6">
        <f t="shared" si="1"/>
        <v>257</v>
      </c>
      <c r="C259" s="1" t="s">
        <v>508</v>
      </c>
      <c r="D259" s="1" t="s">
        <v>43</v>
      </c>
      <c r="E259" s="1" t="s">
        <v>508</v>
      </c>
      <c r="F259" s="1" t="s">
        <v>509</v>
      </c>
      <c r="G259" s="1" t="s">
        <v>318</v>
      </c>
      <c r="H259" s="6">
        <v>1997.0</v>
      </c>
      <c r="I259" s="1" t="s">
        <v>150</v>
      </c>
      <c r="J259" s="1" t="s">
        <v>150</v>
      </c>
      <c r="K259" s="1" t="s">
        <v>173</v>
      </c>
      <c r="M259" s="7">
        <v>1.25E7</v>
      </c>
      <c r="N259" s="7">
        <v>177075.0</v>
      </c>
      <c r="O259" s="8">
        <v>46112.0</v>
      </c>
      <c r="P259" s="7">
        <v>2.26718383E7</v>
      </c>
      <c r="Q259" s="7">
        <v>1.25E7</v>
      </c>
      <c r="R259" s="7">
        <v>0.0</v>
      </c>
      <c r="S259" s="1" t="s">
        <v>52</v>
      </c>
    </row>
    <row r="260" ht="15.0" customHeight="1">
      <c r="B260" s="6">
        <f t="shared" si="1"/>
        <v>258</v>
      </c>
      <c r="C260" s="1" t="s">
        <v>510</v>
      </c>
      <c r="D260" s="1" t="s">
        <v>43</v>
      </c>
      <c r="E260" s="1" t="s">
        <v>510</v>
      </c>
      <c r="F260" s="1" t="s">
        <v>149</v>
      </c>
      <c r="G260" s="1" t="s">
        <v>318</v>
      </c>
      <c r="H260" s="6">
        <v>1997.0</v>
      </c>
      <c r="I260" s="1" t="s">
        <v>150</v>
      </c>
      <c r="J260" s="1" t="s">
        <v>150</v>
      </c>
      <c r="K260" s="1" t="s">
        <v>151</v>
      </c>
      <c r="M260" s="7">
        <v>6.25E7</v>
      </c>
      <c r="N260" s="7">
        <v>0.0</v>
      </c>
      <c r="O260" s="8">
        <v>43921.0</v>
      </c>
      <c r="P260" s="7">
        <v>4.319631999E7</v>
      </c>
      <c r="Q260" s="7">
        <v>6.3285918E7</v>
      </c>
      <c r="R260" s="7">
        <v>0.0</v>
      </c>
      <c r="S260" s="1" t="s">
        <v>52</v>
      </c>
    </row>
    <row r="261" ht="15.0" customHeight="1">
      <c r="B261" s="6">
        <f t="shared" si="1"/>
        <v>259</v>
      </c>
      <c r="C261" s="1" t="s">
        <v>511</v>
      </c>
      <c r="D261" s="1" t="s">
        <v>43</v>
      </c>
      <c r="E261" s="1" t="s">
        <v>511</v>
      </c>
      <c r="F261" s="1" t="s">
        <v>413</v>
      </c>
      <c r="G261" s="1" t="s">
        <v>318</v>
      </c>
      <c r="H261" s="6">
        <v>1995.0</v>
      </c>
      <c r="I261" s="1" t="s">
        <v>150</v>
      </c>
      <c r="J261" s="1" t="s">
        <v>274</v>
      </c>
      <c r="K261" s="1" t="s">
        <v>204</v>
      </c>
      <c r="M261" s="7">
        <v>4.9060283E7</v>
      </c>
      <c r="N261" s="7">
        <v>0.0</v>
      </c>
      <c r="O261" s="8">
        <v>45278.0</v>
      </c>
      <c r="P261" s="7">
        <v>5.957686002E7</v>
      </c>
      <c r="Q261" s="7">
        <v>4.8481948E7</v>
      </c>
      <c r="R261" s="7">
        <v>0.0</v>
      </c>
      <c r="S261" s="1" t="s">
        <v>52</v>
      </c>
    </row>
    <row r="262" ht="15.0" customHeight="1">
      <c r="B262" s="6">
        <f t="shared" si="1"/>
        <v>260</v>
      </c>
      <c r="C262" s="1" t="s">
        <v>512</v>
      </c>
      <c r="D262" s="1" t="s">
        <v>43</v>
      </c>
      <c r="E262" s="1" t="s">
        <v>513</v>
      </c>
      <c r="F262" s="1" t="s">
        <v>514</v>
      </c>
      <c r="G262" s="1" t="s">
        <v>318</v>
      </c>
      <c r="H262" s="6">
        <v>1996.0</v>
      </c>
      <c r="I262" s="1" t="s">
        <v>121</v>
      </c>
      <c r="J262" s="1" t="s">
        <v>515</v>
      </c>
      <c r="K262" s="1" t="s">
        <v>89</v>
      </c>
      <c r="M262" s="7">
        <v>3.0E7</v>
      </c>
      <c r="N262" s="7">
        <v>0.0</v>
      </c>
      <c r="O262" s="8">
        <v>39437.0</v>
      </c>
      <c r="P262" s="7">
        <v>3.9260072E7</v>
      </c>
      <c r="Q262" s="7">
        <v>2.6883828E7</v>
      </c>
      <c r="R262" s="7">
        <v>0.0</v>
      </c>
      <c r="S262" s="1" t="s">
        <v>52</v>
      </c>
    </row>
    <row r="263" ht="15.0" customHeight="1">
      <c r="B263" s="6">
        <f t="shared" si="1"/>
        <v>261</v>
      </c>
      <c r="C263" s="1" t="s">
        <v>516</v>
      </c>
      <c r="D263" s="1" t="s">
        <v>43</v>
      </c>
      <c r="E263" s="1" t="s">
        <v>516</v>
      </c>
      <c r="F263" s="1" t="s">
        <v>501</v>
      </c>
      <c r="G263" s="1" t="s">
        <v>318</v>
      </c>
      <c r="H263" s="6">
        <v>1997.0</v>
      </c>
      <c r="I263" s="1" t="s">
        <v>150</v>
      </c>
      <c r="J263" s="1" t="s">
        <v>150</v>
      </c>
      <c r="K263" s="1" t="s">
        <v>470</v>
      </c>
      <c r="M263" s="7">
        <v>5.0E7</v>
      </c>
      <c r="N263" s="7">
        <v>0.0</v>
      </c>
      <c r="O263" s="8">
        <v>40999.0</v>
      </c>
      <c r="P263" s="7">
        <v>6.924570705E7</v>
      </c>
      <c r="Q263" s="7">
        <v>5.0E7</v>
      </c>
      <c r="R263" s="7">
        <v>0.0</v>
      </c>
      <c r="S263" s="1" t="s">
        <v>52</v>
      </c>
    </row>
    <row r="264" ht="15.0" customHeight="1">
      <c r="B264" s="6">
        <f t="shared" si="1"/>
        <v>262</v>
      </c>
      <c r="C264" s="1" t="s">
        <v>517</v>
      </c>
      <c r="D264" s="1" t="s">
        <v>43</v>
      </c>
      <c r="E264" s="1" t="s">
        <v>518</v>
      </c>
      <c r="F264" s="1" t="s">
        <v>519</v>
      </c>
      <c r="G264" s="1" t="s">
        <v>318</v>
      </c>
      <c r="H264" s="6">
        <v>1997.0</v>
      </c>
      <c r="I264" s="1" t="s">
        <v>121</v>
      </c>
      <c r="J264" s="1" t="s">
        <v>122</v>
      </c>
      <c r="K264" s="1" t="s">
        <v>127</v>
      </c>
      <c r="M264" s="7">
        <v>1.5855213267E8</v>
      </c>
      <c r="N264" s="7">
        <v>0.0</v>
      </c>
      <c r="O264" s="8">
        <v>40543.0</v>
      </c>
      <c r="P264" s="7">
        <v>2.2037151251E8</v>
      </c>
      <c r="Q264" s="7">
        <v>1.6855634125E8</v>
      </c>
      <c r="R264" s="7">
        <v>0.0</v>
      </c>
      <c r="S264" s="1" t="s">
        <v>52</v>
      </c>
    </row>
    <row r="265" ht="15.0" customHeight="1">
      <c r="B265" s="6">
        <f t="shared" si="1"/>
        <v>263</v>
      </c>
      <c r="C265" s="1" t="s">
        <v>520</v>
      </c>
      <c r="D265" s="1" t="s">
        <v>43</v>
      </c>
      <c r="E265" s="1" t="s">
        <v>520</v>
      </c>
      <c r="F265" s="1" t="s">
        <v>332</v>
      </c>
      <c r="G265" s="1" t="s">
        <v>318</v>
      </c>
      <c r="H265" s="6">
        <v>1997.0</v>
      </c>
      <c r="I265" s="1" t="s">
        <v>121</v>
      </c>
      <c r="J265" s="1" t="s">
        <v>122</v>
      </c>
      <c r="K265" s="1" t="s">
        <v>127</v>
      </c>
      <c r="M265" s="7">
        <v>5.0E7</v>
      </c>
      <c r="N265" s="7">
        <v>0.0</v>
      </c>
      <c r="O265" s="8">
        <v>40893.0</v>
      </c>
      <c r="P265" s="7">
        <v>9.1361723E7</v>
      </c>
      <c r="Q265" s="7">
        <v>5.3854393E7</v>
      </c>
      <c r="R265" s="7">
        <v>0.0</v>
      </c>
      <c r="S265" s="1" t="s">
        <v>52</v>
      </c>
    </row>
    <row r="266" ht="15.0" customHeight="1">
      <c r="B266" s="6">
        <f t="shared" si="1"/>
        <v>264</v>
      </c>
      <c r="C266" s="1" t="s">
        <v>521</v>
      </c>
      <c r="D266" s="1" t="s">
        <v>43</v>
      </c>
      <c r="E266" s="1" t="s">
        <v>521</v>
      </c>
      <c r="F266" s="1" t="s">
        <v>522</v>
      </c>
      <c r="G266" s="1" t="s">
        <v>318</v>
      </c>
      <c r="H266" s="6">
        <v>1998.0</v>
      </c>
      <c r="I266" s="1" t="s">
        <v>121</v>
      </c>
      <c r="J266" s="1" t="s">
        <v>122</v>
      </c>
      <c r="K266" s="1" t="s">
        <v>123</v>
      </c>
      <c r="M266" s="7">
        <v>5.625E7</v>
      </c>
      <c r="N266" s="7">
        <v>0.0</v>
      </c>
      <c r="O266" s="8">
        <v>42855.0</v>
      </c>
      <c r="P266" s="7">
        <v>9.637536822E7</v>
      </c>
      <c r="Q266" s="7">
        <v>5.581607692E7</v>
      </c>
      <c r="R266" s="7">
        <v>0.0</v>
      </c>
      <c r="S266" s="1" t="s">
        <v>52</v>
      </c>
    </row>
    <row r="267" ht="15.0" customHeight="1">
      <c r="B267" s="6">
        <f t="shared" si="1"/>
        <v>265</v>
      </c>
      <c r="C267" s="1" t="s">
        <v>523</v>
      </c>
      <c r="D267" s="1" t="s">
        <v>43</v>
      </c>
      <c r="E267" s="1" t="s">
        <v>524</v>
      </c>
      <c r="F267" s="1" t="s">
        <v>525</v>
      </c>
      <c r="G267" s="1" t="s">
        <v>318</v>
      </c>
      <c r="H267" s="6">
        <v>1996.0</v>
      </c>
      <c r="I267" s="1" t="s">
        <v>121</v>
      </c>
      <c r="J267" s="1" t="s">
        <v>122</v>
      </c>
      <c r="K267" s="1" t="s">
        <v>123</v>
      </c>
      <c r="M267" s="7">
        <v>7.5E7</v>
      </c>
      <c r="N267" s="7">
        <v>0.0</v>
      </c>
      <c r="O267" s="8">
        <v>40086.0</v>
      </c>
      <c r="P267" s="7">
        <v>6.973885642E7</v>
      </c>
      <c r="Q267" s="7">
        <v>7.633623518E7</v>
      </c>
      <c r="R267" s="7">
        <v>0.0</v>
      </c>
      <c r="S267" s="1" t="s">
        <v>52</v>
      </c>
    </row>
    <row r="268" ht="15.0" customHeight="1">
      <c r="B268" s="6">
        <f t="shared" si="1"/>
        <v>266</v>
      </c>
      <c r="C268" s="1" t="s">
        <v>526</v>
      </c>
      <c r="D268" s="1" t="s">
        <v>43</v>
      </c>
      <c r="E268" s="1" t="s">
        <v>527</v>
      </c>
      <c r="F268" s="1" t="s">
        <v>528</v>
      </c>
      <c r="G268" s="1" t="s">
        <v>318</v>
      </c>
      <c r="H268" s="6">
        <v>1997.0</v>
      </c>
      <c r="I268" s="1" t="s">
        <v>150</v>
      </c>
      <c r="J268" s="1" t="s">
        <v>150</v>
      </c>
      <c r="K268" s="1" t="s">
        <v>173</v>
      </c>
      <c r="M268" s="7">
        <v>3.0E7</v>
      </c>
      <c r="N268" s="7">
        <v>0.0</v>
      </c>
      <c r="O268" s="8">
        <v>43555.0</v>
      </c>
      <c r="P268" s="7">
        <v>3.566296233E7</v>
      </c>
      <c r="Q268" s="7">
        <v>2.9952E7</v>
      </c>
      <c r="R268" s="7">
        <v>0.0</v>
      </c>
      <c r="S268" s="1" t="s">
        <v>52</v>
      </c>
    </row>
    <row r="269" ht="15.0" customHeight="1">
      <c r="B269" s="6">
        <f t="shared" si="1"/>
        <v>267</v>
      </c>
      <c r="C269" s="1" t="s">
        <v>529</v>
      </c>
      <c r="D269" s="1" t="s">
        <v>43</v>
      </c>
      <c r="E269" s="1" t="s">
        <v>529</v>
      </c>
      <c r="F269" s="1" t="s">
        <v>530</v>
      </c>
      <c r="G269" s="1" t="s">
        <v>318</v>
      </c>
      <c r="H269" s="6">
        <v>1997.0</v>
      </c>
      <c r="I269" s="1" t="s">
        <v>121</v>
      </c>
      <c r="J269" s="1" t="s">
        <v>122</v>
      </c>
      <c r="K269" s="1" t="s">
        <v>123</v>
      </c>
      <c r="M269" s="7">
        <v>1.0E8</v>
      </c>
      <c r="N269" s="7">
        <v>0.0</v>
      </c>
      <c r="O269" s="8">
        <v>42735.0</v>
      </c>
      <c r="P269" s="7">
        <v>9.581387741E7</v>
      </c>
      <c r="Q269" s="7">
        <v>7.666375756E7</v>
      </c>
      <c r="R269" s="7">
        <v>-0.46</v>
      </c>
      <c r="S269" s="1" t="s">
        <v>52</v>
      </c>
    </row>
    <row r="270" ht="15.0" customHeight="1">
      <c r="B270" s="6">
        <f t="shared" si="1"/>
        <v>268</v>
      </c>
      <c r="C270" s="1" t="s">
        <v>531</v>
      </c>
      <c r="D270" s="1" t="s">
        <v>43</v>
      </c>
      <c r="E270" s="1" t="s">
        <v>532</v>
      </c>
      <c r="F270" s="1" t="s">
        <v>532</v>
      </c>
      <c r="G270" s="1" t="s">
        <v>318</v>
      </c>
      <c r="H270" s="6">
        <v>1997.0</v>
      </c>
      <c r="I270" s="1" t="s">
        <v>121</v>
      </c>
      <c r="J270" s="1" t="s">
        <v>122</v>
      </c>
      <c r="K270" s="1" t="s">
        <v>123</v>
      </c>
      <c r="M270" s="7">
        <v>2.5E7</v>
      </c>
      <c r="N270" s="7">
        <v>0.0</v>
      </c>
      <c r="O270" s="8">
        <v>40359.0</v>
      </c>
      <c r="P270" s="7">
        <v>2.1119037E7</v>
      </c>
      <c r="Q270" s="7">
        <v>2.4729264E7</v>
      </c>
      <c r="R270" s="7">
        <v>0.0</v>
      </c>
      <c r="S270" s="1" t="s">
        <v>52</v>
      </c>
    </row>
    <row r="271" ht="15.0" customHeight="1">
      <c r="B271" s="6">
        <f t="shared" si="1"/>
        <v>269</v>
      </c>
      <c r="C271" s="1" t="s">
        <v>533</v>
      </c>
      <c r="D271" s="1" t="s">
        <v>43</v>
      </c>
      <c r="E271" s="1" t="s">
        <v>533</v>
      </c>
      <c r="F271" s="1" t="s">
        <v>125</v>
      </c>
      <c r="G271" s="1" t="s">
        <v>318</v>
      </c>
      <c r="H271" s="6">
        <v>1998.0</v>
      </c>
      <c r="I271" s="1" t="s">
        <v>121</v>
      </c>
      <c r="J271" s="1" t="s">
        <v>122</v>
      </c>
      <c r="K271" s="1" t="s">
        <v>127</v>
      </c>
      <c r="M271" s="7">
        <v>7.96226241E7</v>
      </c>
      <c r="N271" s="7">
        <v>0.0</v>
      </c>
      <c r="O271" s="8">
        <v>43921.0</v>
      </c>
      <c r="P271" s="7">
        <v>1.3588818214E8</v>
      </c>
      <c r="Q271" s="7">
        <v>7.50890141072E7</v>
      </c>
      <c r="R271" s="7">
        <v>0.0028</v>
      </c>
      <c r="S271" s="1" t="s">
        <v>52</v>
      </c>
    </row>
    <row r="272" ht="15.0" customHeight="1">
      <c r="B272" s="6">
        <f t="shared" si="1"/>
        <v>270</v>
      </c>
      <c r="C272" s="1" t="s">
        <v>534</v>
      </c>
      <c r="D272" s="1" t="s">
        <v>43</v>
      </c>
      <c r="E272" s="1" t="s">
        <v>535</v>
      </c>
      <c r="F272" s="1" t="s">
        <v>530</v>
      </c>
      <c r="G272" s="1" t="s">
        <v>318</v>
      </c>
      <c r="H272" s="6">
        <v>1998.0</v>
      </c>
      <c r="I272" s="1" t="s">
        <v>121</v>
      </c>
      <c r="J272" s="1" t="s">
        <v>122</v>
      </c>
      <c r="K272" s="1" t="s">
        <v>127</v>
      </c>
      <c r="M272" s="7">
        <v>1.371725E8</v>
      </c>
      <c r="N272" s="7">
        <v>0.0</v>
      </c>
      <c r="O272" s="8">
        <v>42004.0</v>
      </c>
      <c r="P272" s="7">
        <v>3.29263602749E7</v>
      </c>
      <c r="Q272" s="7">
        <v>1.1469272994E8</v>
      </c>
      <c r="R272" s="7">
        <v>0.4</v>
      </c>
      <c r="S272" s="1" t="s">
        <v>52</v>
      </c>
    </row>
    <row r="273" ht="15.0" customHeight="1">
      <c r="B273" s="6">
        <f t="shared" si="1"/>
        <v>271</v>
      </c>
      <c r="C273" s="1" t="s">
        <v>536</v>
      </c>
      <c r="D273" s="1" t="s">
        <v>43</v>
      </c>
      <c r="E273" s="1" t="s">
        <v>536</v>
      </c>
      <c r="F273" s="1" t="s">
        <v>537</v>
      </c>
      <c r="G273" s="1" t="s">
        <v>318</v>
      </c>
      <c r="H273" s="6">
        <v>1998.0</v>
      </c>
      <c r="I273" s="1" t="s">
        <v>121</v>
      </c>
      <c r="J273" s="1" t="s">
        <v>122</v>
      </c>
      <c r="K273" s="1" t="s">
        <v>127</v>
      </c>
      <c r="M273" s="7">
        <v>2.0E8</v>
      </c>
      <c r="N273" s="7">
        <v>0.0</v>
      </c>
      <c r="O273" s="8">
        <v>42735.0</v>
      </c>
      <c r="P273" s="7">
        <v>2.1351817301E8</v>
      </c>
      <c r="Q273" s="7">
        <v>2.1503512682E8</v>
      </c>
      <c r="R273" s="7">
        <v>0.0</v>
      </c>
      <c r="S273" s="1" t="s">
        <v>52</v>
      </c>
    </row>
    <row r="274" ht="15.0" customHeight="1">
      <c r="B274" s="6">
        <f t="shared" si="1"/>
        <v>272</v>
      </c>
      <c r="C274" s="1" t="s">
        <v>538</v>
      </c>
      <c r="D274" s="1" t="s">
        <v>43</v>
      </c>
      <c r="E274" s="1" t="s">
        <v>538</v>
      </c>
      <c r="F274" s="1" t="s">
        <v>539</v>
      </c>
      <c r="G274" s="1" t="s">
        <v>318</v>
      </c>
      <c r="H274" s="6">
        <v>1999.0</v>
      </c>
      <c r="I274" s="1" t="s">
        <v>121</v>
      </c>
      <c r="J274" s="1" t="s">
        <v>540</v>
      </c>
      <c r="K274" s="1" t="s">
        <v>164</v>
      </c>
      <c r="M274" s="7">
        <v>5.7388755E7</v>
      </c>
      <c r="N274" s="7">
        <v>0.0</v>
      </c>
      <c r="O274" s="8">
        <v>40816.0</v>
      </c>
      <c r="P274" s="7">
        <v>2.0530656E7</v>
      </c>
      <c r="Q274" s="7">
        <v>5.680035234E7</v>
      </c>
      <c r="R274" s="7">
        <v>0.0</v>
      </c>
      <c r="S274" s="1" t="s">
        <v>52</v>
      </c>
    </row>
    <row r="275" ht="15.0" customHeight="1">
      <c r="B275" s="6">
        <f t="shared" si="1"/>
        <v>273</v>
      </c>
      <c r="C275" s="1" t="s">
        <v>541</v>
      </c>
      <c r="D275" s="1" t="s">
        <v>43</v>
      </c>
      <c r="E275" s="1" t="s">
        <v>541</v>
      </c>
      <c r="F275" s="1" t="s">
        <v>542</v>
      </c>
      <c r="G275" s="1" t="s">
        <v>318</v>
      </c>
      <c r="H275" s="6">
        <v>1999.0</v>
      </c>
      <c r="I275" s="1" t="s">
        <v>121</v>
      </c>
      <c r="J275" s="1" t="s">
        <v>122</v>
      </c>
      <c r="K275" s="1" t="s">
        <v>151</v>
      </c>
      <c r="M275" s="7">
        <v>3.0E8</v>
      </c>
      <c r="N275" s="7">
        <v>0.0</v>
      </c>
      <c r="O275" s="8">
        <v>43281.0</v>
      </c>
      <c r="P275" s="7">
        <v>4.7819401E8</v>
      </c>
      <c r="Q275" s="7">
        <v>2.36925618E8</v>
      </c>
      <c r="R275" s="7">
        <v>0.0</v>
      </c>
      <c r="S275" s="1" t="s">
        <v>52</v>
      </c>
    </row>
    <row r="276" ht="15.0" customHeight="1">
      <c r="B276" s="6">
        <f t="shared" si="1"/>
        <v>274</v>
      </c>
      <c r="C276" s="1" t="s">
        <v>543</v>
      </c>
      <c r="D276" s="1" t="s">
        <v>43</v>
      </c>
      <c r="E276" s="1" t="s">
        <v>544</v>
      </c>
      <c r="F276" s="1" t="s">
        <v>545</v>
      </c>
      <c r="G276" s="1" t="s">
        <v>318</v>
      </c>
      <c r="H276" s="6">
        <v>1999.0</v>
      </c>
      <c r="I276" s="1" t="s">
        <v>121</v>
      </c>
      <c r="J276" s="1" t="s">
        <v>122</v>
      </c>
      <c r="K276" s="1" t="s">
        <v>123</v>
      </c>
      <c r="M276" s="7">
        <v>5.0E7</v>
      </c>
      <c r="N276" s="7">
        <v>0.0</v>
      </c>
      <c r="O276" s="8">
        <v>40359.0</v>
      </c>
      <c r="P276" s="7">
        <v>9.1626888E7</v>
      </c>
      <c r="Q276" s="7">
        <v>4.325400801E7</v>
      </c>
      <c r="R276" s="7">
        <v>-0.01</v>
      </c>
      <c r="S276" s="1" t="s">
        <v>52</v>
      </c>
    </row>
    <row r="277" ht="15.0" customHeight="1">
      <c r="B277" s="6">
        <f t="shared" si="1"/>
        <v>275</v>
      </c>
      <c r="C277" s="1" t="s">
        <v>546</v>
      </c>
      <c r="D277" s="1" t="s">
        <v>43</v>
      </c>
      <c r="E277" s="1" t="s">
        <v>546</v>
      </c>
      <c r="F277" s="1" t="s">
        <v>547</v>
      </c>
      <c r="G277" s="1" t="s">
        <v>318</v>
      </c>
      <c r="H277" s="6">
        <v>1999.0</v>
      </c>
      <c r="I277" s="1" t="s">
        <v>126</v>
      </c>
      <c r="J277" s="1" t="s">
        <v>126</v>
      </c>
      <c r="K277" s="1" t="s">
        <v>126</v>
      </c>
      <c r="M277" s="7">
        <v>3.0141666E7</v>
      </c>
      <c r="N277" s="7">
        <v>106648.0</v>
      </c>
      <c r="O277" s="8">
        <v>46022.0</v>
      </c>
      <c r="P277" s="7">
        <v>3.6261799E7</v>
      </c>
      <c r="Q277" s="7">
        <v>3.0357584E7</v>
      </c>
      <c r="R277" s="7">
        <v>0.0</v>
      </c>
      <c r="S277" s="1" t="s">
        <v>52</v>
      </c>
    </row>
    <row r="278" ht="15.0" customHeight="1">
      <c r="B278" s="6">
        <f t="shared" si="1"/>
        <v>276</v>
      </c>
      <c r="C278" s="1" t="s">
        <v>548</v>
      </c>
      <c r="D278" s="1" t="s">
        <v>43</v>
      </c>
      <c r="E278" s="1" t="s">
        <v>548</v>
      </c>
      <c r="F278" s="1" t="s">
        <v>549</v>
      </c>
      <c r="G278" s="1" t="s">
        <v>318</v>
      </c>
      <c r="H278" s="6">
        <v>1999.0</v>
      </c>
      <c r="I278" s="1" t="s">
        <v>121</v>
      </c>
      <c r="J278" s="1" t="s">
        <v>122</v>
      </c>
      <c r="K278" s="1" t="s">
        <v>123</v>
      </c>
      <c r="M278" s="7">
        <v>8.75E7</v>
      </c>
      <c r="N278" s="7">
        <v>0.0</v>
      </c>
      <c r="O278" s="8">
        <v>42004.0</v>
      </c>
      <c r="P278" s="7">
        <v>1.152734488915E8</v>
      </c>
      <c r="Q278" s="7">
        <v>8.8962098E7</v>
      </c>
      <c r="R278" s="7">
        <v>0.0</v>
      </c>
      <c r="S278" s="1" t="s">
        <v>52</v>
      </c>
    </row>
    <row r="279" ht="15.0" customHeight="1">
      <c r="B279" s="6">
        <f t="shared" si="1"/>
        <v>277</v>
      </c>
      <c r="C279" s="1" t="s">
        <v>550</v>
      </c>
      <c r="D279" s="1" t="s">
        <v>43</v>
      </c>
      <c r="E279" s="1" t="s">
        <v>550</v>
      </c>
      <c r="F279" s="1" t="s">
        <v>551</v>
      </c>
      <c r="G279" s="1" t="s">
        <v>318</v>
      </c>
      <c r="H279" s="6">
        <v>1998.0</v>
      </c>
      <c r="I279" s="1" t="s">
        <v>121</v>
      </c>
      <c r="J279" s="1" t="s">
        <v>122</v>
      </c>
      <c r="K279" s="1" t="s">
        <v>123</v>
      </c>
      <c r="M279" s="7">
        <v>3.9E7</v>
      </c>
      <c r="N279" s="7">
        <v>0.0</v>
      </c>
      <c r="O279" s="8">
        <v>42004.0</v>
      </c>
      <c r="P279" s="7">
        <v>2.312909494E7</v>
      </c>
      <c r="Q279" s="7">
        <v>3.9E7</v>
      </c>
      <c r="R279" s="7">
        <v>0.0</v>
      </c>
      <c r="S279" s="1" t="s">
        <v>52</v>
      </c>
    </row>
    <row r="280" ht="15.0" customHeight="1">
      <c r="B280" s="6">
        <f t="shared" si="1"/>
        <v>278</v>
      </c>
      <c r="C280" s="1" t="s">
        <v>552</v>
      </c>
      <c r="D280" s="1" t="s">
        <v>43</v>
      </c>
      <c r="E280" s="1" t="s">
        <v>552</v>
      </c>
      <c r="F280" s="1" t="s">
        <v>176</v>
      </c>
      <c r="G280" s="1" t="s">
        <v>318</v>
      </c>
      <c r="H280" s="6">
        <v>1999.0</v>
      </c>
      <c r="I280" s="1" t="s">
        <v>126</v>
      </c>
      <c r="J280" s="1" t="s">
        <v>126</v>
      </c>
      <c r="K280" s="1" t="s">
        <v>126</v>
      </c>
      <c r="M280" s="7">
        <v>2.0E8</v>
      </c>
      <c r="N280" s="7">
        <v>550273.23</v>
      </c>
      <c r="O280" s="8">
        <v>46112.0</v>
      </c>
      <c r="P280" s="7">
        <v>2.2700507224E8</v>
      </c>
      <c r="Q280" s="7">
        <v>2.0503764037E8</v>
      </c>
      <c r="R280" s="7">
        <v>0.35</v>
      </c>
      <c r="S280" s="1" t="s">
        <v>52</v>
      </c>
    </row>
    <row r="281" ht="15.0" customHeight="1">
      <c r="B281" s="6">
        <f t="shared" si="1"/>
        <v>279</v>
      </c>
      <c r="C281" s="1" t="s">
        <v>553</v>
      </c>
      <c r="D281" s="1" t="s">
        <v>43</v>
      </c>
      <c r="E281" s="1" t="s">
        <v>553</v>
      </c>
      <c r="F281" s="1" t="s">
        <v>167</v>
      </c>
      <c r="G281" s="1" t="s">
        <v>318</v>
      </c>
      <c r="H281" s="6">
        <v>1999.0</v>
      </c>
      <c r="I281" s="1" t="s">
        <v>126</v>
      </c>
      <c r="J281" s="1" t="s">
        <v>126</v>
      </c>
      <c r="K281" s="1" t="s">
        <v>123</v>
      </c>
      <c r="M281" s="7">
        <v>6.25E7</v>
      </c>
      <c r="N281" s="7">
        <v>0.0</v>
      </c>
      <c r="O281" s="8">
        <v>43281.0</v>
      </c>
      <c r="P281" s="7">
        <v>1.3153426139E8</v>
      </c>
      <c r="Q281" s="7">
        <v>6.127885703E7</v>
      </c>
      <c r="R281" s="7">
        <v>0.0</v>
      </c>
      <c r="S281" s="1" t="s">
        <v>52</v>
      </c>
    </row>
    <row r="282" ht="15.0" customHeight="1">
      <c r="B282" s="6">
        <f t="shared" si="1"/>
        <v>280</v>
      </c>
      <c r="C282" s="1" t="s">
        <v>554</v>
      </c>
      <c r="D282" s="1" t="s">
        <v>43</v>
      </c>
      <c r="E282" s="1" t="s">
        <v>554</v>
      </c>
      <c r="F282" s="1" t="s">
        <v>547</v>
      </c>
      <c r="G282" s="1" t="s">
        <v>318</v>
      </c>
      <c r="H282" s="6">
        <v>2000.0</v>
      </c>
      <c r="I282" s="1" t="s">
        <v>150</v>
      </c>
      <c r="J282" s="1" t="s">
        <v>150</v>
      </c>
      <c r="K282" s="1" t="s">
        <v>555</v>
      </c>
      <c r="M282" s="7">
        <v>1.35E8</v>
      </c>
      <c r="N282" s="7">
        <v>0.0</v>
      </c>
      <c r="O282" s="8">
        <v>45646.0</v>
      </c>
      <c r="P282" s="7">
        <v>2.1332834992E8</v>
      </c>
      <c r="Q282" s="7">
        <v>1.3528675E8</v>
      </c>
      <c r="R282" s="7">
        <v>0.0</v>
      </c>
      <c r="S282" s="1" t="s">
        <v>52</v>
      </c>
    </row>
    <row r="283" ht="15.0" customHeight="1">
      <c r="B283" s="6">
        <f t="shared" si="1"/>
        <v>281</v>
      </c>
      <c r="C283" s="1" t="s">
        <v>556</v>
      </c>
      <c r="D283" s="1" t="s">
        <v>43</v>
      </c>
      <c r="E283" s="1" t="s">
        <v>556</v>
      </c>
      <c r="F283" s="1" t="s">
        <v>557</v>
      </c>
      <c r="G283" s="1" t="s">
        <v>318</v>
      </c>
      <c r="H283" s="6">
        <v>1999.0</v>
      </c>
      <c r="I283" s="1" t="s">
        <v>150</v>
      </c>
      <c r="J283" s="1" t="s">
        <v>150</v>
      </c>
      <c r="K283" s="1" t="s">
        <v>173</v>
      </c>
      <c r="M283" s="7">
        <v>1.3743333E7</v>
      </c>
      <c r="N283" s="7">
        <v>0.0</v>
      </c>
      <c r="O283" s="8">
        <v>44286.0</v>
      </c>
      <c r="P283" s="7">
        <v>7298730.17</v>
      </c>
      <c r="Q283" s="7">
        <v>1.371186402E7</v>
      </c>
      <c r="R283" s="7">
        <v>-0.02</v>
      </c>
      <c r="S283" s="1" t="s">
        <v>52</v>
      </c>
    </row>
    <row r="284" ht="15.0" customHeight="1">
      <c r="B284" s="6">
        <f t="shared" si="1"/>
        <v>282</v>
      </c>
      <c r="C284" s="1" t="s">
        <v>558</v>
      </c>
      <c r="D284" s="1" t="s">
        <v>43</v>
      </c>
      <c r="E284" s="1" t="s">
        <v>558</v>
      </c>
      <c r="F284" s="1" t="s">
        <v>558</v>
      </c>
      <c r="G284" s="1" t="s">
        <v>318</v>
      </c>
      <c r="H284" s="6">
        <v>1999.0</v>
      </c>
      <c r="I284" s="1" t="s">
        <v>121</v>
      </c>
      <c r="J284" s="1" t="s">
        <v>122</v>
      </c>
      <c r="K284" s="1" t="s">
        <v>123</v>
      </c>
      <c r="M284" s="7">
        <v>5.6671214E7</v>
      </c>
      <c r="N284" s="7">
        <v>0.0</v>
      </c>
      <c r="O284" s="8">
        <v>42004.0</v>
      </c>
      <c r="P284" s="7">
        <v>8.26484467263E7</v>
      </c>
      <c r="Q284" s="7">
        <v>6.194645744E7</v>
      </c>
      <c r="R284" s="7">
        <v>-0.09</v>
      </c>
      <c r="S284" s="1" t="s">
        <v>52</v>
      </c>
    </row>
    <row r="285" ht="15.0" customHeight="1">
      <c r="B285" s="6">
        <f t="shared" si="1"/>
        <v>283</v>
      </c>
      <c r="C285" s="1" t="s">
        <v>559</v>
      </c>
      <c r="D285" s="1" t="s">
        <v>43</v>
      </c>
      <c r="E285" s="1" t="s">
        <v>559</v>
      </c>
      <c r="F285" s="1" t="s">
        <v>560</v>
      </c>
      <c r="G285" s="1" t="s">
        <v>318</v>
      </c>
      <c r="H285" s="6">
        <v>1999.0</v>
      </c>
      <c r="I285" s="1" t="s">
        <v>121</v>
      </c>
      <c r="J285" s="1" t="s">
        <v>122</v>
      </c>
      <c r="K285" s="1" t="s">
        <v>127</v>
      </c>
      <c r="M285" s="7">
        <v>2.0E8</v>
      </c>
      <c r="N285" s="7">
        <v>0.0</v>
      </c>
      <c r="O285" s="8">
        <v>40359.0</v>
      </c>
      <c r="P285" s="7">
        <v>2.2457710048E8</v>
      </c>
      <c r="Q285" s="7">
        <v>1.809605504E8</v>
      </c>
      <c r="R285" s="7">
        <v>0.0</v>
      </c>
      <c r="S285" s="1" t="s">
        <v>52</v>
      </c>
    </row>
    <row r="286" ht="15.0" customHeight="1">
      <c r="B286" s="6">
        <f t="shared" si="1"/>
        <v>284</v>
      </c>
      <c r="C286" s="1" t="s">
        <v>561</v>
      </c>
      <c r="D286" s="1" t="s">
        <v>43</v>
      </c>
      <c r="E286" s="1" t="s">
        <v>561</v>
      </c>
      <c r="F286" s="1" t="s">
        <v>562</v>
      </c>
      <c r="G286" s="1" t="s">
        <v>318</v>
      </c>
      <c r="H286" s="6">
        <v>2000.0</v>
      </c>
      <c r="I286" s="1" t="s">
        <v>121</v>
      </c>
      <c r="J286" s="1" t="s">
        <v>122</v>
      </c>
      <c r="K286" s="1" t="s">
        <v>123</v>
      </c>
      <c r="M286" s="7">
        <v>5.775E7</v>
      </c>
      <c r="N286" s="7">
        <v>0.0</v>
      </c>
      <c r="O286" s="8">
        <v>43357.0</v>
      </c>
      <c r="P286" s="7">
        <v>1.4053700803E8</v>
      </c>
      <c r="Q286" s="7">
        <v>6.535526918E7</v>
      </c>
      <c r="R286" s="7">
        <v>-0.41</v>
      </c>
      <c r="S286" s="1" t="s">
        <v>52</v>
      </c>
    </row>
    <row r="287" ht="15.0" customHeight="1">
      <c r="B287" s="6">
        <f t="shared" si="1"/>
        <v>285</v>
      </c>
      <c r="C287" s="1" t="s">
        <v>563</v>
      </c>
      <c r="D287" s="1" t="s">
        <v>43</v>
      </c>
      <c r="E287" s="1" t="s">
        <v>563</v>
      </c>
      <c r="F287" s="1" t="s">
        <v>563</v>
      </c>
      <c r="G287" s="1" t="s">
        <v>318</v>
      </c>
      <c r="H287" s="6">
        <v>2000.0</v>
      </c>
      <c r="I287" s="1" t="s">
        <v>121</v>
      </c>
      <c r="J287" s="1" t="s">
        <v>122</v>
      </c>
      <c r="K287" s="1" t="s">
        <v>123</v>
      </c>
      <c r="M287" s="7">
        <v>5.0E7</v>
      </c>
      <c r="N287" s="7">
        <v>0.0</v>
      </c>
      <c r="O287" s="8">
        <v>42004.0</v>
      </c>
      <c r="P287" s="7">
        <v>6.39728907729E7</v>
      </c>
      <c r="Q287" s="7">
        <v>3.9967488E7</v>
      </c>
      <c r="R287" s="7">
        <v>0.0</v>
      </c>
      <c r="S287" s="1" t="s">
        <v>52</v>
      </c>
    </row>
    <row r="288" ht="15.0" customHeight="1">
      <c r="B288" s="6">
        <f t="shared" si="1"/>
        <v>286</v>
      </c>
      <c r="C288" s="1" t="s">
        <v>564</v>
      </c>
      <c r="D288" s="1" t="s">
        <v>43</v>
      </c>
      <c r="E288" s="1" t="s">
        <v>564</v>
      </c>
      <c r="F288" s="1" t="s">
        <v>528</v>
      </c>
      <c r="G288" s="1" t="s">
        <v>318</v>
      </c>
      <c r="H288" s="6">
        <v>2000.0</v>
      </c>
      <c r="I288" s="1" t="s">
        <v>150</v>
      </c>
      <c r="J288" s="1" t="s">
        <v>150</v>
      </c>
      <c r="K288" s="1" t="s">
        <v>173</v>
      </c>
      <c r="M288" s="7">
        <v>7.5E7</v>
      </c>
      <c r="N288" s="7">
        <v>0.0</v>
      </c>
      <c r="O288" s="8">
        <v>43830.0</v>
      </c>
      <c r="P288" s="7">
        <v>1.664343248E7</v>
      </c>
      <c r="Q288" s="7">
        <v>7.4775E7</v>
      </c>
      <c r="R288" s="7">
        <v>0.0</v>
      </c>
      <c r="S288" s="1" t="s">
        <v>52</v>
      </c>
    </row>
    <row r="289" ht="15.0" customHeight="1">
      <c r="B289" s="6">
        <f t="shared" si="1"/>
        <v>287</v>
      </c>
      <c r="C289" s="1" t="s">
        <v>565</v>
      </c>
      <c r="D289" s="1" t="s">
        <v>43</v>
      </c>
      <c r="E289" s="1" t="s">
        <v>565</v>
      </c>
      <c r="F289" s="1" t="s">
        <v>522</v>
      </c>
      <c r="G289" s="1" t="s">
        <v>318</v>
      </c>
      <c r="H289" s="6">
        <v>2000.0</v>
      </c>
      <c r="I289" s="1" t="s">
        <v>121</v>
      </c>
      <c r="J289" s="1" t="s">
        <v>122</v>
      </c>
      <c r="K289" s="1" t="s">
        <v>123</v>
      </c>
      <c r="M289" s="7">
        <v>1.0E8</v>
      </c>
      <c r="N289" s="7">
        <v>0.0</v>
      </c>
      <c r="O289" s="8">
        <v>42004.0</v>
      </c>
      <c r="P289" s="7">
        <v>2.068646099613E8</v>
      </c>
      <c r="Q289" s="7">
        <v>9.5025051E7</v>
      </c>
      <c r="R289" s="7">
        <v>0.0</v>
      </c>
      <c r="S289" s="1" t="s">
        <v>52</v>
      </c>
    </row>
    <row r="290" ht="15.0" customHeight="1">
      <c r="B290" s="6">
        <f t="shared" si="1"/>
        <v>288</v>
      </c>
      <c r="C290" s="1" t="s">
        <v>566</v>
      </c>
      <c r="D290" s="1" t="s">
        <v>43</v>
      </c>
      <c r="E290" s="1" t="s">
        <v>566</v>
      </c>
      <c r="F290" s="1" t="s">
        <v>125</v>
      </c>
      <c r="G290" s="1" t="s">
        <v>318</v>
      </c>
      <c r="H290" s="6">
        <v>1998.0</v>
      </c>
      <c r="I290" s="1" t="s">
        <v>121</v>
      </c>
      <c r="J290" s="1" t="s">
        <v>122</v>
      </c>
      <c r="K290" s="1" t="s">
        <v>123</v>
      </c>
      <c r="M290" s="7">
        <v>8.471490642E7</v>
      </c>
      <c r="N290" s="7">
        <v>0.0</v>
      </c>
      <c r="O290" s="8">
        <v>43921.0</v>
      </c>
      <c r="P290" s="7">
        <v>1.6654418917E8</v>
      </c>
      <c r="Q290" s="7">
        <v>8.12769716725E7</v>
      </c>
      <c r="R290" s="7">
        <v>-0.2225</v>
      </c>
      <c r="S290" s="1" t="s">
        <v>52</v>
      </c>
    </row>
    <row r="291" ht="15.0" customHeight="1">
      <c r="B291" s="6">
        <f t="shared" si="1"/>
        <v>289</v>
      </c>
      <c r="C291" s="1" t="s">
        <v>567</v>
      </c>
      <c r="D291" s="1" t="s">
        <v>43</v>
      </c>
      <c r="E291" s="1" t="s">
        <v>567</v>
      </c>
      <c r="F291" s="1" t="s">
        <v>568</v>
      </c>
      <c r="G291" s="1" t="s">
        <v>318</v>
      </c>
      <c r="H291" s="6">
        <v>2000.0</v>
      </c>
      <c r="I291" s="1" t="s">
        <v>121</v>
      </c>
      <c r="J291" s="1" t="s">
        <v>122</v>
      </c>
      <c r="K291" s="1" t="s">
        <v>123</v>
      </c>
      <c r="M291" s="7">
        <v>2.0359E8</v>
      </c>
      <c r="N291" s="7">
        <v>0.0</v>
      </c>
      <c r="O291" s="8">
        <v>42004.0</v>
      </c>
      <c r="P291" s="7">
        <v>1.507098504455E8</v>
      </c>
      <c r="Q291" s="7">
        <v>2.04759024E8</v>
      </c>
      <c r="R291" s="7">
        <v>0.0</v>
      </c>
      <c r="S291" s="1" t="s">
        <v>52</v>
      </c>
    </row>
    <row r="292" ht="15.0" customHeight="1">
      <c r="B292" s="6">
        <f t="shared" si="1"/>
        <v>290</v>
      </c>
      <c r="C292" s="1" t="s">
        <v>569</v>
      </c>
      <c r="D292" s="1" t="s">
        <v>43</v>
      </c>
      <c r="E292" s="1" t="s">
        <v>569</v>
      </c>
      <c r="F292" s="1" t="s">
        <v>519</v>
      </c>
      <c r="G292" s="1" t="s">
        <v>318</v>
      </c>
      <c r="H292" s="6">
        <v>1999.0</v>
      </c>
      <c r="I292" s="1" t="s">
        <v>150</v>
      </c>
      <c r="J292" s="1" t="s">
        <v>150</v>
      </c>
      <c r="K292" s="1" t="s">
        <v>151</v>
      </c>
      <c r="M292" s="7">
        <v>1.25E7</v>
      </c>
      <c r="N292" s="7">
        <v>0.0</v>
      </c>
      <c r="O292" s="8">
        <v>42369.0</v>
      </c>
      <c r="P292" s="7">
        <v>5210204.88</v>
      </c>
      <c r="Q292" s="7">
        <v>1.144225992E7</v>
      </c>
      <c r="R292" s="7">
        <v>0.0</v>
      </c>
      <c r="S292" s="1" t="s">
        <v>52</v>
      </c>
    </row>
    <row r="293" ht="15.0" customHeight="1">
      <c r="B293" s="6">
        <f t="shared" si="1"/>
        <v>291</v>
      </c>
      <c r="C293" s="1" t="s">
        <v>570</v>
      </c>
      <c r="D293" s="1" t="s">
        <v>43</v>
      </c>
      <c r="E293" s="1" t="s">
        <v>570</v>
      </c>
      <c r="F293" s="1" t="s">
        <v>571</v>
      </c>
      <c r="G293" s="1" t="s">
        <v>318</v>
      </c>
      <c r="H293" s="6">
        <v>2001.0</v>
      </c>
      <c r="I293" s="1" t="s">
        <v>121</v>
      </c>
      <c r="J293" s="1" t="s">
        <v>122</v>
      </c>
      <c r="K293" s="1" t="s">
        <v>123</v>
      </c>
      <c r="M293" s="7">
        <v>2.4083333E7</v>
      </c>
      <c r="N293" s="7">
        <v>0.0</v>
      </c>
      <c r="O293" s="8">
        <v>42916.0</v>
      </c>
      <c r="P293" s="7">
        <v>2.706008503E7</v>
      </c>
      <c r="Q293" s="7">
        <v>2.370604113E7</v>
      </c>
      <c r="R293" s="7">
        <v>0.0</v>
      </c>
      <c r="S293" s="1" t="s">
        <v>52</v>
      </c>
    </row>
    <row r="294" ht="15.0" customHeight="1">
      <c r="B294" s="6">
        <f t="shared" si="1"/>
        <v>292</v>
      </c>
      <c r="C294" s="1" t="s">
        <v>572</v>
      </c>
      <c r="D294" s="1" t="s">
        <v>43</v>
      </c>
      <c r="E294" s="1" t="s">
        <v>572</v>
      </c>
      <c r="F294" s="1" t="s">
        <v>383</v>
      </c>
      <c r="G294" s="1" t="s">
        <v>318</v>
      </c>
      <c r="H294" s="6">
        <v>2001.0</v>
      </c>
      <c r="I294" s="1" t="s">
        <v>121</v>
      </c>
      <c r="J294" s="1" t="s">
        <v>92</v>
      </c>
      <c r="K294" s="1" t="s">
        <v>573</v>
      </c>
      <c r="M294" s="7">
        <v>1.25E8</v>
      </c>
      <c r="N294" s="7">
        <v>0.0</v>
      </c>
      <c r="O294" s="8">
        <v>40633.0</v>
      </c>
      <c r="P294" s="7">
        <v>1.98385914E8</v>
      </c>
      <c r="Q294" s="7">
        <v>1.25448253E8</v>
      </c>
      <c r="R294" s="7">
        <v>0.0</v>
      </c>
      <c r="S294" s="1" t="s">
        <v>52</v>
      </c>
    </row>
    <row r="295" ht="15.0" customHeight="1">
      <c r="B295" s="6">
        <f t="shared" si="1"/>
        <v>293</v>
      </c>
      <c r="C295" s="1" t="s">
        <v>574</v>
      </c>
      <c r="D295" s="1" t="s">
        <v>43</v>
      </c>
      <c r="E295" s="1" t="s">
        <v>574</v>
      </c>
      <c r="F295" s="1" t="s">
        <v>537</v>
      </c>
      <c r="G295" s="1" t="s">
        <v>318</v>
      </c>
      <c r="H295" s="6">
        <v>2000.0</v>
      </c>
      <c r="I295" s="1" t="s">
        <v>164</v>
      </c>
      <c r="J295" s="1" t="s">
        <v>92</v>
      </c>
      <c r="K295" s="1" t="s">
        <v>575</v>
      </c>
      <c r="M295" s="7">
        <v>2.8E8</v>
      </c>
      <c r="N295" s="7">
        <v>0.0</v>
      </c>
      <c r="O295" s="8">
        <v>44286.0</v>
      </c>
      <c r="P295" s="7">
        <v>4.3016822706E8</v>
      </c>
      <c r="Q295" s="7">
        <v>2.7917077116E8</v>
      </c>
      <c r="R295" s="7">
        <v>-0.16</v>
      </c>
      <c r="S295" s="1" t="s">
        <v>52</v>
      </c>
    </row>
    <row r="296" ht="15.0" customHeight="1">
      <c r="B296" s="6">
        <f t="shared" si="1"/>
        <v>294</v>
      </c>
      <c r="C296" s="1" t="s">
        <v>576</v>
      </c>
      <c r="D296" s="1" t="s">
        <v>43</v>
      </c>
      <c r="E296" s="1" t="s">
        <v>576</v>
      </c>
      <c r="F296" s="1" t="s">
        <v>37</v>
      </c>
      <c r="G296" s="1" t="s">
        <v>318</v>
      </c>
      <c r="H296" s="6">
        <v>2001.0</v>
      </c>
      <c r="I296" s="1" t="s">
        <v>121</v>
      </c>
      <c r="J296" s="1" t="s">
        <v>274</v>
      </c>
      <c r="K296" s="1" t="s">
        <v>204</v>
      </c>
      <c r="M296" s="7">
        <v>2.0E8</v>
      </c>
      <c r="N296" s="7">
        <v>0.0</v>
      </c>
      <c r="O296" s="8">
        <v>42735.0</v>
      </c>
      <c r="P296" s="7">
        <v>3.0890830464E8</v>
      </c>
      <c r="Q296" s="7">
        <v>1.94622576E8</v>
      </c>
      <c r="R296" s="7">
        <v>0.0</v>
      </c>
      <c r="S296" s="1" t="s">
        <v>52</v>
      </c>
    </row>
    <row r="297" ht="15.0" customHeight="1">
      <c r="B297" s="6">
        <f t="shared" si="1"/>
        <v>295</v>
      </c>
      <c r="C297" s="1" t="s">
        <v>577</v>
      </c>
      <c r="D297" s="1" t="s">
        <v>43</v>
      </c>
      <c r="E297" s="1" t="s">
        <v>577</v>
      </c>
      <c r="F297" s="1" t="s">
        <v>149</v>
      </c>
      <c r="G297" s="1" t="s">
        <v>318</v>
      </c>
      <c r="H297" s="6">
        <v>2000.0</v>
      </c>
      <c r="I297" s="1" t="s">
        <v>150</v>
      </c>
      <c r="J297" s="1" t="s">
        <v>150</v>
      </c>
      <c r="K297" s="1" t="s">
        <v>151</v>
      </c>
      <c r="M297" s="7">
        <v>1.25E8</v>
      </c>
      <c r="N297" s="7">
        <v>0.0</v>
      </c>
      <c r="O297" s="8">
        <v>45840.0</v>
      </c>
      <c r="P297" s="7">
        <v>5.517230854E7</v>
      </c>
      <c r="Q297" s="7">
        <v>1.29614995E8</v>
      </c>
      <c r="R297" s="7">
        <v>0.0</v>
      </c>
      <c r="S297" s="1" t="s">
        <v>52</v>
      </c>
    </row>
    <row r="298" ht="15.0" customHeight="1">
      <c r="B298" s="6">
        <f t="shared" si="1"/>
        <v>296</v>
      </c>
      <c r="C298" s="1" t="s">
        <v>578</v>
      </c>
      <c r="D298" s="1" t="s">
        <v>43</v>
      </c>
      <c r="E298" s="1" t="s">
        <v>578</v>
      </c>
      <c r="F298" s="1" t="s">
        <v>137</v>
      </c>
      <c r="G298" s="1" t="s">
        <v>318</v>
      </c>
      <c r="H298" s="6">
        <v>2001.0</v>
      </c>
      <c r="I298" s="1" t="s">
        <v>121</v>
      </c>
      <c r="J298" s="1" t="s">
        <v>122</v>
      </c>
      <c r="K298" s="1" t="s">
        <v>123</v>
      </c>
      <c r="M298" s="7">
        <v>1.92509033E8</v>
      </c>
      <c r="N298" s="7">
        <v>0.0</v>
      </c>
      <c r="O298" s="8">
        <v>42735.0</v>
      </c>
      <c r="P298" s="7">
        <v>2.4318869E8</v>
      </c>
      <c r="Q298" s="7">
        <v>1.61121249E8</v>
      </c>
      <c r="R298" s="7">
        <v>0.0</v>
      </c>
      <c r="S298" s="1" t="s">
        <v>52</v>
      </c>
    </row>
    <row r="299" ht="15.0" customHeight="1">
      <c r="B299" s="6">
        <f t="shared" si="1"/>
        <v>297</v>
      </c>
      <c r="C299" s="1" t="s">
        <v>579</v>
      </c>
      <c r="D299" s="1" t="s">
        <v>43</v>
      </c>
      <c r="E299" s="1" t="s">
        <v>579</v>
      </c>
      <c r="F299" s="1" t="s">
        <v>580</v>
      </c>
      <c r="G299" s="1" t="s">
        <v>318</v>
      </c>
      <c r="H299" s="6">
        <v>2001.0</v>
      </c>
      <c r="I299" s="1" t="s">
        <v>121</v>
      </c>
      <c r="J299" s="1" t="s">
        <v>122</v>
      </c>
      <c r="K299" s="1" t="s">
        <v>123</v>
      </c>
      <c r="M299" s="7">
        <v>2.70422415E8</v>
      </c>
      <c r="N299" s="7">
        <v>0.0</v>
      </c>
      <c r="O299" s="8">
        <v>42916.0</v>
      </c>
      <c r="P299" s="7">
        <v>3.86739733E8</v>
      </c>
      <c r="Q299" s="7">
        <v>2.2543809405E8</v>
      </c>
      <c r="R299" s="7">
        <v>0.0</v>
      </c>
      <c r="S299" s="1" t="s">
        <v>52</v>
      </c>
    </row>
    <row r="300" ht="15.0" customHeight="1">
      <c r="B300" s="6">
        <f t="shared" si="1"/>
        <v>298</v>
      </c>
      <c r="C300" s="1" t="s">
        <v>581</v>
      </c>
      <c r="D300" s="1" t="s">
        <v>43</v>
      </c>
      <c r="E300" s="1" t="s">
        <v>581</v>
      </c>
      <c r="F300" s="1" t="s">
        <v>582</v>
      </c>
      <c r="G300" s="1" t="s">
        <v>318</v>
      </c>
      <c r="H300" s="6">
        <v>2001.0</v>
      </c>
      <c r="I300" s="1" t="s">
        <v>121</v>
      </c>
      <c r="J300" s="1" t="s">
        <v>515</v>
      </c>
      <c r="K300" s="1" t="s">
        <v>583</v>
      </c>
      <c r="M300" s="7">
        <v>7.5E7</v>
      </c>
      <c r="N300" s="7">
        <v>0.0</v>
      </c>
      <c r="O300" s="8">
        <v>42735.0</v>
      </c>
      <c r="P300" s="7">
        <v>9.594390041E7</v>
      </c>
      <c r="Q300" s="7">
        <v>6.345030392E7</v>
      </c>
      <c r="R300" s="7">
        <v>0.0</v>
      </c>
      <c r="S300" s="1" t="s">
        <v>52</v>
      </c>
    </row>
    <row r="301" ht="15.0" customHeight="1">
      <c r="B301" s="6">
        <f t="shared" si="1"/>
        <v>299</v>
      </c>
      <c r="C301" s="1" t="s">
        <v>584</v>
      </c>
      <c r="D301" s="1" t="s">
        <v>43</v>
      </c>
      <c r="E301" s="1" t="s">
        <v>584</v>
      </c>
      <c r="F301" s="1" t="s">
        <v>585</v>
      </c>
      <c r="G301" s="1" t="s">
        <v>318</v>
      </c>
      <c r="H301" s="6">
        <v>2001.0</v>
      </c>
      <c r="I301" s="1" t="s">
        <v>121</v>
      </c>
      <c r="J301" s="1" t="s">
        <v>122</v>
      </c>
      <c r="K301" s="1" t="s">
        <v>123</v>
      </c>
      <c r="M301" s="7">
        <v>3.0E8</v>
      </c>
      <c r="N301" s="7">
        <v>0.0</v>
      </c>
      <c r="O301" s="8">
        <v>44184.0</v>
      </c>
      <c r="P301" s="7">
        <v>4.6339637449E8</v>
      </c>
      <c r="Q301" s="7">
        <v>2.8610481094E8</v>
      </c>
      <c r="R301" s="7">
        <v>0.43</v>
      </c>
      <c r="S301" s="1" t="s">
        <v>52</v>
      </c>
    </row>
    <row r="302" ht="15.0" customHeight="1">
      <c r="B302" s="6">
        <f t="shared" si="1"/>
        <v>300</v>
      </c>
      <c r="C302" s="1" t="s">
        <v>586</v>
      </c>
      <c r="D302" s="1" t="s">
        <v>43</v>
      </c>
      <c r="E302" s="1" t="s">
        <v>586</v>
      </c>
      <c r="F302" s="1" t="s">
        <v>587</v>
      </c>
      <c r="G302" s="1" t="s">
        <v>318</v>
      </c>
      <c r="H302" s="6">
        <v>2000.0</v>
      </c>
      <c r="I302" s="1" t="s">
        <v>150</v>
      </c>
      <c r="J302" s="1" t="s">
        <v>150</v>
      </c>
      <c r="K302" s="1" t="s">
        <v>151</v>
      </c>
      <c r="M302" s="7">
        <v>3.3986E7</v>
      </c>
      <c r="N302" s="7">
        <v>0.0</v>
      </c>
      <c r="O302" s="8">
        <v>45370.0</v>
      </c>
      <c r="P302" s="7">
        <v>3.944052948E7</v>
      </c>
      <c r="Q302" s="7">
        <v>3.6115022E7</v>
      </c>
      <c r="R302" s="7">
        <v>0.0</v>
      </c>
      <c r="S302" s="1" t="s">
        <v>52</v>
      </c>
    </row>
    <row r="303" ht="15.0" customHeight="1">
      <c r="B303" s="6">
        <f t="shared" si="1"/>
        <v>301</v>
      </c>
      <c r="C303" s="1" t="s">
        <v>588</v>
      </c>
      <c r="D303" s="1" t="s">
        <v>43</v>
      </c>
      <c r="E303" s="1" t="s">
        <v>588</v>
      </c>
      <c r="F303" s="1" t="s">
        <v>190</v>
      </c>
      <c r="G303" s="1" t="s">
        <v>318</v>
      </c>
      <c r="H303" s="6">
        <v>2001.0</v>
      </c>
      <c r="I303" s="1" t="s">
        <v>121</v>
      </c>
      <c r="J303" s="1" t="s">
        <v>122</v>
      </c>
      <c r="K303" s="1" t="s">
        <v>123</v>
      </c>
      <c r="M303" s="7">
        <v>4.3154458E7</v>
      </c>
      <c r="N303" s="7">
        <v>0.0</v>
      </c>
      <c r="O303" s="8">
        <v>43100.0</v>
      </c>
      <c r="P303" s="7">
        <v>7.764037845E7</v>
      </c>
      <c r="Q303" s="7">
        <v>3.961963568E7</v>
      </c>
      <c r="R303" s="7">
        <v>0.12</v>
      </c>
      <c r="S303" s="1" t="s">
        <v>52</v>
      </c>
    </row>
    <row r="304" ht="15.0" customHeight="1">
      <c r="B304" s="6">
        <f t="shared" si="1"/>
        <v>302</v>
      </c>
      <c r="C304" s="1" t="s">
        <v>589</v>
      </c>
      <c r="D304" s="1" t="s">
        <v>43</v>
      </c>
      <c r="E304" s="1" t="s">
        <v>589</v>
      </c>
      <c r="F304" s="1" t="s">
        <v>590</v>
      </c>
      <c r="G304" s="1" t="s">
        <v>318</v>
      </c>
      <c r="H304" s="6">
        <v>2000.0</v>
      </c>
      <c r="I304" s="1" t="s">
        <v>121</v>
      </c>
      <c r="J304" s="1" t="s">
        <v>122</v>
      </c>
      <c r="K304" s="1" t="s">
        <v>127</v>
      </c>
      <c r="M304" s="7">
        <v>3.0E8</v>
      </c>
      <c r="N304" s="7">
        <v>0.0</v>
      </c>
      <c r="O304" s="8">
        <v>42347.0</v>
      </c>
      <c r="P304" s="7">
        <v>6.6996480663E8</v>
      </c>
      <c r="Q304" s="7">
        <v>3.0948464931E8</v>
      </c>
      <c r="R304" s="7">
        <v>-0.02</v>
      </c>
      <c r="S304" s="1" t="s">
        <v>52</v>
      </c>
    </row>
    <row r="305" ht="15.0" customHeight="1">
      <c r="B305" s="6">
        <f t="shared" si="1"/>
        <v>303</v>
      </c>
      <c r="C305" s="1" t="s">
        <v>591</v>
      </c>
      <c r="D305" s="1" t="s">
        <v>43</v>
      </c>
      <c r="E305" s="1" t="s">
        <v>591</v>
      </c>
      <c r="F305" s="1" t="s">
        <v>176</v>
      </c>
      <c r="G305" s="1" t="s">
        <v>318</v>
      </c>
      <c r="H305" s="6">
        <v>2001.0</v>
      </c>
      <c r="I305" s="1" t="s">
        <v>121</v>
      </c>
      <c r="J305" s="1" t="s">
        <v>122</v>
      </c>
      <c r="K305" s="1" t="s">
        <v>123</v>
      </c>
      <c r="M305" s="7">
        <v>2.0E8</v>
      </c>
      <c r="N305" s="7">
        <v>0.0</v>
      </c>
      <c r="O305" s="8">
        <v>44012.0</v>
      </c>
      <c r="P305" s="7">
        <v>5.5333091499E8</v>
      </c>
      <c r="Q305" s="7">
        <v>1.9478384682E8</v>
      </c>
      <c r="R305" s="7">
        <v>0.06</v>
      </c>
      <c r="S305" s="1" t="s">
        <v>52</v>
      </c>
    </row>
    <row r="306" ht="15.0" customHeight="1">
      <c r="B306" s="6">
        <f t="shared" si="1"/>
        <v>304</v>
      </c>
      <c r="C306" s="1" t="s">
        <v>592</v>
      </c>
      <c r="D306" s="1" t="s">
        <v>43</v>
      </c>
      <c r="E306" s="1" t="s">
        <v>592</v>
      </c>
      <c r="F306" s="1" t="s">
        <v>537</v>
      </c>
      <c r="G306" s="1" t="s">
        <v>318</v>
      </c>
      <c r="H306" s="6">
        <v>2001.0</v>
      </c>
      <c r="I306" s="1" t="s">
        <v>121</v>
      </c>
      <c r="J306" s="1" t="s">
        <v>92</v>
      </c>
      <c r="K306" s="1" t="s">
        <v>593</v>
      </c>
      <c r="M306" s="7">
        <v>8.0E7</v>
      </c>
      <c r="N306" s="7">
        <v>0.0</v>
      </c>
      <c r="O306" s="8">
        <v>40816.0</v>
      </c>
      <c r="P306" s="7">
        <v>1.46903688E8</v>
      </c>
      <c r="Q306" s="7">
        <v>8.0E7</v>
      </c>
      <c r="R306" s="7">
        <v>0.0</v>
      </c>
      <c r="S306" s="1" t="s">
        <v>52</v>
      </c>
    </row>
    <row r="307" ht="15.0" customHeight="1">
      <c r="B307" s="6">
        <f t="shared" si="1"/>
        <v>305</v>
      </c>
      <c r="C307" s="1" t="s">
        <v>594</v>
      </c>
      <c r="D307" s="1" t="s">
        <v>43</v>
      </c>
      <c r="E307" s="1" t="s">
        <v>594</v>
      </c>
      <c r="F307" s="1" t="s">
        <v>383</v>
      </c>
      <c r="G307" s="1" t="s">
        <v>318</v>
      </c>
      <c r="H307" s="6">
        <v>2001.0</v>
      </c>
      <c r="I307" s="1" t="s">
        <v>121</v>
      </c>
      <c r="J307" s="1" t="s">
        <v>92</v>
      </c>
      <c r="K307" s="1" t="s">
        <v>93</v>
      </c>
      <c r="M307" s="7">
        <v>2.2E8</v>
      </c>
      <c r="N307" s="7">
        <v>0.0</v>
      </c>
      <c r="O307" s="8">
        <v>42004.0</v>
      </c>
      <c r="P307" s="7">
        <v>4.13276527E8</v>
      </c>
      <c r="Q307" s="7">
        <v>2.2E8</v>
      </c>
      <c r="R307" s="7">
        <v>0.0</v>
      </c>
      <c r="S307" s="1" t="s">
        <v>52</v>
      </c>
    </row>
    <row r="308" ht="15.0" hidden="1" customHeight="1">
      <c r="B308" s="6">
        <f t="shared" si="1"/>
        <v>306</v>
      </c>
      <c r="C308" s="1" t="s">
        <v>595</v>
      </c>
      <c r="D308" s="1" t="s">
        <v>43</v>
      </c>
      <c r="E308" s="1" t="s">
        <v>595</v>
      </c>
      <c r="F308" s="1" t="s">
        <v>140</v>
      </c>
      <c r="G308" s="1" t="s">
        <v>318</v>
      </c>
      <c r="H308" s="6">
        <v>2001.0</v>
      </c>
      <c r="I308" s="1" t="s">
        <v>121</v>
      </c>
      <c r="J308" s="1" t="s">
        <v>122</v>
      </c>
      <c r="K308" s="1" t="s">
        <v>127</v>
      </c>
      <c r="M308" s="7">
        <v>3.0E8</v>
      </c>
      <c r="N308" s="7">
        <v>0.0</v>
      </c>
      <c r="O308" s="8">
        <v>41820.0</v>
      </c>
      <c r="P308" s="7">
        <v>8.276757454886E8</v>
      </c>
      <c r="Q308" s="7">
        <v>3.0038250501E8</v>
      </c>
      <c r="R308" s="7">
        <v>0.33</v>
      </c>
      <c r="S308" s="1" t="s">
        <v>45</v>
      </c>
    </row>
    <row r="309" ht="15.0" customHeight="1">
      <c r="B309" s="6">
        <f t="shared" si="1"/>
        <v>307</v>
      </c>
      <c r="C309" s="1" t="s">
        <v>596</v>
      </c>
      <c r="D309" s="1" t="s">
        <v>43</v>
      </c>
      <c r="E309" s="1" t="s">
        <v>596</v>
      </c>
      <c r="F309" s="1" t="s">
        <v>547</v>
      </c>
      <c r="G309" s="1" t="s">
        <v>318</v>
      </c>
      <c r="H309" s="6">
        <v>2002.0</v>
      </c>
      <c r="I309" s="1" t="s">
        <v>126</v>
      </c>
      <c r="J309" s="1" t="s">
        <v>126</v>
      </c>
      <c r="K309" s="1" t="s">
        <v>126</v>
      </c>
      <c r="M309" s="7">
        <v>2.1119734E7</v>
      </c>
      <c r="N309" s="7">
        <v>49620.0</v>
      </c>
      <c r="O309" s="8">
        <v>46022.0</v>
      </c>
      <c r="P309" s="7">
        <v>2.1562069E7</v>
      </c>
      <c r="Q309" s="7">
        <v>2.1119734E7</v>
      </c>
      <c r="R309" s="7">
        <v>0.0</v>
      </c>
      <c r="S309" s="1" t="s">
        <v>52</v>
      </c>
    </row>
    <row r="310" ht="15.0" hidden="1" customHeight="1">
      <c r="B310" s="6">
        <f t="shared" si="1"/>
        <v>308</v>
      </c>
      <c r="C310" s="1" t="s">
        <v>597</v>
      </c>
      <c r="D310" s="1" t="s">
        <v>43</v>
      </c>
      <c r="E310" s="1" t="s">
        <v>597</v>
      </c>
      <c r="F310" s="1" t="s">
        <v>125</v>
      </c>
      <c r="G310" s="1" t="s">
        <v>318</v>
      </c>
      <c r="H310" s="6">
        <v>2002.0</v>
      </c>
      <c r="I310" s="1" t="s">
        <v>121</v>
      </c>
      <c r="J310" s="1" t="s">
        <v>122</v>
      </c>
      <c r="K310" s="1" t="s">
        <v>127</v>
      </c>
      <c r="M310" s="7">
        <v>3.0E8</v>
      </c>
      <c r="N310" s="7">
        <v>0.0</v>
      </c>
      <c r="O310" s="8">
        <v>44181.0</v>
      </c>
      <c r="P310" s="7">
        <v>4.729351558018E8</v>
      </c>
      <c r="Q310" s="7">
        <v>2.681147028192E8</v>
      </c>
      <c r="R310" s="7">
        <v>-0.4447</v>
      </c>
      <c r="S310" s="1" t="s">
        <v>45</v>
      </c>
    </row>
    <row r="311" ht="15.0" customHeight="1">
      <c r="B311" s="6">
        <f t="shared" si="1"/>
        <v>309</v>
      </c>
      <c r="C311" s="1" t="s">
        <v>598</v>
      </c>
      <c r="D311" s="1" t="s">
        <v>43</v>
      </c>
      <c r="E311" s="1" t="s">
        <v>598</v>
      </c>
      <c r="F311" s="1" t="s">
        <v>545</v>
      </c>
      <c r="G311" s="1" t="s">
        <v>318</v>
      </c>
      <c r="H311" s="6">
        <v>2001.0</v>
      </c>
      <c r="I311" s="1" t="s">
        <v>121</v>
      </c>
      <c r="J311" s="1" t="s">
        <v>122</v>
      </c>
      <c r="K311" s="1" t="s">
        <v>123</v>
      </c>
      <c r="M311" s="7">
        <v>1.0E8</v>
      </c>
      <c r="N311" s="7">
        <v>0.0</v>
      </c>
      <c r="O311" s="8">
        <v>42916.0</v>
      </c>
      <c r="P311" s="7">
        <v>1.19982764E8</v>
      </c>
      <c r="Q311" s="7">
        <v>7.9635956E7</v>
      </c>
      <c r="R311" s="7">
        <v>0.0</v>
      </c>
      <c r="S311" s="1" t="s">
        <v>52</v>
      </c>
    </row>
    <row r="312" ht="15.0" customHeight="1">
      <c r="B312" s="6">
        <f t="shared" si="1"/>
        <v>310</v>
      </c>
      <c r="C312" s="1" t="s">
        <v>599</v>
      </c>
      <c r="D312" s="1" t="s">
        <v>43</v>
      </c>
      <c r="E312" s="1" t="s">
        <v>599</v>
      </c>
      <c r="F312" s="1" t="s">
        <v>258</v>
      </c>
      <c r="G312" s="1" t="s">
        <v>318</v>
      </c>
      <c r="H312" s="6">
        <v>2002.0</v>
      </c>
      <c r="I312" s="1" t="s">
        <v>121</v>
      </c>
      <c r="J312" s="1" t="s">
        <v>122</v>
      </c>
      <c r="K312" s="1" t="s">
        <v>127</v>
      </c>
      <c r="M312" s="7">
        <v>3.0E8</v>
      </c>
      <c r="N312" s="7">
        <v>0.0</v>
      </c>
      <c r="O312" s="8">
        <v>43555.0</v>
      </c>
      <c r="P312" s="7">
        <v>7.3313122816E8</v>
      </c>
      <c r="Q312" s="7">
        <v>3.1319249E8</v>
      </c>
      <c r="R312" s="7">
        <v>0.0</v>
      </c>
      <c r="S312" s="1" t="s">
        <v>52</v>
      </c>
    </row>
    <row r="313" ht="15.0" customHeight="1">
      <c r="B313" s="6">
        <f t="shared" si="1"/>
        <v>311</v>
      </c>
      <c r="C313" s="1" t="s">
        <v>600</v>
      </c>
      <c r="D313" s="1" t="s">
        <v>43</v>
      </c>
      <c r="E313" s="1" t="s">
        <v>601</v>
      </c>
      <c r="F313" s="1" t="s">
        <v>223</v>
      </c>
      <c r="G313" s="1" t="s">
        <v>318</v>
      </c>
      <c r="H313" s="6">
        <v>2001.0</v>
      </c>
      <c r="I313" s="1" t="s">
        <v>121</v>
      </c>
      <c r="J313" s="1" t="s">
        <v>92</v>
      </c>
      <c r="K313" s="1" t="s">
        <v>575</v>
      </c>
      <c r="M313" s="7">
        <v>2.0E8</v>
      </c>
      <c r="N313" s="7">
        <v>0.0</v>
      </c>
      <c r="O313" s="8">
        <v>44538.0</v>
      </c>
      <c r="P313" s="7">
        <v>5.4022503075E8</v>
      </c>
      <c r="Q313" s="7">
        <v>1.73047901E8</v>
      </c>
      <c r="R313" s="7">
        <v>0.0</v>
      </c>
      <c r="S313" s="1" t="s">
        <v>52</v>
      </c>
    </row>
    <row r="314" ht="15.0" customHeight="1">
      <c r="B314" s="6">
        <f t="shared" si="1"/>
        <v>312</v>
      </c>
      <c r="C314" s="1" t="s">
        <v>602</v>
      </c>
      <c r="D314" s="1" t="s">
        <v>43</v>
      </c>
      <c r="E314" s="1" t="s">
        <v>602</v>
      </c>
      <c r="F314" s="1" t="s">
        <v>525</v>
      </c>
      <c r="G314" s="1" t="s">
        <v>318</v>
      </c>
      <c r="H314" s="6">
        <v>2002.0</v>
      </c>
      <c r="I314" s="1" t="s">
        <v>121</v>
      </c>
      <c r="J314" s="1" t="s">
        <v>122</v>
      </c>
      <c r="K314" s="1" t="s">
        <v>123</v>
      </c>
      <c r="M314" s="7">
        <v>3.0E8</v>
      </c>
      <c r="N314" s="7">
        <v>0.0</v>
      </c>
      <c r="O314" s="8">
        <v>43830.0</v>
      </c>
      <c r="P314" s="7">
        <v>4.31757297E8</v>
      </c>
      <c r="Q314" s="7">
        <v>2.228581232E8</v>
      </c>
      <c r="R314" s="7">
        <v>0.0</v>
      </c>
      <c r="S314" s="1" t="s">
        <v>52</v>
      </c>
    </row>
    <row r="315" ht="15.0" customHeight="1">
      <c r="B315" s="6">
        <f t="shared" si="1"/>
        <v>313</v>
      </c>
      <c r="C315" s="1" t="s">
        <v>603</v>
      </c>
      <c r="D315" s="1" t="s">
        <v>43</v>
      </c>
      <c r="E315" s="1" t="s">
        <v>603</v>
      </c>
      <c r="F315" s="1" t="s">
        <v>551</v>
      </c>
      <c r="G315" s="1" t="s">
        <v>318</v>
      </c>
      <c r="H315" s="6">
        <v>2001.0</v>
      </c>
      <c r="I315" s="1" t="s">
        <v>121</v>
      </c>
      <c r="J315" s="1" t="s">
        <v>122</v>
      </c>
      <c r="K315" s="1" t="s">
        <v>123</v>
      </c>
      <c r="M315" s="7">
        <v>5.91965E7</v>
      </c>
      <c r="N315" s="7">
        <v>0.0</v>
      </c>
      <c r="O315" s="8">
        <v>42004.0</v>
      </c>
      <c r="P315" s="7">
        <v>7.73796575064E7</v>
      </c>
      <c r="Q315" s="7">
        <v>5.91965E7</v>
      </c>
      <c r="R315" s="7">
        <v>0.0</v>
      </c>
      <c r="S315" s="1" t="s">
        <v>52</v>
      </c>
    </row>
    <row r="316" ht="15.0" customHeight="1">
      <c r="B316" s="6">
        <f t="shared" si="1"/>
        <v>314</v>
      </c>
      <c r="C316" s="1" t="s">
        <v>604</v>
      </c>
      <c r="D316" s="1" t="s">
        <v>43</v>
      </c>
      <c r="E316" s="1" t="s">
        <v>605</v>
      </c>
      <c r="F316" s="1" t="s">
        <v>606</v>
      </c>
      <c r="G316" s="1" t="s">
        <v>318</v>
      </c>
      <c r="H316" s="6">
        <v>1999.0</v>
      </c>
      <c r="I316" s="1" t="s">
        <v>150</v>
      </c>
      <c r="J316" s="1" t="s">
        <v>150</v>
      </c>
      <c r="K316" s="1" t="s">
        <v>123</v>
      </c>
      <c r="M316" s="7">
        <v>1.12206666E8</v>
      </c>
      <c r="N316" s="7">
        <v>0.0</v>
      </c>
      <c r="O316" s="8">
        <v>45276.0</v>
      </c>
      <c r="P316" s="7">
        <v>2.0351391146E8</v>
      </c>
      <c r="Q316" s="7">
        <v>1.2377799401E8</v>
      </c>
      <c r="R316" s="7">
        <v>-0.01</v>
      </c>
      <c r="S316" s="1" t="s">
        <v>52</v>
      </c>
    </row>
    <row r="317" ht="15.0" customHeight="1">
      <c r="B317" s="6">
        <f t="shared" si="1"/>
        <v>315</v>
      </c>
      <c r="C317" s="1" t="s">
        <v>607</v>
      </c>
      <c r="D317" s="1" t="s">
        <v>43</v>
      </c>
      <c r="E317" s="1" t="s">
        <v>607</v>
      </c>
      <c r="F317" s="1" t="s">
        <v>146</v>
      </c>
      <c r="G317" s="1" t="s">
        <v>318</v>
      </c>
      <c r="H317" s="6">
        <v>2000.0</v>
      </c>
      <c r="I317" s="1" t="s">
        <v>121</v>
      </c>
      <c r="J317" s="1" t="s">
        <v>122</v>
      </c>
      <c r="K317" s="1" t="s">
        <v>123</v>
      </c>
      <c r="M317" s="7">
        <v>1.0375E8</v>
      </c>
      <c r="N317" s="7">
        <v>0.0</v>
      </c>
      <c r="O317" s="8">
        <v>44196.0</v>
      </c>
      <c r="P317" s="7">
        <v>1.4336564425E8</v>
      </c>
      <c r="Q317" s="7">
        <v>9.11840687E7</v>
      </c>
      <c r="R317" s="7">
        <v>-0.38</v>
      </c>
      <c r="S317" s="1" t="s">
        <v>52</v>
      </c>
    </row>
    <row r="318" ht="15.0" customHeight="1">
      <c r="B318" s="6">
        <f t="shared" si="1"/>
        <v>316</v>
      </c>
      <c r="C318" s="1" t="s">
        <v>608</v>
      </c>
      <c r="D318" s="1" t="s">
        <v>43</v>
      </c>
      <c r="E318" s="1" t="s">
        <v>608</v>
      </c>
      <c r="F318" s="1" t="s">
        <v>587</v>
      </c>
      <c r="G318" s="1" t="s">
        <v>318</v>
      </c>
      <c r="H318" s="6">
        <v>2002.0</v>
      </c>
      <c r="I318" s="1" t="s">
        <v>121</v>
      </c>
      <c r="J318" s="1" t="s">
        <v>122</v>
      </c>
      <c r="K318" s="1" t="s">
        <v>123</v>
      </c>
      <c r="M318" s="7">
        <v>7.5E7</v>
      </c>
      <c r="N318" s="7">
        <v>0.0</v>
      </c>
      <c r="O318" s="8">
        <v>46079.0</v>
      </c>
      <c r="P318" s="7">
        <v>1.6631586227E8</v>
      </c>
      <c r="Q318" s="7">
        <v>8.4218317E7</v>
      </c>
      <c r="R318" s="7">
        <v>672581.0</v>
      </c>
      <c r="S318" s="1" t="s">
        <v>52</v>
      </c>
    </row>
    <row r="319" ht="15.0" customHeight="1">
      <c r="B319" s="6">
        <f t="shared" si="1"/>
        <v>317</v>
      </c>
      <c r="C319" s="1" t="s">
        <v>609</v>
      </c>
      <c r="D319" s="1" t="s">
        <v>43</v>
      </c>
      <c r="E319" s="1" t="s">
        <v>609</v>
      </c>
      <c r="F319" s="1" t="s">
        <v>383</v>
      </c>
      <c r="G319" s="1" t="s">
        <v>318</v>
      </c>
      <c r="H319" s="6">
        <v>2002.0</v>
      </c>
      <c r="I319" s="1" t="s">
        <v>121</v>
      </c>
      <c r="J319" s="1" t="s">
        <v>92</v>
      </c>
      <c r="K319" s="1" t="s">
        <v>573</v>
      </c>
      <c r="M319" s="7">
        <v>2.05156E8</v>
      </c>
      <c r="N319" s="7">
        <v>0.0</v>
      </c>
      <c r="O319" s="8">
        <v>40999.0</v>
      </c>
      <c r="P319" s="7">
        <v>2.55809373E8</v>
      </c>
      <c r="Q319" s="7">
        <v>1.48947262E8</v>
      </c>
      <c r="R319" s="7">
        <v>0.0</v>
      </c>
      <c r="S319" s="1" t="s">
        <v>52</v>
      </c>
    </row>
    <row r="320" ht="15.0" customHeight="1">
      <c r="B320" s="6">
        <f t="shared" si="1"/>
        <v>318</v>
      </c>
      <c r="C320" s="1" t="s">
        <v>610</v>
      </c>
      <c r="D320" s="1" t="s">
        <v>43</v>
      </c>
      <c r="E320" s="1" t="s">
        <v>610</v>
      </c>
      <c r="F320" s="1" t="s">
        <v>611</v>
      </c>
      <c r="G320" s="1" t="s">
        <v>318</v>
      </c>
      <c r="H320" s="6">
        <v>2003.0</v>
      </c>
      <c r="I320" s="1" t="s">
        <v>150</v>
      </c>
      <c r="J320" s="1" t="s">
        <v>150</v>
      </c>
      <c r="K320" s="1" t="s">
        <v>470</v>
      </c>
      <c r="M320" s="7">
        <v>6.935E7</v>
      </c>
      <c r="N320" s="7">
        <v>0.0</v>
      </c>
      <c r="O320" s="8">
        <v>43830.0</v>
      </c>
      <c r="P320" s="7">
        <v>2.160637003E7</v>
      </c>
      <c r="Q320" s="7">
        <v>6.29518082E7</v>
      </c>
      <c r="R320" s="7">
        <v>0.0</v>
      </c>
      <c r="S320" s="1" t="s">
        <v>52</v>
      </c>
    </row>
    <row r="321" ht="15.0" hidden="1" customHeight="1">
      <c r="B321" s="6">
        <f t="shared" si="1"/>
        <v>319</v>
      </c>
      <c r="C321" s="1" t="s">
        <v>612</v>
      </c>
      <c r="D321" s="1" t="s">
        <v>43</v>
      </c>
      <c r="E321" s="1" t="s">
        <v>613</v>
      </c>
      <c r="F321" s="1" t="s">
        <v>614</v>
      </c>
      <c r="G321" s="1" t="s">
        <v>318</v>
      </c>
      <c r="H321" s="6">
        <v>2003.0</v>
      </c>
      <c r="I321" s="1" t="s">
        <v>150</v>
      </c>
      <c r="J321" s="1" t="s">
        <v>150</v>
      </c>
      <c r="K321" s="1" t="s">
        <v>470</v>
      </c>
      <c r="M321" s="7">
        <v>2.917661E7</v>
      </c>
      <c r="N321" s="7">
        <v>0.0</v>
      </c>
      <c r="O321" s="8">
        <v>42916.0</v>
      </c>
      <c r="P321" s="7">
        <v>230047.0</v>
      </c>
      <c r="Q321" s="7">
        <v>2.921446874E7</v>
      </c>
      <c r="R321" s="7">
        <v>0.26</v>
      </c>
      <c r="S321" s="1" t="s">
        <v>118</v>
      </c>
    </row>
    <row r="322" ht="15.0" customHeight="1">
      <c r="B322" s="6">
        <f t="shared" si="1"/>
        <v>320</v>
      </c>
      <c r="C322" s="1" t="s">
        <v>615</v>
      </c>
      <c r="D322" s="1" t="s">
        <v>43</v>
      </c>
      <c r="E322" s="1" t="s">
        <v>615</v>
      </c>
      <c r="F322" s="1" t="s">
        <v>37</v>
      </c>
      <c r="G322" s="1" t="s">
        <v>318</v>
      </c>
      <c r="H322" s="6">
        <v>2002.0</v>
      </c>
      <c r="I322" s="1" t="s">
        <v>121</v>
      </c>
      <c r="J322" s="1" t="s">
        <v>274</v>
      </c>
      <c r="K322" s="1" t="s">
        <v>173</v>
      </c>
      <c r="M322" s="7">
        <v>3.0E8</v>
      </c>
      <c r="N322" s="7">
        <v>0.0</v>
      </c>
      <c r="O322" s="8">
        <v>43738.0</v>
      </c>
      <c r="P322" s="7">
        <v>4.7297212542E8</v>
      </c>
      <c r="Q322" s="7">
        <v>2.64873777E8</v>
      </c>
      <c r="R322" s="7">
        <v>0.0</v>
      </c>
      <c r="S322" s="1" t="s">
        <v>52</v>
      </c>
    </row>
    <row r="323" ht="15.0" customHeight="1">
      <c r="B323" s="6">
        <f t="shared" si="1"/>
        <v>321</v>
      </c>
      <c r="C323" s="1" t="s">
        <v>616</v>
      </c>
      <c r="D323" s="1" t="s">
        <v>43</v>
      </c>
      <c r="E323" s="1" t="s">
        <v>616</v>
      </c>
      <c r="F323" s="1" t="s">
        <v>176</v>
      </c>
      <c r="G323" s="1" t="s">
        <v>318</v>
      </c>
      <c r="H323" s="6">
        <v>2002.0</v>
      </c>
      <c r="I323" s="1" t="s">
        <v>121</v>
      </c>
      <c r="J323" s="1" t="s">
        <v>515</v>
      </c>
      <c r="K323" s="1" t="s">
        <v>583</v>
      </c>
      <c r="M323" s="7">
        <v>7.5E7</v>
      </c>
      <c r="N323" s="7">
        <v>0.0</v>
      </c>
      <c r="O323" s="8">
        <v>44196.0</v>
      </c>
      <c r="P323" s="7">
        <v>9.310895131E7</v>
      </c>
      <c r="Q323" s="7">
        <v>6.919491456E7</v>
      </c>
      <c r="R323" s="7">
        <v>0.44</v>
      </c>
      <c r="S323" s="1" t="s">
        <v>52</v>
      </c>
    </row>
    <row r="324" ht="15.0" customHeight="1">
      <c r="B324" s="6">
        <f t="shared" si="1"/>
        <v>322</v>
      </c>
      <c r="C324" s="1" t="s">
        <v>617</v>
      </c>
      <c r="D324" s="1" t="s">
        <v>43</v>
      </c>
      <c r="E324" s="1" t="s">
        <v>617</v>
      </c>
      <c r="F324" s="1" t="s">
        <v>618</v>
      </c>
      <c r="G324" s="1" t="s">
        <v>318</v>
      </c>
      <c r="H324" s="6">
        <v>2003.0</v>
      </c>
      <c r="I324" s="1" t="s">
        <v>150</v>
      </c>
      <c r="J324" s="1" t="s">
        <v>150</v>
      </c>
      <c r="K324" s="1" t="s">
        <v>470</v>
      </c>
      <c r="M324" s="7">
        <v>7.5E7</v>
      </c>
      <c r="N324" s="7">
        <v>0.0</v>
      </c>
      <c r="O324" s="8">
        <v>44629.0</v>
      </c>
      <c r="P324" s="7">
        <v>1.0891601803E8</v>
      </c>
      <c r="Q324" s="7">
        <v>7.267965683E7</v>
      </c>
      <c r="R324" s="7">
        <v>0.0</v>
      </c>
      <c r="S324" s="1" t="s">
        <v>52</v>
      </c>
    </row>
    <row r="325" ht="15.0" customHeight="1">
      <c r="B325" s="6">
        <f t="shared" si="1"/>
        <v>323</v>
      </c>
      <c r="C325" s="1" t="s">
        <v>619</v>
      </c>
      <c r="D325" s="1" t="s">
        <v>43</v>
      </c>
      <c r="E325" s="1" t="s">
        <v>619</v>
      </c>
      <c r="F325" s="1" t="s">
        <v>537</v>
      </c>
      <c r="G325" s="1" t="s">
        <v>318</v>
      </c>
      <c r="H325" s="6">
        <v>2003.0</v>
      </c>
      <c r="I325" s="1" t="s">
        <v>121</v>
      </c>
      <c r="J325" s="1" t="s">
        <v>92</v>
      </c>
      <c r="K325" s="1" t="s">
        <v>593</v>
      </c>
      <c r="M325" s="7">
        <v>8.0E7</v>
      </c>
      <c r="N325" s="7">
        <v>0.0</v>
      </c>
      <c r="O325" s="8">
        <v>42852.0</v>
      </c>
      <c r="P325" s="7">
        <v>1.14506209E8</v>
      </c>
      <c r="Q325" s="7">
        <v>8.0E7</v>
      </c>
      <c r="R325" s="7">
        <v>0.0</v>
      </c>
      <c r="S325" s="1" t="s">
        <v>52</v>
      </c>
    </row>
    <row r="326" ht="15.0" customHeight="1">
      <c r="B326" s="6">
        <f t="shared" si="1"/>
        <v>324</v>
      </c>
      <c r="C326" s="1" t="s">
        <v>620</v>
      </c>
      <c r="D326" s="1" t="s">
        <v>43</v>
      </c>
      <c r="E326" s="1" t="s">
        <v>620</v>
      </c>
      <c r="F326" s="1" t="s">
        <v>383</v>
      </c>
      <c r="G326" s="1" t="s">
        <v>318</v>
      </c>
      <c r="H326" s="6">
        <v>2004.0</v>
      </c>
      <c r="I326" s="1" t="s">
        <v>121</v>
      </c>
      <c r="J326" s="1" t="s">
        <v>92</v>
      </c>
      <c r="K326" s="1" t="s">
        <v>93</v>
      </c>
      <c r="M326" s="7">
        <v>1.0E8</v>
      </c>
      <c r="N326" s="7">
        <v>0.0</v>
      </c>
      <c r="O326" s="8">
        <v>42003.0</v>
      </c>
      <c r="P326" s="7">
        <v>1.14405096E8</v>
      </c>
      <c r="Q326" s="7">
        <v>7.6344737E7</v>
      </c>
      <c r="R326" s="7">
        <v>0.0</v>
      </c>
      <c r="S326" s="1" t="s">
        <v>52</v>
      </c>
    </row>
    <row r="327" ht="15.0" customHeight="1">
      <c r="B327" s="6">
        <f t="shared" si="1"/>
        <v>325</v>
      </c>
      <c r="C327" s="1" t="s">
        <v>621</v>
      </c>
      <c r="D327" s="1" t="s">
        <v>43</v>
      </c>
      <c r="E327" s="1" t="s">
        <v>622</v>
      </c>
      <c r="F327" s="1" t="s">
        <v>223</v>
      </c>
      <c r="G327" s="1" t="s">
        <v>318</v>
      </c>
      <c r="H327" s="6">
        <v>2003.0</v>
      </c>
      <c r="I327" s="1" t="s">
        <v>121</v>
      </c>
      <c r="J327" s="1" t="s">
        <v>92</v>
      </c>
      <c r="K327" s="1" t="s">
        <v>575</v>
      </c>
      <c r="M327" s="7">
        <v>1.0E8</v>
      </c>
      <c r="N327" s="7">
        <v>0.0</v>
      </c>
      <c r="O327" s="8">
        <v>44201.0</v>
      </c>
      <c r="P327" s="7">
        <v>1.627035234E8</v>
      </c>
      <c r="Q327" s="7">
        <v>8.1055777E7</v>
      </c>
      <c r="R327" s="7">
        <v>0.46</v>
      </c>
      <c r="S327" s="1" t="s">
        <v>52</v>
      </c>
    </row>
    <row r="328" ht="15.0" customHeight="1">
      <c r="B328" s="6">
        <f t="shared" si="1"/>
        <v>326</v>
      </c>
      <c r="C328" s="1" t="s">
        <v>623</v>
      </c>
      <c r="D328" s="1" t="s">
        <v>43</v>
      </c>
      <c r="E328" s="1" t="s">
        <v>623</v>
      </c>
      <c r="F328" s="1" t="s">
        <v>214</v>
      </c>
      <c r="G328" s="1" t="s">
        <v>318</v>
      </c>
      <c r="H328" s="6">
        <v>2003.0</v>
      </c>
      <c r="I328" s="1" t="s">
        <v>121</v>
      </c>
      <c r="J328" s="1" t="s">
        <v>122</v>
      </c>
      <c r="K328" s="1" t="s">
        <v>123</v>
      </c>
      <c r="M328" s="7">
        <v>1.25E8</v>
      </c>
      <c r="N328" s="7">
        <v>3408475.0</v>
      </c>
      <c r="O328" s="8">
        <v>46112.0</v>
      </c>
      <c r="P328" s="7">
        <v>2.7009099E8</v>
      </c>
      <c r="Q328" s="7">
        <v>1.00503948E8</v>
      </c>
      <c r="R328" s="7">
        <v>3.6346733E7</v>
      </c>
      <c r="S328" s="1" t="s">
        <v>52</v>
      </c>
    </row>
    <row r="329" ht="15.0" customHeight="1">
      <c r="B329" s="6">
        <f t="shared" si="1"/>
        <v>327</v>
      </c>
      <c r="C329" s="1" t="s">
        <v>624</v>
      </c>
      <c r="D329" s="1" t="s">
        <v>43</v>
      </c>
      <c r="E329" s="1" t="s">
        <v>624</v>
      </c>
      <c r="F329" s="1" t="s">
        <v>167</v>
      </c>
      <c r="G329" s="1" t="s">
        <v>318</v>
      </c>
      <c r="H329" s="6">
        <v>2004.0</v>
      </c>
      <c r="I329" s="1" t="s">
        <v>126</v>
      </c>
      <c r="J329" s="1" t="s">
        <v>126</v>
      </c>
      <c r="K329" s="1" t="s">
        <v>123</v>
      </c>
      <c r="M329" s="7">
        <v>7.5E7</v>
      </c>
      <c r="N329" s="7">
        <v>0.0</v>
      </c>
      <c r="O329" s="8">
        <v>44561.0</v>
      </c>
      <c r="P329" s="7">
        <v>1.3659457864E8</v>
      </c>
      <c r="Q329" s="7">
        <v>7.498621161E7</v>
      </c>
      <c r="R329" s="7">
        <v>-0.01</v>
      </c>
      <c r="S329" s="1" t="s">
        <v>52</v>
      </c>
    </row>
    <row r="330" ht="15.0" customHeight="1">
      <c r="B330" s="6">
        <f t="shared" si="1"/>
        <v>328</v>
      </c>
      <c r="C330" s="1" t="s">
        <v>625</v>
      </c>
      <c r="D330" s="1" t="s">
        <v>43</v>
      </c>
      <c r="E330" s="1" t="s">
        <v>625</v>
      </c>
      <c r="F330" s="1" t="s">
        <v>131</v>
      </c>
      <c r="G330" s="1" t="s">
        <v>318</v>
      </c>
      <c r="H330" s="6">
        <v>2003.0</v>
      </c>
      <c r="I330" s="1" t="s">
        <v>121</v>
      </c>
      <c r="J330" s="1" t="s">
        <v>122</v>
      </c>
      <c r="K330" s="1" t="s">
        <v>123</v>
      </c>
      <c r="M330" s="7">
        <v>1.0E8</v>
      </c>
      <c r="N330" s="7">
        <v>0.0</v>
      </c>
      <c r="O330" s="8">
        <v>43555.0</v>
      </c>
      <c r="P330" s="7">
        <v>1.416306255E8</v>
      </c>
      <c r="Q330" s="7">
        <v>1.01386111E8</v>
      </c>
      <c r="R330" s="7">
        <v>0.0</v>
      </c>
      <c r="S330" s="1" t="s">
        <v>52</v>
      </c>
    </row>
    <row r="331" ht="15.0" customHeight="1">
      <c r="B331" s="6">
        <f t="shared" si="1"/>
        <v>329</v>
      </c>
      <c r="C331" s="1" t="s">
        <v>626</v>
      </c>
      <c r="D331" s="1" t="s">
        <v>43</v>
      </c>
      <c r="E331" s="1" t="s">
        <v>626</v>
      </c>
      <c r="F331" s="1" t="s">
        <v>627</v>
      </c>
      <c r="G331" s="1" t="s">
        <v>318</v>
      </c>
      <c r="H331" s="6">
        <v>2004.0</v>
      </c>
      <c r="I331" s="1" t="s">
        <v>121</v>
      </c>
      <c r="J331" s="1" t="s">
        <v>122</v>
      </c>
      <c r="K331" s="1" t="s">
        <v>123</v>
      </c>
      <c r="M331" s="7">
        <v>5.0E7</v>
      </c>
      <c r="N331" s="7">
        <v>0.0</v>
      </c>
      <c r="O331" s="8">
        <v>44439.0</v>
      </c>
      <c r="P331" s="7">
        <v>6312006.11</v>
      </c>
      <c r="Q331" s="7">
        <v>4.510261146E7</v>
      </c>
      <c r="R331" s="7">
        <v>0.0</v>
      </c>
      <c r="S331" s="1" t="s">
        <v>52</v>
      </c>
    </row>
    <row r="332" ht="15.0" customHeight="1">
      <c r="B332" s="6">
        <f t="shared" si="1"/>
        <v>330</v>
      </c>
      <c r="C332" s="1" t="s">
        <v>628</v>
      </c>
      <c r="D332" s="1" t="s">
        <v>43</v>
      </c>
      <c r="E332" s="1" t="s">
        <v>629</v>
      </c>
      <c r="F332" s="1" t="s">
        <v>630</v>
      </c>
      <c r="G332" s="1" t="s">
        <v>318</v>
      </c>
      <c r="H332" s="6">
        <v>2004.0</v>
      </c>
      <c r="I332" s="1" t="s">
        <v>150</v>
      </c>
      <c r="J332" s="1" t="s">
        <v>150</v>
      </c>
      <c r="K332" s="1" t="s">
        <v>470</v>
      </c>
      <c r="M332" s="7">
        <v>5.0E7</v>
      </c>
      <c r="N332" s="7">
        <v>0.0</v>
      </c>
      <c r="O332" s="8">
        <v>45291.0</v>
      </c>
      <c r="P332" s="7">
        <v>8.23397832E7</v>
      </c>
      <c r="Q332" s="7">
        <v>5.0E7</v>
      </c>
      <c r="R332" s="7">
        <v>0.0</v>
      </c>
      <c r="S332" s="1" t="s">
        <v>52</v>
      </c>
    </row>
    <row r="333" ht="15.0" customHeight="1">
      <c r="B333" s="6">
        <f t="shared" si="1"/>
        <v>331</v>
      </c>
      <c r="C333" s="1" t="s">
        <v>631</v>
      </c>
      <c r="D333" s="1" t="s">
        <v>43</v>
      </c>
      <c r="E333" s="1" t="s">
        <v>631</v>
      </c>
      <c r="F333" s="1" t="s">
        <v>143</v>
      </c>
      <c r="G333" s="1" t="s">
        <v>318</v>
      </c>
      <c r="H333" s="6">
        <v>2004.0</v>
      </c>
      <c r="I333" s="1" t="s">
        <v>121</v>
      </c>
      <c r="J333" s="1" t="s">
        <v>122</v>
      </c>
      <c r="K333" s="1" t="s">
        <v>123</v>
      </c>
      <c r="M333" s="7">
        <v>2.989E7</v>
      </c>
      <c r="N333" s="7">
        <v>0.0</v>
      </c>
      <c r="O333" s="8">
        <v>43100.0</v>
      </c>
      <c r="P333" s="7">
        <v>4.4374647E7</v>
      </c>
      <c r="Q333" s="7">
        <v>2.7844247E7</v>
      </c>
      <c r="R333" s="7">
        <v>0.0</v>
      </c>
      <c r="S333" s="1" t="s">
        <v>52</v>
      </c>
    </row>
    <row r="334" ht="15.0" customHeight="1">
      <c r="B334" s="6">
        <f t="shared" si="1"/>
        <v>332</v>
      </c>
      <c r="C334" s="1" t="s">
        <v>632</v>
      </c>
      <c r="D334" s="1" t="s">
        <v>43</v>
      </c>
      <c r="E334" s="1" t="s">
        <v>633</v>
      </c>
      <c r="F334" s="1" t="s">
        <v>137</v>
      </c>
      <c r="G334" s="1" t="s">
        <v>318</v>
      </c>
      <c r="H334" s="6">
        <v>2004.0</v>
      </c>
      <c r="I334" s="1" t="s">
        <v>121</v>
      </c>
      <c r="J334" s="1" t="s">
        <v>122</v>
      </c>
      <c r="K334" s="1" t="s">
        <v>127</v>
      </c>
      <c r="M334" s="7">
        <v>1.0E8</v>
      </c>
      <c r="N334" s="7">
        <v>0.0</v>
      </c>
      <c r="O334" s="8">
        <v>44926.0</v>
      </c>
      <c r="P334" s="7">
        <v>1.72785179E8</v>
      </c>
      <c r="Q334" s="7">
        <v>8.5478735E7</v>
      </c>
      <c r="R334" s="7">
        <v>0.0</v>
      </c>
      <c r="S334" s="1" t="s">
        <v>52</v>
      </c>
    </row>
    <row r="335" ht="15.0" hidden="1" customHeight="1">
      <c r="B335" s="6">
        <f t="shared" si="1"/>
        <v>333</v>
      </c>
      <c r="C335" s="1" t="s">
        <v>634</v>
      </c>
      <c r="D335" s="1" t="s">
        <v>43</v>
      </c>
      <c r="E335" s="1" t="s">
        <v>634</v>
      </c>
      <c r="F335" s="1" t="s">
        <v>140</v>
      </c>
      <c r="G335" s="1" t="s">
        <v>318</v>
      </c>
      <c r="H335" s="6">
        <v>2005.0</v>
      </c>
      <c r="I335" s="1" t="s">
        <v>121</v>
      </c>
      <c r="J335" s="1" t="s">
        <v>122</v>
      </c>
      <c r="K335" s="1" t="s">
        <v>127</v>
      </c>
      <c r="M335" s="7">
        <v>1.0E8</v>
      </c>
      <c r="N335" s="7">
        <v>0.0</v>
      </c>
      <c r="O335" s="8">
        <v>44902.0</v>
      </c>
      <c r="P335" s="7">
        <v>1.5159388531E8</v>
      </c>
      <c r="Q335" s="7">
        <v>1.0214923964E8</v>
      </c>
      <c r="R335" s="7">
        <v>-0.28</v>
      </c>
      <c r="S335" s="1" t="s">
        <v>45</v>
      </c>
    </row>
    <row r="336" ht="15.0" customHeight="1">
      <c r="B336" s="6">
        <f t="shared" si="1"/>
        <v>334</v>
      </c>
      <c r="C336" s="1" t="s">
        <v>635</v>
      </c>
      <c r="D336" s="1" t="s">
        <v>43</v>
      </c>
      <c r="E336" s="1" t="s">
        <v>635</v>
      </c>
      <c r="F336" s="1" t="s">
        <v>154</v>
      </c>
      <c r="G336" s="1" t="s">
        <v>318</v>
      </c>
      <c r="H336" s="6">
        <v>2005.0</v>
      </c>
      <c r="I336" s="1" t="s">
        <v>121</v>
      </c>
      <c r="J336" s="1" t="s">
        <v>92</v>
      </c>
      <c r="K336" s="1" t="s">
        <v>93</v>
      </c>
      <c r="M336" s="7">
        <v>7.5E7</v>
      </c>
      <c r="N336" s="7">
        <v>0.0</v>
      </c>
      <c r="O336" s="8">
        <v>45647.0</v>
      </c>
      <c r="P336" s="7">
        <v>9.095175711E7</v>
      </c>
      <c r="Q336" s="7">
        <v>8.854517675E7</v>
      </c>
      <c r="R336" s="7">
        <v>0.0</v>
      </c>
      <c r="S336" s="1" t="s">
        <v>52</v>
      </c>
    </row>
    <row r="337" ht="15.0" customHeight="1">
      <c r="B337" s="6">
        <f t="shared" si="1"/>
        <v>335</v>
      </c>
      <c r="C337" s="1" t="s">
        <v>636</v>
      </c>
      <c r="D337" s="1" t="s">
        <v>43</v>
      </c>
      <c r="E337" s="1" t="s">
        <v>636</v>
      </c>
      <c r="F337" s="1" t="s">
        <v>522</v>
      </c>
      <c r="G337" s="1" t="s">
        <v>318</v>
      </c>
      <c r="H337" s="6">
        <v>2005.0</v>
      </c>
      <c r="I337" s="1" t="s">
        <v>121</v>
      </c>
      <c r="J337" s="1" t="s">
        <v>122</v>
      </c>
      <c r="K337" s="1" t="s">
        <v>123</v>
      </c>
      <c r="M337" s="7">
        <v>1.0E8</v>
      </c>
      <c r="N337" s="7">
        <v>0.0</v>
      </c>
      <c r="O337" s="8">
        <v>42004.0</v>
      </c>
      <c r="P337" s="7">
        <v>1.088636527671E8</v>
      </c>
      <c r="Q337" s="7">
        <v>9.5198505E7</v>
      </c>
      <c r="R337" s="7">
        <v>0.0</v>
      </c>
      <c r="S337" s="1" t="s">
        <v>52</v>
      </c>
    </row>
    <row r="338" ht="15.0" customHeight="1">
      <c r="B338" s="6">
        <f t="shared" si="1"/>
        <v>336</v>
      </c>
      <c r="C338" s="1" t="s">
        <v>637</v>
      </c>
      <c r="D338" s="1" t="s">
        <v>43</v>
      </c>
      <c r="E338" s="1" t="s">
        <v>637</v>
      </c>
      <c r="F338" s="1" t="s">
        <v>37</v>
      </c>
      <c r="G338" s="1" t="s">
        <v>318</v>
      </c>
      <c r="H338" s="6">
        <v>2005.0</v>
      </c>
      <c r="I338" s="1" t="s">
        <v>121</v>
      </c>
      <c r="J338" s="1" t="s">
        <v>274</v>
      </c>
      <c r="K338" s="1" t="s">
        <v>173</v>
      </c>
      <c r="M338" s="7">
        <v>2.0E8</v>
      </c>
      <c r="N338" s="7">
        <v>0.0</v>
      </c>
      <c r="O338" s="8">
        <v>45569.0</v>
      </c>
      <c r="P338" s="7">
        <v>2.9399552096E8</v>
      </c>
      <c r="Q338" s="7">
        <v>2.1905831946E8</v>
      </c>
      <c r="R338" s="7">
        <v>0.0</v>
      </c>
      <c r="S338" s="1" t="s">
        <v>52</v>
      </c>
    </row>
    <row r="339" ht="15.0" customHeight="1">
      <c r="B339" s="6">
        <f t="shared" si="1"/>
        <v>337</v>
      </c>
      <c r="C339" s="1" t="s">
        <v>638</v>
      </c>
      <c r="D339" s="1" t="s">
        <v>43</v>
      </c>
      <c r="E339" s="1" t="s">
        <v>638</v>
      </c>
      <c r="F339" s="1" t="s">
        <v>545</v>
      </c>
      <c r="G339" s="1" t="s">
        <v>318</v>
      </c>
      <c r="H339" s="6">
        <v>2005.0</v>
      </c>
      <c r="I339" s="1" t="s">
        <v>121</v>
      </c>
      <c r="J339" s="1" t="s">
        <v>122</v>
      </c>
      <c r="K339" s="1" t="s">
        <v>123</v>
      </c>
      <c r="M339" s="7">
        <v>8.8E7</v>
      </c>
      <c r="N339" s="7">
        <v>0.0</v>
      </c>
      <c r="O339" s="8">
        <v>42004.0</v>
      </c>
      <c r="P339" s="7">
        <v>7.72482441091E7</v>
      </c>
      <c r="Q339" s="7">
        <v>8.8076832E7</v>
      </c>
      <c r="R339" s="7">
        <v>0.0</v>
      </c>
      <c r="S339" s="1" t="s">
        <v>52</v>
      </c>
    </row>
    <row r="340" ht="15.0" customHeight="1">
      <c r="B340" s="6">
        <f t="shared" si="1"/>
        <v>338</v>
      </c>
      <c r="C340" s="1" t="s">
        <v>639</v>
      </c>
      <c r="D340" s="1" t="s">
        <v>43</v>
      </c>
      <c r="E340" s="1" t="s">
        <v>639</v>
      </c>
      <c r="F340" s="1" t="s">
        <v>580</v>
      </c>
      <c r="G340" s="1" t="s">
        <v>318</v>
      </c>
      <c r="H340" s="6">
        <v>2005.0</v>
      </c>
      <c r="I340" s="1" t="s">
        <v>121</v>
      </c>
      <c r="J340" s="1" t="s">
        <v>122</v>
      </c>
      <c r="K340" s="1" t="s">
        <v>127</v>
      </c>
      <c r="M340" s="7">
        <v>2.5E8</v>
      </c>
      <c r="N340" s="7">
        <v>0.0</v>
      </c>
      <c r="O340" s="8">
        <v>42004.0</v>
      </c>
      <c r="P340" s="7">
        <v>2.964825256165E8</v>
      </c>
      <c r="Q340" s="7">
        <v>2.27114531E8</v>
      </c>
      <c r="R340" s="7">
        <v>0.0</v>
      </c>
      <c r="S340" s="1" t="s">
        <v>52</v>
      </c>
    </row>
    <row r="341" ht="15.0" customHeight="1">
      <c r="B341" s="6">
        <f t="shared" si="1"/>
        <v>339</v>
      </c>
      <c r="C341" s="1" t="s">
        <v>640</v>
      </c>
      <c r="D341" s="1" t="s">
        <v>43</v>
      </c>
      <c r="E341" s="1" t="s">
        <v>640</v>
      </c>
      <c r="F341" s="1" t="s">
        <v>37</v>
      </c>
      <c r="G341" s="1" t="s">
        <v>318</v>
      </c>
      <c r="H341" s="6">
        <v>2005.0</v>
      </c>
      <c r="I341" s="1" t="s">
        <v>150</v>
      </c>
      <c r="J341" s="1" t="s">
        <v>274</v>
      </c>
      <c r="K341" s="1" t="s">
        <v>204</v>
      </c>
      <c r="M341" s="7">
        <v>5.0E7</v>
      </c>
      <c r="N341" s="7">
        <v>0.0</v>
      </c>
      <c r="O341" s="8">
        <v>45569.0</v>
      </c>
      <c r="P341" s="7">
        <v>7.437074139E7</v>
      </c>
      <c r="Q341" s="7">
        <v>5.664411835E7</v>
      </c>
      <c r="R341" s="7">
        <v>0.0</v>
      </c>
      <c r="S341" s="1" t="s">
        <v>52</v>
      </c>
    </row>
    <row r="342" ht="15.0" hidden="1" customHeight="1">
      <c r="B342" s="6">
        <f t="shared" si="1"/>
        <v>340</v>
      </c>
      <c r="C342" s="1" t="s">
        <v>641</v>
      </c>
      <c r="D342" s="1" t="s">
        <v>43</v>
      </c>
      <c r="E342" s="1" t="s">
        <v>641</v>
      </c>
      <c r="F342" s="1" t="s">
        <v>125</v>
      </c>
      <c r="G342" s="1" t="s">
        <v>318</v>
      </c>
      <c r="H342" s="6">
        <v>2005.0</v>
      </c>
      <c r="I342" s="1" t="s">
        <v>121</v>
      </c>
      <c r="J342" s="1" t="s">
        <v>122</v>
      </c>
      <c r="K342" s="1" t="s">
        <v>127</v>
      </c>
      <c r="M342" s="7">
        <v>1.9E8</v>
      </c>
      <c r="N342" s="7">
        <v>0.0</v>
      </c>
      <c r="O342" s="8">
        <v>45565.0</v>
      </c>
      <c r="P342" s="7">
        <v>2.4907822324E8</v>
      </c>
      <c r="Q342" s="7">
        <v>1.8193512006E8</v>
      </c>
      <c r="R342" s="7">
        <v>-0.1</v>
      </c>
      <c r="S342" s="1" t="s">
        <v>45</v>
      </c>
    </row>
    <row r="343" ht="15.0" customHeight="1">
      <c r="B343" s="6">
        <f t="shared" si="1"/>
        <v>341</v>
      </c>
      <c r="C343" s="1" t="s">
        <v>642</v>
      </c>
      <c r="D343" s="1" t="s">
        <v>43</v>
      </c>
      <c r="E343" s="1" t="s">
        <v>642</v>
      </c>
      <c r="F343" s="1" t="s">
        <v>182</v>
      </c>
      <c r="G343" s="1" t="s">
        <v>318</v>
      </c>
      <c r="H343" s="6">
        <v>2004.0</v>
      </c>
      <c r="I343" s="1" t="s">
        <v>121</v>
      </c>
      <c r="J343" s="1" t="s">
        <v>122</v>
      </c>
      <c r="K343" s="1" t="s">
        <v>127</v>
      </c>
      <c r="M343" s="7">
        <v>1.5E8</v>
      </c>
      <c r="N343" s="7">
        <v>1.6319564E7</v>
      </c>
      <c r="O343" s="8">
        <v>46112.0</v>
      </c>
      <c r="P343" s="7">
        <v>2.35834814E8</v>
      </c>
      <c r="Q343" s="7">
        <v>1.54361773E8</v>
      </c>
      <c r="R343" s="7">
        <v>2684868.0</v>
      </c>
      <c r="S343" s="1" t="s">
        <v>52</v>
      </c>
    </row>
    <row r="344" ht="15.0" customHeight="1">
      <c r="B344" s="6">
        <f t="shared" si="1"/>
        <v>342</v>
      </c>
      <c r="C344" s="1" t="s">
        <v>643</v>
      </c>
      <c r="D344" s="1" t="s">
        <v>43</v>
      </c>
      <c r="E344" s="1" t="s">
        <v>643</v>
      </c>
      <c r="F344" s="1" t="s">
        <v>176</v>
      </c>
      <c r="G344" s="1" t="s">
        <v>318</v>
      </c>
      <c r="H344" s="6">
        <v>2005.0</v>
      </c>
      <c r="I344" s="1" t="s">
        <v>121</v>
      </c>
      <c r="J344" s="1" t="s">
        <v>122</v>
      </c>
      <c r="K344" s="1" t="s">
        <v>123</v>
      </c>
      <c r="M344" s="7">
        <v>2.0E8</v>
      </c>
      <c r="N344" s="7">
        <v>0.0</v>
      </c>
      <c r="O344" s="8">
        <v>45672.0</v>
      </c>
      <c r="P344" s="7">
        <v>2.1272844252E8</v>
      </c>
      <c r="Q344" s="7">
        <v>2.1884334794E8</v>
      </c>
      <c r="R344" s="7">
        <v>0.25</v>
      </c>
      <c r="S344" s="1" t="s">
        <v>52</v>
      </c>
    </row>
    <row r="345" ht="15.0" customHeight="1">
      <c r="B345" s="6">
        <f t="shared" si="1"/>
        <v>343</v>
      </c>
      <c r="C345" s="1" t="s">
        <v>644</v>
      </c>
      <c r="D345" s="1" t="s">
        <v>43</v>
      </c>
      <c r="E345" s="1" t="s">
        <v>644</v>
      </c>
      <c r="F345" s="1" t="s">
        <v>537</v>
      </c>
      <c r="G345" s="1" t="s">
        <v>318</v>
      </c>
      <c r="H345" s="6">
        <v>2006.0</v>
      </c>
      <c r="I345" s="1" t="s">
        <v>121</v>
      </c>
      <c r="J345" s="1" t="s">
        <v>92</v>
      </c>
      <c r="K345" s="1" t="s">
        <v>575</v>
      </c>
      <c r="M345" s="7">
        <v>1.98147699E8</v>
      </c>
      <c r="N345" s="7">
        <v>0.0</v>
      </c>
      <c r="O345" s="8">
        <v>43738.0</v>
      </c>
      <c r="P345" s="7">
        <v>2.6731204996E8</v>
      </c>
      <c r="Q345" s="7">
        <v>2.0193234E8</v>
      </c>
      <c r="R345" s="7">
        <v>-0.19</v>
      </c>
      <c r="S345" s="1" t="s">
        <v>52</v>
      </c>
    </row>
    <row r="346" ht="15.0" customHeight="1">
      <c r="B346" s="6">
        <f t="shared" si="1"/>
        <v>344</v>
      </c>
      <c r="C346" s="1" t="s">
        <v>645</v>
      </c>
      <c r="D346" s="1" t="s">
        <v>43</v>
      </c>
      <c r="E346" s="1" t="s">
        <v>645</v>
      </c>
      <c r="F346" s="1" t="s">
        <v>185</v>
      </c>
      <c r="G346" s="1" t="s">
        <v>318</v>
      </c>
      <c r="H346" s="6">
        <v>2005.0</v>
      </c>
      <c r="I346" s="1" t="s">
        <v>121</v>
      </c>
      <c r="J346" s="1" t="s">
        <v>122</v>
      </c>
      <c r="K346" s="1" t="s">
        <v>123</v>
      </c>
      <c r="M346" s="7">
        <v>1.225E8</v>
      </c>
      <c r="N346" s="7">
        <v>0.0</v>
      </c>
      <c r="O346" s="8">
        <v>43555.0</v>
      </c>
      <c r="P346" s="7">
        <v>3.4052578738E8</v>
      </c>
      <c r="Q346" s="7">
        <v>1.45826723173E8</v>
      </c>
      <c r="R346" s="7">
        <v>-0.053</v>
      </c>
      <c r="S346" s="1" t="s">
        <v>52</v>
      </c>
    </row>
    <row r="347" ht="15.0" customHeight="1">
      <c r="B347" s="6">
        <f t="shared" si="1"/>
        <v>345</v>
      </c>
      <c r="C347" s="1" t="s">
        <v>646</v>
      </c>
      <c r="D347" s="1" t="s">
        <v>43</v>
      </c>
      <c r="E347" s="1" t="s">
        <v>646</v>
      </c>
      <c r="F347" s="1" t="s">
        <v>606</v>
      </c>
      <c r="G347" s="1" t="s">
        <v>318</v>
      </c>
      <c r="H347" s="6">
        <v>2005.0</v>
      </c>
      <c r="I347" s="1" t="s">
        <v>150</v>
      </c>
      <c r="J347" s="1" t="s">
        <v>150</v>
      </c>
      <c r="K347" s="1" t="s">
        <v>470</v>
      </c>
      <c r="M347" s="7">
        <v>5.0E7</v>
      </c>
      <c r="N347" s="7">
        <v>2432403.0</v>
      </c>
      <c r="O347" s="8">
        <v>46112.0</v>
      </c>
      <c r="P347" s="7">
        <v>5.868185712E7</v>
      </c>
      <c r="Q347" s="7">
        <v>5.89900864E7</v>
      </c>
      <c r="R347" s="7">
        <v>184762.2</v>
      </c>
      <c r="S347" s="1" t="s">
        <v>52</v>
      </c>
    </row>
    <row r="348" ht="15.0" customHeight="1">
      <c r="B348" s="6">
        <f t="shared" si="1"/>
        <v>346</v>
      </c>
      <c r="C348" s="1" t="s">
        <v>647</v>
      </c>
      <c r="D348" s="1" t="s">
        <v>43</v>
      </c>
      <c r="E348" s="1" t="s">
        <v>647</v>
      </c>
      <c r="F348" s="1" t="s">
        <v>383</v>
      </c>
      <c r="G348" s="1" t="s">
        <v>318</v>
      </c>
      <c r="H348" s="6">
        <v>2006.0</v>
      </c>
      <c r="I348" s="1" t="s">
        <v>121</v>
      </c>
      <c r="J348" s="1" t="s">
        <v>92</v>
      </c>
      <c r="K348" s="1" t="s">
        <v>573</v>
      </c>
      <c r="M348" s="7">
        <v>1.15E8</v>
      </c>
      <c r="N348" s="7">
        <v>0.0</v>
      </c>
      <c r="O348" s="8">
        <v>43100.0</v>
      </c>
      <c r="P348" s="7">
        <v>1.90119308E8</v>
      </c>
      <c r="Q348" s="7">
        <v>1.44782669E8</v>
      </c>
      <c r="R348" s="7">
        <v>0.0</v>
      </c>
      <c r="S348" s="1" t="s">
        <v>52</v>
      </c>
    </row>
    <row r="349" ht="15.0" customHeight="1">
      <c r="B349" s="6">
        <f t="shared" si="1"/>
        <v>347</v>
      </c>
      <c r="C349" s="1" t="s">
        <v>648</v>
      </c>
      <c r="D349" s="1" t="s">
        <v>43</v>
      </c>
      <c r="E349" s="1" t="s">
        <v>648</v>
      </c>
      <c r="F349" s="1" t="s">
        <v>547</v>
      </c>
      <c r="G349" s="1" t="s">
        <v>318</v>
      </c>
      <c r="H349" s="6">
        <v>2005.0</v>
      </c>
      <c r="I349" s="1" t="s">
        <v>150</v>
      </c>
      <c r="J349" s="1" t="s">
        <v>150</v>
      </c>
      <c r="K349" s="1" t="s">
        <v>649</v>
      </c>
      <c r="M349" s="7">
        <v>1.35E8</v>
      </c>
      <c r="N349" s="7">
        <v>447313.0</v>
      </c>
      <c r="O349" s="8">
        <v>46022.0</v>
      </c>
      <c r="P349" s="7">
        <v>1.4343155876E8</v>
      </c>
      <c r="Q349" s="7">
        <v>1.34325E8</v>
      </c>
      <c r="R349" s="7">
        <v>675000.0</v>
      </c>
      <c r="S349" s="1" t="s">
        <v>52</v>
      </c>
    </row>
    <row r="350" ht="15.0" customHeight="1">
      <c r="B350" s="6">
        <f t="shared" si="1"/>
        <v>348</v>
      </c>
      <c r="C350" s="1" t="s">
        <v>650</v>
      </c>
      <c r="D350" s="1" t="s">
        <v>43</v>
      </c>
      <c r="E350" s="1" t="s">
        <v>650</v>
      </c>
      <c r="F350" s="1" t="s">
        <v>332</v>
      </c>
      <c r="G350" s="1" t="s">
        <v>318</v>
      </c>
      <c r="H350" s="6">
        <v>2006.0</v>
      </c>
      <c r="I350" s="1" t="s">
        <v>121</v>
      </c>
      <c r="J350" s="1" t="s">
        <v>122</v>
      </c>
      <c r="K350" s="1" t="s">
        <v>180</v>
      </c>
      <c r="M350" s="7">
        <v>2.5E8</v>
      </c>
      <c r="N350" s="7">
        <v>0.0</v>
      </c>
      <c r="O350" s="8">
        <v>42004.0</v>
      </c>
      <c r="P350" s="7">
        <v>3.0784938961E8</v>
      </c>
      <c r="Q350" s="7">
        <v>2.61870734E8</v>
      </c>
      <c r="R350" s="7">
        <v>0.0</v>
      </c>
      <c r="S350" s="1" t="s">
        <v>52</v>
      </c>
    </row>
    <row r="351" ht="15.0" customHeight="1">
      <c r="B351" s="6">
        <f t="shared" si="1"/>
        <v>349</v>
      </c>
      <c r="C351" s="1" t="s">
        <v>651</v>
      </c>
      <c r="D351" s="1" t="s">
        <v>43</v>
      </c>
      <c r="E351" s="1" t="s">
        <v>651</v>
      </c>
      <c r="F351" s="1" t="s">
        <v>160</v>
      </c>
      <c r="G351" s="1" t="s">
        <v>318</v>
      </c>
      <c r="H351" s="6">
        <v>2005.0</v>
      </c>
      <c r="I351" s="1" t="s">
        <v>121</v>
      </c>
      <c r="J351" s="1" t="s">
        <v>122</v>
      </c>
      <c r="K351" s="1" t="s">
        <v>123</v>
      </c>
      <c r="M351" s="7">
        <v>5.0E7</v>
      </c>
      <c r="N351" s="7">
        <v>0.0</v>
      </c>
      <c r="O351" s="8">
        <v>43812.0</v>
      </c>
      <c r="P351" s="7">
        <v>1.067171348E8</v>
      </c>
      <c r="Q351" s="7">
        <v>4.523061019E7</v>
      </c>
      <c r="R351" s="7">
        <v>-0.19</v>
      </c>
      <c r="S351" s="1" t="s">
        <v>52</v>
      </c>
    </row>
    <row r="352" ht="15.0" customHeight="1">
      <c r="B352" s="6">
        <f t="shared" si="1"/>
        <v>350</v>
      </c>
      <c r="C352" s="1" t="s">
        <v>652</v>
      </c>
      <c r="D352" s="1" t="s">
        <v>43</v>
      </c>
      <c r="E352" s="1" t="s">
        <v>652</v>
      </c>
      <c r="F352" s="1" t="s">
        <v>585</v>
      </c>
      <c r="G352" s="1" t="s">
        <v>318</v>
      </c>
      <c r="H352" s="6">
        <v>2006.0</v>
      </c>
      <c r="I352" s="1" t="s">
        <v>121</v>
      </c>
      <c r="J352" s="1" t="s">
        <v>122</v>
      </c>
      <c r="K352" s="1" t="s">
        <v>127</v>
      </c>
      <c r="M352" s="7">
        <v>1.5E8</v>
      </c>
      <c r="N352" s="7">
        <v>2962875.0</v>
      </c>
      <c r="O352" s="8">
        <v>46112.0</v>
      </c>
      <c r="P352" s="7">
        <v>2.7167931454E8</v>
      </c>
      <c r="Q352" s="7">
        <v>1.5897034959E8</v>
      </c>
      <c r="R352" s="7">
        <v>2906068.95</v>
      </c>
      <c r="S352" s="1" t="s">
        <v>52</v>
      </c>
    </row>
    <row r="353" ht="15.0" customHeight="1">
      <c r="B353" s="6">
        <f t="shared" si="1"/>
        <v>351</v>
      </c>
      <c r="C353" s="1" t="s">
        <v>653</v>
      </c>
      <c r="D353" s="1" t="s">
        <v>43</v>
      </c>
      <c r="E353" s="1" t="s">
        <v>653</v>
      </c>
      <c r="F353" s="1" t="s">
        <v>383</v>
      </c>
      <c r="G353" s="1" t="s">
        <v>318</v>
      </c>
      <c r="H353" s="6">
        <v>2006.0</v>
      </c>
      <c r="I353" s="1" t="s">
        <v>121</v>
      </c>
      <c r="J353" s="1" t="s">
        <v>92</v>
      </c>
      <c r="K353" s="1" t="s">
        <v>93</v>
      </c>
      <c r="M353" s="7">
        <v>3.0E8</v>
      </c>
      <c r="N353" s="7">
        <v>0.0</v>
      </c>
      <c r="O353" s="8">
        <v>43278.0</v>
      </c>
      <c r="P353" s="7">
        <v>2.46565998E8</v>
      </c>
      <c r="Q353" s="7">
        <v>2.2505648E8</v>
      </c>
      <c r="R353" s="7">
        <v>0.0</v>
      </c>
      <c r="S353" s="1" t="s">
        <v>52</v>
      </c>
    </row>
    <row r="354" ht="15.0" customHeight="1">
      <c r="B354" s="6">
        <f t="shared" si="1"/>
        <v>352</v>
      </c>
      <c r="C354" s="1" t="s">
        <v>654</v>
      </c>
      <c r="D354" s="1" t="s">
        <v>43</v>
      </c>
      <c r="E354" s="1" t="s">
        <v>654</v>
      </c>
      <c r="F354" s="1" t="s">
        <v>655</v>
      </c>
      <c r="G354" s="1" t="s">
        <v>318</v>
      </c>
      <c r="H354" s="6">
        <v>2006.0</v>
      </c>
      <c r="I354" s="1" t="s">
        <v>121</v>
      </c>
      <c r="J354" s="1" t="s">
        <v>122</v>
      </c>
      <c r="K354" s="1" t="s">
        <v>180</v>
      </c>
      <c r="M354" s="7">
        <v>3.0E8</v>
      </c>
      <c r="N354" s="7">
        <v>0.0</v>
      </c>
      <c r="O354" s="8">
        <v>42004.0</v>
      </c>
      <c r="P354" s="7">
        <v>4.082218888582E8</v>
      </c>
      <c r="Q354" s="7">
        <v>2.99054703E8</v>
      </c>
      <c r="R354" s="7">
        <v>0.0</v>
      </c>
      <c r="S354" s="1" t="s">
        <v>52</v>
      </c>
    </row>
    <row r="355" ht="15.0" customHeight="1">
      <c r="B355" s="6">
        <f t="shared" si="1"/>
        <v>353</v>
      </c>
      <c r="C355" s="1" t="s">
        <v>656</v>
      </c>
      <c r="D355" s="1" t="s">
        <v>43</v>
      </c>
      <c r="E355" s="1" t="s">
        <v>656</v>
      </c>
      <c r="F355" s="1" t="s">
        <v>190</v>
      </c>
      <c r="G355" s="1" t="s">
        <v>318</v>
      </c>
      <c r="H355" s="6">
        <v>2007.0</v>
      </c>
      <c r="I355" s="1" t="s">
        <v>121</v>
      </c>
      <c r="J355" s="1" t="s">
        <v>122</v>
      </c>
      <c r="K355" s="1" t="s">
        <v>123</v>
      </c>
      <c r="M355" s="7">
        <v>6.8065386E7</v>
      </c>
      <c r="N355" s="7">
        <v>0.0</v>
      </c>
      <c r="O355" s="8">
        <v>44561.0</v>
      </c>
      <c r="P355" s="7">
        <v>1.250378019E8</v>
      </c>
      <c r="Q355" s="7">
        <v>5.856459388E7</v>
      </c>
      <c r="R355" s="7">
        <v>0.44</v>
      </c>
      <c r="S355" s="1" t="s">
        <v>52</v>
      </c>
    </row>
    <row r="356" ht="15.0" customHeight="1">
      <c r="B356" s="6">
        <f t="shared" si="1"/>
        <v>354</v>
      </c>
      <c r="C356" s="1" t="s">
        <v>657</v>
      </c>
      <c r="D356" s="1" t="s">
        <v>43</v>
      </c>
      <c r="E356" s="1" t="s">
        <v>657</v>
      </c>
      <c r="F356" s="1" t="s">
        <v>413</v>
      </c>
      <c r="G356" s="1" t="s">
        <v>318</v>
      </c>
      <c r="H356" s="6">
        <v>2005.0</v>
      </c>
      <c r="I356" s="1" t="s">
        <v>121</v>
      </c>
      <c r="J356" s="1" t="s">
        <v>274</v>
      </c>
      <c r="K356" s="1" t="s">
        <v>275</v>
      </c>
      <c r="M356" s="7">
        <v>1.0E8</v>
      </c>
      <c r="N356" s="7">
        <v>0.0</v>
      </c>
      <c r="O356" s="8">
        <v>45012.0</v>
      </c>
      <c r="P356" s="7">
        <v>1.2725132309E8</v>
      </c>
      <c r="Q356" s="7">
        <v>9.6212333E7</v>
      </c>
      <c r="R356" s="7">
        <v>0.0</v>
      </c>
      <c r="S356" s="1" t="s">
        <v>52</v>
      </c>
    </row>
    <row r="357" ht="15.0" hidden="1" customHeight="1">
      <c r="B357" s="6">
        <f t="shared" si="1"/>
        <v>355</v>
      </c>
      <c r="C357" s="1" t="s">
        <v>658</v>
      </c>
      <c r="D357" s="1" t="s">
        <v>43</v>
      </c>
      <c r="E357" s="1" t="s">
        <v>658</v>
      </c>
      <c r="F357" s="1" t="s">
        <v>135</v>
      </c>
      <c r="G357" s="1" t="s">
        <v>318</v>
      </c>
      <c r="H357" s="6">
        <v>2006.0</v>
      </c>
      <c r="I357" s="1" t="s">
        <v>121</v>
      </c>
      <c r="J357" s="1" t="s">
        <v>122</v>
      </c>
      <c r="K357" s="1" t="s">
        <v>180</v>
      </c>
      <c r="M357" s="7">
        <v>1.25E8</v>
      </c>
      <c r="N357" s="7">
        <v>0.0</v>
      </c>
      <c r="O357" s="8">
        <v>44104.0</v>
      </c>
      <c r="P357" s="7">
        <v>2.2948515909E8</v>
      </c>
      <c r="Q357" s="7">
        <v>1.2543299591E8</v>
      </c>
      <c r="R357" s="7">
        <v>0.0</v>
      </c>
      <c r="S357" s="1" t="s">
        <v>45</v>
      </c>
    </row>
    <row r="358" ht="15.0" customHeight="1">
      <c r="B358" s="6">
        <f t="shared" si="1"/>
        <v>356</v>
      </c>
      <c r="C358" s="1" t="s">
        <v>659</v>
      </c>
      <c r="D358" s="1" t="s">
        <v>43</v>
      </c>
      <c r="E358" s="1" t="s">
        <v>659</v>
      </c>
      <c r="F358" s="1" t="s">
        <v>660</v>
      </c>
      <c r="G358" s="1" t="s">
        <v>318</v>
      </c>
      <c r="H358" s="6">
        <v>2006.0</v>
      </c>
      <c r="I358" s="1" t="s">
        <v>121</v>
      </c>
      <c r="J358" s="1" t="s">
        <v>661</v>
      </c>
      <c r="K358" s="1" t="s">
        <v>165</v>
      </c>
      <c r="M358" s="7">
        <v>2.0E8</v>
      </c>
      <c r="N358" s="7">
        <v>0.0</v>
      </c>
      <c r="O358" s="8">
        <v>42755.0</v>
      </c>
      <c r="P358" s="7">
        <v>1.4035536276E8</v>
      </c>
      <c r="Q358" s="7">
        <v>2.1320923248E8</v>
      </c>
      <c r="R358" s="7">
        <v>0.0</v>
      </c>
      <c r="S358" s="1" t="s">
        <v>52</v>
      </c>
    </row>
    <row r="359" ht="15.0" customHeight="1">
      <c r="B359" s="6">
        <f t="shared" si="1"/>
        <v>357</v>
      </c>
      <c r="C359" s="1" t="s">
        <v>662</v>
      </c>
      <c r="D359" s="1" t="s">
        <v>43</v>
      </c>
      <c r="E359" s="1" t="s">
        <v>662</v>
      </c>
      <c r="F359" s="1" t="s">
        <v>131</v>
      </c>
      <c r="G359" s="1" t="s">
        <v>318</v>
      </c>
      <c r="H359" s="6">
        <v>2006.0</v>
      </c>
      <c r="I359" s="1" t="s">
        <v>121</v>
      </c>
      <c r="J359" s="1" t="s">
        <v>122</v>
      </c>
      <c r="K359" s="1" t="s">
        <v>123</v>
      </c>
      <c r="M359" s="7">
        <v>1.3E8</v>
      </c>
      <c r="N359" s="7">
        <v>0.0</v>
      </c>
      <c r="O359" s="8">
        <v>45199.0</v>
      </c>
      <c r="P359" s="7">
        <v>2.8146684527E8</v>
      </c>
      <c r="Q359" s="7">
        <v>1.47723222E8</v>
      </c>
      <c r="R359" s="7">
        <v>0.0</v>
      </c>
      <c r="S359" s="1" t="s">
        <v>52</v>
      </c>
    </row>
    <row r="360" ht="15.0" customHeight="1">
      <c r="B360" s="6">
        <f t="shared" si="1"/>
        <v>358</v>
      </c>
      <c r="C360" s="1" t="s">
        <v>663</v>
      </c>
      <c r="D360" s="1" t="s">
        <v>43</v>
      </c>
      <c r="E360" s="1" t="s">
        <v>664</v>
      </c>
      <c r="F360" s="1" t="s">
        <v>223</v>
      </c>
      <c r="G360" s="1" t="s">
        <v>318</v>
      </c>
      <c r="H360" s="6">
        <v>2006.0</v>
      </c>
      <c r="I360" s="1" t="s">
        <v>164</v>
      </c>
      <c r="J360" s="1" t="s">
        <v>92</v>
      </c>
      <c r="K360" s="1" t="s">
        <v>575</v>
      </c>
      <c r="M360" s="7">
        <v>4.0E8</v>
      </c>
      <c r="N360" s="7">
        <v>957983.0</v>
      </c>
      <c r="O360" s="8">
        <v>46112.0</v>
      </c>
      <c r="P360" s="7">
        <v>6.82765377E8</v>
      </c>
      <c r="Q360" s="7">
        <v>3.7267318666E8</v>
      </c>
      <c r="R360" s="7">
        <v>5943447.8</v>
      </c>
      <c r="S360" s="1" t="s">
        <v>52</v>
      </c>
    </row>
    <row r="361" ht="15.0" customHeight="1">
      <c r="B361" s="6">
        <f t="shared" si="1"/>
        <v>359</v>
      </c>
      <c r="C361" s="1" t="s">
        <v>665</v>
      </c>
      <c r="D361" s="1" t="s">
        <v>43</v>
      </c>
      <c r="E361" s="1" t="s">
        <v>665</v>
      </c>
      <c r="F361" s="1" t="s">
        <v>172</v>
      </c>
      <c r="G361" s="1" t="s">
        <v>318</v>
      </c>
      <c r="H361" s="6">
        <v>2005.0</v>
      </c>
      <c r="I361" s="1" t="s">
        <v>150</v>
      </c>
      <c r="J361" s="1" t="s">
        <v>150</v>
      </c>
      <c r="K361" s="1" t="s">
        <v>173</v>
      </c>
      <c r="M361" s="7">
        <v>6.25E7</v>
      </c>
      <c r="N361" s="7">
        <v>0.0</v>
      </c>
      <c r="O361" s="8">
        <v>44196.0</v>
      </c>
      <c r="P361" s="7">
        <v>9.620972E7</v>
      </c>
      <c r="Q361" s="7">
        <v>6.2744925E7</v>
      </c>
      <c r="R361" s="7">
        <v>1.0</v>
      </c>
      <c r="S361" s="1" t="s">
        <v>52</v>
      </c>
    </row>
    <row r="362" ht="15.0" hidden="1" customHeight="1">
      <c r="B362" s="6">
        <f t="shared" si="1"/>
        <v>360</v>
      </c>
      <c r="C362" s="1" t="s">
        <v>666</v>
      </c>
      <c r="D362" s="1" t="s">
        <v>43</v>
      </c>
      <c r="E362" s="1" t="s">
        <v>667</v>
      </c>
      <c r="F362" s="1" t="s">
        <v>129</v>
      </c>
      <c r="G362" s="1" t="s">
        <v>318</v>
      </c>
      <c r="H362" s="6">
        <v>2006.0</v>
      </c>
      <c r="I362" s="1" t="s">
        <v>121</v>
      </c>
      <c r="J362" s="1" t="s">
        <v>122</v>
      </c>
      <c r="K362" s="1" t="s">
        <v>127</v>
      </c>
      <c r="M362" s="7">
        <v>1.5E8</v>
      </c>
      <c r="N362" s="7">
        <v>109961.6</v>
      </c>
      <c r="O362" s="8">
        <v>46022.0</v>
      </c>
      <c r="P362" s="7">
        <v>2.4644598587E8</v>
      </c>
      <c r="Q362" s="7">
        <v>1.5224422239E8</v>
      </c>
      <c r="R362" s="7">
        <v>-0.38</v>
      </c>
      <c r="S362" s="1" t="s">
        <v>45</v>
      </c>
    </row>
    <row r="363" ht="15.0" customHeight="1">
      <c r="B363" s="6">
        <f t="shared" si="1"/>
        <v>361</v>
      </c>
      <c r="C363" s="1" t="s">
        <v>668</v>
      </c>
      <c r="D363" s="1" t="s">
        <v>43</v>
      </c>
      <c r="E363" s="1" t="s">
        <v>668</v>
      </c>
      <c r="F363" s="1" t="s">
        <v>176</v>
      </c>
      <c r="G363" s="1" t="s">
        <v>318</v>
      </c>
      <c r="H363" s="6">
        <v>2006.0</v>
      </c>
      <c r="I363" s="1" t="s">
        <v>121</v>
      </c>
      <c r="J363" s="1" t="s">
        <v>515</v>
      </c>
      <c r="K363" s="1" t="s">
        <v>583</v>
      </c>
      <c r="M363" s="7">
        <v>1.5E8</v>
      </c>
      <c r="N363" s="7">
        <v>0.0</v>
      </c>
      <c r="O363" s="8">
        <v>45839.0</v>
      </c>
      <c r="P363" s="7">
        <v>2.106407855E8</v>
      </c>
      <c r="Q363" s="7">
        <v>1.6556398454E8</v>
      </c>
      <c r="R363" s="7">
        <v>-0.43</v>
      </c>
      <c r="S363" s="1" t="s">
        <v>52</v>
      </c>
    </row>
    <row r="364" ht="15.0" customHeight="1">
      <c r="B364" s="6">
        <f t="shared" si="1"/>
        <v>362</v>
      </c>
      <c r="C364" s="1" t="s">
        <v>669</v>
      </c>
      <c r="D364" s="1" t="s">
        <v>43</v>
      </c>
      <c r="E364" s="1" t="s">
        <v>669</v>
      </c>
      <c r="F364" s="1" t="s">
        <v>582</v>
      </c>
      <c r="G364" s="1" t="s">
        <v>318</v>
      </c>
      <c r="H364" s="6">
        <v>2007.0</v>
      </c>
      <c r="I364" s="1" t="s">
        <v>121</v>
      </c>
      <c r="J364" s="1" t="s">
        <v>515</v>
      </c>
      <c r="K364" s="1" t="s">
        <v>583</v>
      </c>
      <c r="M364" s="7">
        <v>1.0E8</v>
      </c>
      <c r="N364" s="7">
        <v>0.0</v>
      </c>
      <c r="O364" s="8">
        <v>45260.0</v>
      </c>
      <c r="P364" s="7">
        <v>1.2351771034E8</v>
      </c>
      <c r="Q364" s="7">
        <v>9.197779784E7</v>
      </c>
      <c r="R364" s="7">
        <v>0.0</v>
      </c>
      <c r="S364" s="1" t="s">
        <v>52</v>
      </c>
    </row>
    <row r="365" ht="15.0" customHeight="1">
      <c r="B365" s="6">
        <f t="shared" si="1"/>
        <v>363</v>
      </c>
      <c r="C365" s="1" t="s">
        <v>670</v>
      </c>
      <c r="D365" s="1" t="s">
        <v>43</v>
      </c>
      <c r="E365" s="1" t="s">
        <v>670</v>
      </c>
      <c r="F365" s="1" t="s">
        <v>671</v>
      </c>
      <c r="G365" s="1" t="s">
        <v>318</v>
      </c>
      <c r="H365" s="6">
        <v>2007.0</v>
      </c>
      <c r="I365" s="1" t="s">
        <v>121</v>
      </c>
      <c r="J365" s="1" t="s">
        <v>122</v>
      </c>
      <c r="K365" s="1" t="s">
        <v>127</v>
      </c>
      <c r="M365" s="7">
        <v>3.0E8</v>
      </c>
      <c r="N365" s="7">
        <v>0.0</v>
      </c>
      <c r="O365" s="8">
        <v>42004.0</v>
      </c>
      <c r="P365" s="7">
        <v>4.034360458141E8</v>
      </c>
      <c r="Q365" s="7">
        <v>3.16291227E8</v>
      </c>
      <c r="R365" s="7">
        <v>0.0</v>
      </c>
      <c r="S365" s="1" t="s">
        <v>52</v>
      </c>
    </row>
    <row r="366" ht="15.0" customHeight="1">
      <c r="B366" s="6">
        <f t="shared" si="1"/>
        <v>364</v>
      </c>
      <c r="C366" s="1" t="s">
        <v>672</v>
      </c>
      <c r="D366" s="1" t="s">
        <v>43</v>
      </c>
      <c r="E366" s="1" t="s">
        <v>672</v>
      </c>
      <c r="F366" s="1" t="s">
        <v>673</v>
      </c>
      <c r="G366" s="1" t="s">
        <v>318</v>
      </c>
      <c r="H366" s="6">
        <v>2007.0</v>
      </c>
      <c r="I366" s="1" t="s">
        <v>121</v>
      </c>
      <c r="J366" s="1" t="s">
        <v>122</v>
      </c>
      <c r="K366" s="1" t="s">
        <v>123</v>
      </c>
      <c r="M366" s="7">
        <v>1.0E8</v>
      </c>
      <c r="N366" s="7">
        <v>0.0</v>
      </c>
      <c r="O366" s="8">
        <v>42004.0</v>
      </c>
      <c r="P366" s="7">
        <v>1.813357247107E8</v>
      </c>
      <c r="Q366" s="7">
        <v>1.2102480682E8</v>
      </c>
      <c r="R366" s="7">
        <v>0.0</v>
      </c>
      <c r="S366" s="1" t="s">
        <v>52</v>
      </c>
    </row>
    <row r="367" ht="15.0" hidden="1" customHeight="1">
      <c r="B367" s="6">
        <f t="shared" si="1"/>
        <v>365</v>
      </c>
      <c r="C367" s="1" t="s">
        <v>674</v>
      </c>
      <c r="D367" s="1" t="s">
        <v>43</v>
      </c>
      <c r="E367" s="1" t="s">
        <v>674</v>
      </c>
      <c r="F367" s="1" t="s">
        <v>675</v>
      </c>
      <c r="G367" s="1" t="s">
        <v>318</v>
      </c>
      <c r="H367" s="6">
        <v>2006.0</v>
      </c>
      <c r="I367" s="1" t="s">
        <v>121</v>
      </c>
      <c r="J367" s="1" t="s">
        <v>274</v>
      </c>
      <c r="K367" s="1" t="s">
        <v>204</v>
      </c>
      <c r="M367" s="7">
        <v>1.0E8</v>
      </c>
      <c r="N367" s="7">
        <v>0.0</v>
      </c>
      <c r="O367" s="8">
        <v>45806.0</v>
      </c>
      <c r="P367" s="7">
        <v>8.911404727E7</v>
      </c>
      <c r="Q367" s="7">
        <v>9.752121421E7</v>
      </c>
      <c r="R367" s="7">
        <v>-0.32</v>
      </c>
      <c r="S367" s="1" t="s">
        <v>45</v>
      </c>
    </row>
    <row r="368" ht="15.0" customHeight="1">
      <c r="B368" s="6">
        <f t="shared" si="1"/>
        <v>366</v>
      </c>
      <c r="C368" s="1" t="s">
        <v>676</v>
      </c>
      <c r="D368" s="1" t="s">
        <v>43</v>
      </c>
      <c r="E368" s="1" t="s">
        <v>676</v>
      </c>
      <c r="F368" s="1" t="s">
        <v>677</v>
      </c>
      <c r="G368" s="1" t="s">
        <v>318</v>
      </c>
      <c r="H368" s="6">
        <v>2007.0</v>
      </c>
      <c r="I368" s="1" t="s">
        <v>121</v>
      </c>
      <c r="J368" s="1" t="s">
        <v>122</v>
      </c>
      <c r="K368" s="1" t="s">
        <v>127</v>
      </c>
      <c r="M368" s="7">
        <v>2.0E8</v>
      </c>
      <c r="N368" s="7">
        <v>0.0</v>
      </c>
      <c r="O368" s="8">
        <v>45647.0</v>
      </c>
      <c r="P368" s="7">
        <v>1.86779519E8</v>
      </c>
      <c r="Q368" s="7">
        <v>2.0622313E8</v>
      </c>
      <c r="R368" s="7">
        <v>0.0</v>
      </c>
      <c r="S368" s="1" t="s">
        <v>52</v>
      </c>
    </row>
    <row r="369" ht="15.0" customHeight="1">
      <c r="B369" s="6">
        <f t="shared" si="1"/>
        <v>367</v>
      </c>
      <c r="C369" s="1" t="s">
        <v>678</v>
      </c>
      <c r="D369" s="1" t="s">
        <v>43</v>
      </c>
      <c r="E369" s="1" t="s">
        <v>678</v>
      </c>
      <c r="F369" s="1" t="s">
        <v>146</v>
      </c>
      <c r="G369" s="1" t="s">
        <v>318</v>
      </c>
      <c r="H369" s="6">
        <v>2006.0</v>
      </c>
      <c r="I369" s="1" t="s">
        <v>121</v>
      </c>
      <c r="J369" s="1" t="s">
        <v>122</v>
      </c>
      <c r="K369" s="1" t="s">
        <v>123</v>
      </c>
      <c r="M369" s="7">
        <v>1.0E8</v>
      </c>
      <c r="N369" s="7">
        <v>2618837.6999</v>
      </c>
      <c r="O369" s="8">
        <v>46112.0</v>
      </c>
      <c r="P369" s="7">
        <v>2.6575180095E8</v>
      </c>
      <c r="Q369" s="7">
        <v>9.716391653E7</v>
      </c>
      <c r="R369" s="7">
        <v>1655077.12</v>
      </c>
      <c r="S369" s="1" t="s">
        <v>52</v>
      </c>
    </row>
    <row r="370" ht="15.0" customHeight="1">
      <c r="B370" s="6">
        <f t="shared" si="1"/>
        <v>368</v>
      </c>
      <c r="C370" s="1" t="s">
        <v>679</v>
      </c>
      <c r="D370" s="1" t="s">
        <v>43</v>
      </c>
      <c r="E370" s="1" t="s">
        <v>679</v>
      </c>
      <c r="F370" s="1" t="s">
        <v>156</v>
      </c>
      <c r="G370" s="1" t="s">
        <v>318</v>
      </c>
      <c r="H370" s="6">
        <v>2007.0</v>
      </c>
      <c r="I370" s="1" t="s">
        <v>150</v>
      </c>
      <c r="J370" s="1" t="s">
        <v>150</v>
      </c>
      <c r="K370" s="1" t="s">
        <v>151</v>
      </c>
      <c r="M370" s="7">
        <v>5.0E7</v>
      </c>
      <c r="N370" s="7">
        <v>1528503.0</v>
      </c>
      <c r="O370" s="8">
        <v>46112.0</v>
      </c>
      <c r="P370" s="7">
        <v>2.972313596E7</v>
      </c>
      <c r="Q370" s="7">
        <v>4.949125E7</v>
      </c>
      <c r="R370" s="7">
        <v>0.0</v>
      </c>
      <c r="S370" s="1" t="s">
        <v>52</v>
      </c>
    </row>
    <row r="371" ht="15.0" customHeight="1">
      <c r="B371" s="6">
        <f t="shared" si="1"/>
        <v>369</v>
      </c>
      <c r="C371" s="1" t="s">
        <v>680</v>
      </c>
      <c r="D371" s="1" t="s">
        <v>43</v>
      </c>
      <c r="E371" s="1" t="s">
        <v>680</v>
      </c>
      <c r="F371" s="1" t="s">
        <v>137</v>
      </c>
      <c r="G371" s="1" t="s">
        <v>318</v>
      </c>
      <c r="H371" s="6">
        <v>2007.0</v>
      </c>
      <c r="I371" s="1" t="s">
        <v>121</v>
      </c>
      <c r="J371" s="1" t="s">
        <v>122</v>
      </c>
      <c r="K371" s="1" t="s">
        <v>127</v>
      </c>
      <c r="M371" s="7">
        <v>3.0E8</v>
      </c>
      <c r="N371" s="7">
        <v>1.1690658E7</v>
      </c>
      <c r="O371" s="8">
        <v>46112.0</v>
      </c>
      <c r="P371" s="7">
        <v>7.55140204E8</v>
      </c>
      <c r="Q371" s="7">
        <v>3.1880024357E8</v>
      </c>
      <c r="R371" s="7">
        <v>1.1445581E7</v>
      </c>
      <c r="S371" s="1" t="s">
        <v>52</v>
      </c>
    </row>
    <row r="372" ht="15.0" hidden="1" customHeight="1">
      <c r="B372" s="6">
        <f t="shared" si="1"/>
        <v>370</v>
      </c>
      <c r="C372" s="1" t="s">
        <v>681</v>
      </c>
      <c r="D372" s="1" t="s">
        <v>43</v>
      </c>
      <c r="E372" s="1" t="s">
        <v>681</v>
      </c>
      <c r="F372" s="1" t="s">
        <v>208</v>
      </c>
      <c r="G372" s="1" t="s">
        <v>318</v>
      </c>
      <c r="H372" s="6">
        <v>2007.0</v>
      </c>
      <c r="I372" s="1" t="s">
        <v>121</v>
      </c>
      <c r="J372" s="1" t="s">
        <v>122</v>
      </c>
      <c r="K372" s="1" t="s">
        <v>180</v>
      </c>
      <c r="M372" s="7">
        <v>2.0E8</v>
      </c>
      <c r="N372" s="7">
        <v>350945.0</v>
      </c>
      <c r="O372" s="8">
        <v>46112.0</v>
      </c>
      <c r="P372" s="7">
        <v>3.045894315E8</v>
      </c>
      <c r="Q372" s="7">
        <v>2.0889825377E8</v>
      </c>
      <c r="R372" s="7">
        <v>2383008.71</v>
      </c>
      <c r="S372" s="1" t="s">
        <v>45</v>
      </c>
    </row>
    <row r="373" ht="15.0" customHeight="1">
      <c r="B373" s="6">
        <f t="shared" si="1"/>
        <v>371</v>
      </c>
      <c r="C373" s="1" t="s">
        <v>682</v>
      </c>
      <c r="D373" s="1" t="s">
        <v>43</v>
      </c>
      <c r="E373" s="1" t="s">
        <v>682</v>
      </c>
      <c r="F373" s="1" t="s">
        <v>383</v>
      </c>
      <c r="G373" s="1" t="s">
        <v>318</v>
      </c>
      <c r="H373" s="6">
        <v>2007.0</v>
      </c>
      <c r="I373" s="1" t="s">
        <v>121</v>
      </c>
      <c r="J373" s="1" t="s">
        <v>92</v>
      </c>
      <c r="K373" s="1" t="s">
        <v>573</v>
      </c>
      <c r="M373" s="7">
        <v>3.0E8</v>
      </c>
      <c r="N373" s="7">
        <v>0.0</v>
      </c>
      <c r="O373" s="8">
        <v>43281.0</v>
      </c>
      <c r="P373" s="7">
        <v>3.99038857E8</v>
      </c>
      <c r="Q373" s="7">
        <v>3.0109512E8</v>
      </c>
      <c r="R373" s="7">
        <v>0.0</v>
      </c>
      <c r="S373" s="1" t="s">
        <v>52</v>
      </c>
    </row>
    <row r="374" ht="15.0" customHeight="1">
      <c r="B374" s="6">
        <f t="shared" si="1"/>
        <v>372</v>
      </c>
      <c r="C374" s="1" t="s">
        <v>683</v>
      </c>
      <c r="D374" s="1" t="s">
        <v>43</v>
      </c>
      <c r="E374" s="1" t="s">
        <v>683</v>
      </c>
      <c r="F374" s="1" t="s">
        <v>344</v>
      </c>
      <c r="G374" s="1" t="s">
        <v>318</v>
      </c>
      <c r="H374" s="6">
        <v>2007.0</v>
      </c>
      <c r="I374" s="1" t="s">
        <v>121</v>
      </c>
      <c r="J374" s="1" t="s">
        <v>92</v>
      </c>
      <c r="K374" s="1" t="s">
        <v>93</v>
      </c>
      <c r="M374" s="7">
        <v>7.5E7</v>
      </c>
      <c r="N374" s="7">
        <v>0.0</v>
      </c>
      <c r="O374" s="8">
        <v>45360.0</v>
      </c>
      <c r="P374" s="7">
        <v>1.032435018E8</v>
      </c>
      <c r="Q374" s="7">
        <v>7.5E7</v>
      </c>
      <c r="R374" s="7">
        <v>0.0</v>
      </c>
      <c r="S374" s="1" t="s">
        <v>52</v>
      </c>
    </row>
    <row r="375" ht="15.0" customHeight="1">
      <c r="B375" s="6">
        <f t="shared" si="1"/>
        <v>373</v>
      </c>
      <c r="C375" s="1" t="s">
        <v>684</v>
      </c>
      <c r="D375" s="1" t="s">
        <v>43</v>
      </c>
      <c r="E375" s="1" t="s">
        <v>684</v>
      </c>
      <c r="F375" s="1" t="s">
        <v>185</v>
      </c>
      <c r="G375" s="1" t="s">
        <v>318</v>
      </c>
      <c r="H375" s="6">
        <v>2007.0</v>
      </c>
      <c r="I375" s="1" t="s">
        <v>121</v>
      </c>
      <c r="J375" s="1" t="s">
        <v>122</v>
      </c>
      <c r="K375" s="1" t="s">
        <v>127</v>
      </c>
      <c r="M375" s="7">
        <v>3.0E8</v>
      </c>
      <c r="N375" s="7">
        <v>0.0</v>
      </c>
      <c r="O375" s="8">
        <v>45016.0</v>
      </c>
      <c r="P375" s="7">
        <v>5.4074269102E8</v>
      </c>
      <c r="Q375" s="7">
        <v>3.3595547309E8</v>
      </c>
      <c r="R375" s="7">
        <v>3.62999076E7</v>
      </c>
      <c r="S375" s="1" t="s">
        <v>52</v>
      </c>
    </row>
    <row r="376" ht="15.0" customHeight="1">
      <c r="B376" s="6">
        <f t="shared" si="1"/>
        <v>374</v>
      </c>
      <c r="C376" s="1" t="s">
        <v>685</v>
      </c>
      <c r="D376" s="1" t="s">
        <v>43</v>
      </c>
      <c r="E376" s="1" t="s">
        <v>685</v>
      </c>
      <c r="F376" s="1" t="s">
        <v>214</v>
      </c>
      <c r="G376" s="1" t="s">
        <v>318</v>
      </c>
      <c r="H376" s="6">
        <v>2007.0</v>
      </c>
      <c r="I376" s="1" t="s">
        <v>121</v>
      </c>
      <c r="J376" s="1" t="s">
        <v>122</v>
      </c>
      <c r="K376" s="1" t="s">
        <v>127</v>
      </c>
      <c r="M376" s="7">
        <v>3.0E8</v>
      </c>
      <c r="N376" s="7">
        <v>6254221.0</v>
      </c>
      <c r="O376" s="8">
        <v>46112.0</v>
      </c>
      <c r="P376" s="7">
        <v>4.71348589E8</v>
      </c>
      <c r="Q376" s="7">
        <v>2.81816311E8</v>
      </c>
      <c r="R376" s="7">
        <v>5.126259E7</v>
      </c>
      <c r="S376" s="1" t="s">
        <v>52</v>
      </c>
    </row>
    <row r="377" ht="15.0" customHeight="1">
      <c r="B377" s="6">
        <f t="shared" si="1"/>
        <v>375</v>
      </c>
      <c r="C377" s="1" t="s">
        <v>686</v>
      </c>
      <c r="D377" s="1" t="s">
        <v>43</v>
      </c>
      <c r="E377" s="1" t="s">
        <v>686</v>
      </c>
      <c r="F377" s="1" t="s">
        <v>234</v>
      </c>
      <c r="G377" s="1" t="s">
        <v>318</v>
      </c>
      <c r="H377" s="6">
        <v>2007.0</v>
      </c>
      <c r="I377" s="1" t="s">
        <v>121</v>
      </c>
      <c r="J377" s="1" t="s">
        <v>122</v>
      </c>
      <c r="K377" s="1" t="s">
        <v>127</v>
      </c>
      <c r="M377" s="7">
        <v>7.675267563E7</v>
      </c>
      <c r="N377" s="7">
        <v>0.0</v>
      </c>
      <c r="O377" s="8">
        <v>45988.0</v>
      </c>
      <c r="P377" s="7">
        <v>1.2855175354E8</v>
      </c>
      <c r="Q377" s="7">
        <v>7.958868176E7</v>
      </c>
      <c r="R377" s="7">
        <v>-0.42</v>
      </c>
      <c r="S377" s="1" t="s">
        <v>52</v>
      </c>
    </row>
    <row r="378" ht="15.0" customHeight="1">
      <c r="B378" s="6">
        <f t="shared" si="1"/>
        <v>376</v>
      </c>
      <c r="C378" s="1" t="s">
        <v>687</v>
      </c>
      <c r="D378" s="1" t="s">
        <v>43</v>
      </c>
      <c r="E378" s="1" t="s">
        <v>687</v>
      </c>
      <c r="F378" s="1" t="s">
        <v>618</v>
      </c>
      <c r="G378" s="1" t="s">
        <v>318</v>
      </c>
      <c r="H378" s="6">
        <v>2007.0</v>
      </c>
      <c r="I378" s="1" t="s">
        <v>150</v>
      </c>
      <c r="J378" s="1" t="s">
        <v>150</v>
      </c>
      <c r="K378" s="1" t="s">
        <v>470</v>
      </c>
      <c r="M378" s="7">
        <v>7.5E7</v>
      </c>
      <c r="N378" s="7">
        <v>6966988.0</v>
      </c>
      <c r="O378" s="8">
        <v>46112.0</v>
      </c>
      <c r="P378" s="7">
        <v>1.5651914345E8</v>
      </c>
      <c r="Q378" s="7">
        <v>7.500000002E7</v>
      </c>
      <c r="R378" s="7">
        <v>-0.02</v>
      </c>
      <c r="S378" s="1" t="s">
        <v>52</v>
      </c>
    </row>
    <row r="379" ht="15.0" hidden="1" customHeight="1">
      <c r="B379" s="6">
        <f t="shared" si="1"/>
        <v>377</v>
      </c>
      <c r="C379" s="1" t="s">
        <v>688</v>
      </c>
      <c r="D379" s="1" t="s">
        <v>43</v>
      </c>
      <c r="E379" s="1" t="s">
        <v>688</v>
      </c>
      <c r="F379" s="1" t="s">
        <v>140</v>
      </c>
      <c r="G379" s="1" t="s">
        <v>318</v>
      </c>
      <c r="H379" s="6">
        <v>2007.0</v>
      </c>
      <c r="I379" s="1" t="s">
        <v>121</v>
      </c>
      <c r="J379" s="1" t="s">
        <v>122</v>
      </c>
      <c r="K379" s="1" t="s">
        <v>127</v>
      </c>
      <c r="M379" s="7">
        <v>1.0E8</v>
      </c>
      <c r="N379" s="7">
        <v>0.0</v>
      </c>
      <c r="O379" s="8">
        <v>44546.0</v>
      </c>
      <c r="P379" s="7">
        <v>1.9415134214E8</v>
      </c>
      <c r="Q379" s="7">
        <v>9.293796735E7</v>
      </c>
      <c r="R379" s="7">
        <v>0.0</v>
      </c>
      <c r="S379" s="1" t="s">
        <v>45</v>
      </c>
    </row>
    <row r="380" ht="15.0" customHeight="1">
      <c r="B380" s="6">
        <f t="shared" si="1"/>
        <v>378</v>
      </c>
      <c r="C380" s="1" t="s">
        <v>689</v>
      </c>
      <c r="D380" s="1" t="s">
        <v>43</v>
      </c>
      <c r="E380" s="1" t="s">
        <v>689</v>
      </c>
      <c r="F380" s="1" t="s">
        <v>545</v>
      </c>
      <c r="G380" s="1" t="s">
        <v>318</v>
      </c>
      <c r="H380" s="6">
        <v>2007.0</v>
      </c>
      <c r="I380" s="1" t="s">
        <v>121</v>
      </c>
      <c r="J380" s="1" t="s">
        <v>122</v>
      </c>
      <c r="K380" s="1" t="s">
        <v>127</v>
      </c>
      <c r="M380" s="7">
        <v>3.0E8</v>
      </c>
      <c r="N380" s="7">
        <v>0.0</v>
      </c>
      <c r="O380" s="8">
        <v>42004.0</v>
      </c>
      <c r="P380" s="7">
        <v>3.374452100118E8</v>
      </c>
      <c r="Q380" s="7">
        <v>2.87028332E8</v>
      </c>
      <c r="R380" s="7">
        <v>0.0</v>
      </c>
      <c r="S380" s="1" t="s">
        <v>52</v>
      </c>
    </row>
    <row r="381" ht="15.0" customHeight="1">
      <c r="B381" s="6">
        <f t="shared" si="1"/>
        <v>379</v>
      </c>
      <c r="C381" s="1" t="s">
        <v>690</v>
      </c>
      <c r="D381" s="1" t="s">
        <v>43</v>
      </c>
      <c r="E381" s="1" t="s">
        <v>690</v>
      </c>
      <c r="F381" s="1" t="s">
        <v>176</v>
      </c>
      <c r="G381" s="1" t="s">
        <v>318</v>
      </c>
      <c r="H381" s="6">
        <v>2008.0</v>
      </c>
      <c r="I381" s="1" t="s">
        <v>121</v>
      </c>
      <c r="J381" s="1" t="s">
        <v>122</v>
      </c>
      <c r="K381" s="1" t="s">
        <v>123</v>
      </c>
      <c r="M381" s="7">
        <v>1.0E8</v>
      </c>
      <c r="N381" s="7">
        <v>0.0</v>
      </c>
      <c r="O381" s="8">
        <v>45790.0</v>
      </c>
      <c r="P381" s="7">
        <v>2.0994635913E8</v>
      </c>
      <c r="Q381" s="7">
        <v>1.1016345448E8</v>
      </c>
      <c r="R381" s="7">
        <v>0.12</v>
      </c>
      <c r="S381" s="1" t="s">
        <v>52</v>
      </c>
    </row>
    <row r="382" ht="15.0" customHeight="1">
      <c r="B382" s="6">
        <f t="shared" si="1"/>
        <v>380</v>
      </c>
      <c r="C382" s="1" t="s">
        <v>691</v>
      </c>
      <c r="D382" s="1" t="s">
        <v>43</v>
      </c>
      <c r="E382" s="1" t="s">
        <v>691</v>
      </c>
      <c r="F382" s="1" t="s">
        <v>568</v>
      </c>
      <c r="G382" s="1" t="s">
        <v>318</v>
      </c>
      <c r="H382" s="6">
        <v>2007.0</v>
      </c>
      <c r="I382" s="1" t="s">
        <v>121</v>
      </c>
      <c r="J382" s="1" t="s">
        <v>122</v>
      </c>
      <c r="K382" s="1" t="s">
        <v>123</v>
      </c>
      <c r="M382" s="7">
        <v>1.738625E7</v>
      </c>
      <c r="N382" s="7">
        <v>0.0</v>
      </c>
      <c r="O382" s="8">
        <v>42004.0</v>
      </c>
      <c r="P382" s="7">
        <v>2451273.4801</v>
      </c>
      <c r="Q382" s="7">
        <v>1.2225121E7</v>
      </c>
      <c r="R382" s="7">
        <v>0.0</v>
      </c>
      <c r="S382" s="1" t="s">
        <v>52</v>
      </c>
    </row>
    <row r="383" ht="15.0" customHeight="1">
      <c r="B383" s="6">
        <f t="shared" si="1"/>
        <v>381</v>
      </c>
      <c r="C383" s="1" t="s">
        <v>692</v>
      </c>
      <c r="D383" s="1" t="s">
        <v>43</v>
      </c>
      <c r="E383" s="1" t="s">
        <v>692</v>
      </c>
      <c r="F383" s="1" t="s">
        <v>693</v>
      </c>
      <c r="G383" s="1" t="s">
        <v>318</v>
      </c>
      <c r="H383" s="6">
        <v>2008.0</v>
      </c>
      <c r="I383" s="1" t="s">
        <v>121</v>
      </c>
      <c r="J383" s="1" t="s">
        <v>122</v>
      </c>
      <c r="K383" s="1" t="s">
        <v>123</v>
      </c>
      <c r="M383" s="7">
        <v>3.0E8</v>
      </c>
      <c r="N383" s="7">
        <v>9765359.0</v>
      </c>
      <c r="O383" s="8">
        <v>46022.0</v>
      </c>
      <c r="P383" s="7">
        <v>4.6789826014E8</v>
      </c>
      <c r="Q383" s="7">
        <v>2.976304696E8</v>
      </c>
      <c r="R383" s="7">
        <v>5.051388211E7</v>
      </c>
      <c r="S383" s="1" t="s">
        <v>52</v>
      </c>
    </row>
    <row r="384" ht="15.0" customHeight="1">
      <c r="B384" s="6">
        <f t="shared" si="1"/>
        <v>382</v>
      </c>
      <c r="C384" s="1" t="s">
        <v>694</v>
      </c>
      <c r="D384" s="1" t="s">
        <v>43</v>
      </c>
      <c r="E384" s="1" t="s">
        <v>694</v>
      </c>
      <c r="F384" s="1" t="s">
        <v>611</v>
      </c>
      <c r="G384" s="1" t="s">
        <v>318</v>
      </c>
      <c r="H384" s="6">
        <v>2007.0</v>
      </c>
      <c r="I384" s="1" t="s">
        <v>150</v>
      </c>
      <c r="J384" s="1" t="s">
        <v>150</v>
      </c>
      <c r="K384" s="1" t="s">
        <v>173</v>
      </c>
      <c r="M384" s="7">
        <v>1.0E8</v>
      </c>
      <c r="N384" s="7">
        <v>0.0</v>
      </c>
      <c r="O384" s="8">
        <v>43830.0</v>
      </c>
      <c r="P384" s="7">
        <v>9.799929246E7</v>
      </c>
      <c r="Q384" s="7">
        <v>9.815393228E7</v>
      </c>
      <c r="R384" s="7">
        <v>-0.09</v>
      </c>
      <c r="S384" s="1" t="s">
        <v>52</v>
      </c>
    </row>
    <row r="385" ht="15.0" customHeight="1">
      <c r="B385" s="6">
        <f t="shared" si="1"/>
        <v>383</v>
      </c>
      <c r="C385" s="1" t="s">
        <v>695</v>
      </c>
      <c r="D385" s="1" t="s">
        <v>43</v>
      </c>
      <c r="E385" s="1" t="s">
        <v>695</v>
      </c>
      <c r="F385" s="1" t="s">
        <v>143</v>
      </c>
      <c r="G385" s="1" t="s">
        <v>318</v>
      </c>
      <c r="H385" s="6">
        <v>2008.0</v>
      </c>
      <c r="I385" s="1" t="s">
        <v>121</v>
      </c>
      <c r="J385" s="1" t="s">
        <v>122</v>
      </c>
      <c r="K385" s="1" t="s">
        <v>123</v>
      </c>
      <c r="M385" s="7">
        <v>6.0E7</v>
      </c>
      <c r="N385" s="7">
        <v>0.0</v>
      </c>
      <c r="O385" s="8">
        <v>45657.0</v>
      </c>
      <c r="P385" s="7">
        <v>7.3870651E7</v>
      </c>
      <c r="Q385" s="7">
        <v>6.4754066E7</v>
      </c>
      <c r="R385" s="7">
        <v>0.0</v>
      </c>
      <c r="S385" s="1" t="s">
        <v>52</v>
      </c>
    </row>
    <row r="386" ht="15.0" customHeight="1">
      <c r="B386" s="6">
        <f t="shared" si="1"/>
        <v>384</v>
      </c>
      <c r="C386" s="1" t="s">
        <v>696</v>
      </c>
      <c r="D386" s="1" t="s">
        <v>43</v>
      </c>
      <c r="E386" s="1" t="s">
        <v>696</v>
      </c>
      <c r="F386" s="1" t="s">
        <v>167</v>
      </c>
      <c r="G386" s="1" t="s">
        <v>318</v>
      </c>
      <c r="H386" s="6">
        <v>2008.0</v>
      </c>
      <c r="I386" s="1" t="s">
        <v>126</v>
      </c>
      <c r="J386" s="1" t="s">
        <v>126</v>
      </c>
      <c r="K386" s="1" t="s">
        <v>126</v>
      </c>
      <c r="M386" s="7">
        <v>1.875E8</v>
      </c>
      <c r="N386" s="7">
        <v>155264.0</v>
      </c>
      <c r="O386" s="8">
        <v>46112.0</v>
      </c>
      <c r="P386" s="7">
        <v>3.9918470515E8</v>
      </c>
      <c r="Q386" s="7">
        <v>1.6829684977E8</v>
      </c>
      <c r="R386" s="7">
        <v>1875000.16</v>
      </c>
      <c r="S386" s="1" t="s">
        <v>52</v>
      </c>
    </row>
    <row r="387" ht="15.0" customHeight="1">
      <c r="B387" s="6">
        <f t="shared" si="1"/>
        <v>385</v>
      </c>
      <c r="C387" s="1" t="s">
        <v>697</v>
      </c>
      <c r="D387" s="1" t="s">
        <v>43</v>
      </c>
      <c r="E387" s="1" t="s">
        <v>697</v>
      </c>
      <c r="F387" s="1" t="s">
        <v>131</v>
      </c>
      <c r="G387" s="1" t="s">
        <v>318</v>
      </c>
      <c r="H387" s="6">
        <v>2008.0</v>
      </c>
      <c r="I387" s="1" t="s">
        <v>126</v>
      </c>
      <c r="J387" s="1" t="s">
        <v>126</v>
      </c>
      <c r="K387" s="1" t="s">
        <v>123</v>
      </c>
      <c r="M387" s="7">
        <v>7.5E7</v>
      </c>
      <c r="N387" s="7">
        <v>0.0</v>
      </c>
      <c r="O387" s="8">
        <v>45199.0</v>
      </c>
      <c r="P387" s="7">
        <v>1.4209686436E8</v>
      </c>
      <c r="Q387" s="7">
        <v>9.2996496E7</v>
      </c>
      <c r="R387" s="7">
        <v>0.0</v>
      </c>
      <c r="S387" s="1" t="s">
        <v>52</v>
      </c>
    </row>
    <row r="388" ht="15.0" customHeight="1">
      <c r="B388" s="6">
        <f t="shared" si="1"/>
        <v>386</v>
      </c>
      <c r="C388" s="1" t="s">
        <v>698</v>
      </c>
      <c r="D388" s="1" t="s">
        <v>43</v>
      </c>
      <c r="E388" s="1" t="s">
        <v>698</v>
      </c>
      <c r="F388" s="1" t="s">
        <v>344</v>
      </c>
      <c r="G388" s="1" t="s">
        <v>318</v>
      </c>
      <c r="H388" s="6">
        <v>2008.0</v>
      </c>
      <c r="I388" s="1" t="s">
        <v>121</v>
      </c>
      <c r="J388" s="1" t="s">
        <v>92</v>
      </c>
      <c r="K388" s="1" t="s">
        <v>93</v>
      </c>
      <c r="M388" s="7">
        <v>2.25E8</v>
      </c>
      <c r="N388" s="7">
        <v>0.0</v>
      </c>
      <c r="O388" s="8">
        <v>45360.0</v>
      </c>
      <c r="P388" s="7">
        <v>3.5070628971E8</v>
      </c>
      <c r="Q388" s="7">
        <v>2.025E8</v>
      </c>
      <c r="R388" s="7">
        <v>0.0</v>
      </c>
      <c r="S388" s="1" t="s">
        <v>52</v>
      </c>
    </row>
    <row r="389" ht="15.0" customHeight="1">
      <c r="B389" s="6">
        <f t="shared" si="1"/>
        <v>387</v>
      </c>
      <c r="C389" s="1" t="s">
        <v>699</v>
      </c>
      <c r="D389" s="1" t="s">
        <v>43</v>
      </c>
      <c r="E389" s="1" t="s">
        <v>699</v>
      </c>
      <c r="F389" s="1" t="s">
        <v>332</v>
      </c>
      <c r="G389" s="1" t="s">
        <v>318</v>
      </c>
      <c r="H389" s="6">
        <v>2008.0</v>
      </c>
      <c r="I389" s="1" t="s">
        <v>121</v>
      </c>
      <c r="J389" s="1" t="s">
        <v>122</v>
      </c>
      <c r="K389" s="1" t="s">
        <v>180</v>
      </c>
      <c r="M389" s="7">
        <v>3.6E8</v>
      </c>
      <c r="N389" s="7">
        <v>0.0</v>
      </c>
      <c r="O389" s="8">
        <v>42004.0</v>
      </c>
      <c r="P389" s="7">
        <v>4.866801894736E8</v>
      </c>
      <c r="Q389" s="7">
        <v>3.64525234E8</v>
      </c>
      <c r="R389" s="7">
        <v>0.0</v>
      </c>
      <c r="S389" s="1" t="s">
        <v>52</v>
      </c>
    </row>
    <row r="390" ht="15.0" customHeight="1">
      <c r="B390" s="6">
        <f t="shared" si="1"/>
        <v>388</v>
      </c>
      <c r="C390" s="1" t="s">
        <v>700</v>
      </c>
      <c r="D390" s="1" t="s">
        <v>43</v>
      </c>
      <c r="E390" s="1" t="s">
        <v>700</v>
      </c>
      <c r="F390" s="1" t="s">
        <v>701</v>
      </c>
      <c r="G390" s="1" t="s">
        <v>318</v>
      </c>
      <c r="H390" s="6">
        <v>2007.0</v>
      </c>
      <c r="I390" s="1" t="s">
        <v>121</v>
      </c>
      <c r="J390" s="1" t="s">
        <v>122</v>
      </c>
      <c r="K390" s="1" t="s">
        <v>127</v>
      </c>
      <c r="M390" s="7">
        <v>2.0E8</v>
      </c>
      <c r="N390" s="7">
        <v>1634000.0</v>
      </c>
      <c r="O390" s="8">
        <v>46112.0</v>
      </c>
      <c r="P390" s="7">
        <v>2.0474106759E8</v>
      </c>
      <c r="Q390" s="7">
        <v>2.2481572034E8</v>
      </c>
      <c r="R390" s="7">
        <v>-0.05</v>
      </c>
      <c r="S390" s="1" t="s">
        <v>52</v>
      </c>
    </row>
    <row r="391" ht="15.0" customHeight="1">
      <c r="B391" s="6">
        <f t="shared" si="1"/>
        <v>389</v>
      </c>
      <c r="C391" s="1" t="s">
        <v>702</v>
      </c>
      <c r="D391" s="1" t="s">
        <v>43</v>
      </c>
      <c r="E391" s="1" t="s">
        <v>702</v>
      </c>
      <c r="F391" s="1" t="s">
        <v>703</v>
      </c>
      <c r="G391" s="1" t="s">
        <v>318</v>
      </c>
      <c r="H391" s="6">
        <v>2007.0</v>
      </c>
      <c r="I391" s="1" t="s">
        <v>121</v>
      </c>
      <c r="J391" s="1" t="s">
        <v>122</v>
      </c>
      <c r="K391" s="1" t="s">
        <v>127</v>
      </c>
      <c r="M391" s="7">
        <v>2.0E8</v>
      </c>
      <c r="N391" s="7">
        <v>0.0</v>
      </c>
      <c r="O391" s="8">
        <v>42004.0</v>
      </c>
      <c r="P391" s="7">
        <v>2.153925721287E8</v>
      </c>
      <c r="Q391" s="7">
        <v>1.8733086759E8</v>
      </c>
      <c r="R391" s="7">
        <v>0.2</v>
      </c>
      <c r="S391" s="1" t="s">
        <v>52</v>
      </c>
    </row>
    <row r="392" ht="15.0" hidden="1" customHeight="1">
      <c r="B392" s="6">
        <f t="shared" si="1"/>
        <v>390</v>
      </c>
      <c r="C392" s="1" t="s">
        <v>704</v>
      </c>
      <c r="D392" s="1" t="s">
        <v>43</v>
      </c>
      <c r="E392" s="1" t="s">
        <v>704</v>
      </c>
      <c r="F392" s="1" t="s">
        <v>383</v>
      </c>
      <c r="G392" s="1" t="s">
        <v>318</v>
      </c>
      <c r="H392" s="6">
        <v>2008.0</v>
      </c>
      <c r="I392" s="1" t="s">
        <v>121</v>
      </c>
      <c r="J392" s="1" t="s">
        <v>92</v>
      </c>
      <c r="K392" s="1" t="s">
        <v>573</v>
      </c>
      <c r="M392" s="7">
        <v>2.0E8</v>
      </c>
      <c r="N392" s="7">
        <v>0.0</v>
      </c>
      <c r="O392" s="8">
        <v>42916.0</v>
      </c>
      <c r="P392" s="7">
        <v>2.65457819E8</v>
      </c>
      <c r="Q392" s="7">
        <v>1.7766410659E8</v>
      </c>
      <c r="R392" s="7">
        <v>0.0</v>
      </c>
      <c r="S392" s="1" t="s">
        <v>45</v>
      </c>
    </row>
    <row r="393" ht="15.0" customHeight="1">
      <c r="B393" s="6">
        <f t="shared" si="1"/>
        <v>391</v>
      </c>
      <c r="C393" s="1" t="s">
        <v>705</v>
      </c>
      <c r="D393" s="1" t="s">
        <v>43</v>
      </c>
      <c r="E393" s="1" t="s">
        <v>705</v>
      </c>
      <c r="F393" s="1" t="s">
        <v>37</v>
      </c>
      <c r="G393" s="1" t="s">
        <v>318</v>
      </c>
      <c r="H393" s="6">
        <v>2008.0</v>
      </c>
      <c r="I393" s="1" t="s">
        <v>121</v>
      </c>
      <c r="J393" s="1" t="s">
        <v>274</v>
      </c>
      <c r="K393" s="1" t="s">
        <v>173</v>
      </c>
      <c r="M393" s="7">
        <v>1.0E8</v>
      </c>
      <c r="N393" s="7">
        <v>0.0</v>
      </c>
      <c r="O393" s="8">
        <v>45651.0</v>
      </c>
      <c r="P393" s="7">
        <v>1.5438145947E8</v>
      </c>
      <c r="Q393" s="7">
        <v>9.598495286E7</v>
      </c>
      <c r="R393" s="7">
        <v>0.34</v>
      </c>
      <c r="S393" s="1" t="s">
        <v>52</v>
      </c>
    </row>
    <row r="394" ht="15.0" customHeight="1">
      <c r="B394" s="6">
        <f t="shared" si="1"/>
        <v>392</v>
      </c>
      <c r="C394" s="1" t="s">
        <v>706</v>
      </c>
      <c r="D394" s="1" t="s">
        <v>43</v>
      </c>
      <c r="E394" s="1" t="s">
        <v>706</v>
      </c>
      <c r="F394" s="1" t="s">
        <v>37</v>
      </c>
      <c r="G394" s="1" t="s">
        <v>318</v>
      </c>
      <c r="H394" s="6">
        <v>2008.0</v>
      </c>
      <c r="I394" s="1" t="s">
        <v>150</v>
      </c>
      <c r="J394" s="1" t="s">
        <v>274</v>
      </c>
      <c r="K394" s="1" t="s">
        <v>204</v>
      </c>
      <c r="M394" s="7">
        <v>5.0E7</v>
      </c>
      <c r="N394" s="7">
        <v>0.0</v>
      </c>
      <c r="O394" s="8">
        <v>45647.0</v>
      </c>
      <c r="P394" s="7">
        <v>8.178110655E7</v>
      </c>
      <c r="Q394" s="7">
        <v>5.888311302E7</v>
      </c>
      <c r="R394" s="7">
        <v>0.44</v>
      </c>
      <c r="S394" s="1" t="s">
        <v>52</v>
      </c>
    </row>
    <row r="395" ht="15.0" customHeight="1">
      <c r="B395" s="6">
        <f t="shared" si="1"/>
        <v>393</v>
      </c>
      <c r="C395" s="1" t="s">
        <v>707</v>
      </c>
      <c r="D395" s="1" t="s">
        <v>43</v>
      </c>
      <c r="E395" s="1" t="s">
        <v>707</v>
      </c>
      <c r="F395" s="1" t="s">
        <v>154</v>
      </c>
      <c r="G395" s="1" t="s">
        <v>318</v>
      </c>
      <c r="H395" s="6">
        <v>2008.0</v>
      </c>
      <c r="I395" s="1" t="s">
        <v>164</v>
      </c>
      <c r="J395" s="1" t="s">
        <v>92</v>
      </c>
      <c r="K395" s="1" t="s">
        <v>93</v>
      </c>
      <c r="M395" s="7">
        <v>1.5E8</v>
      </c>
      <c r="N395" s="7">
        <v>5473518.45</v>
      </c>
      <c r="O395" s="8">
        <v>46112.0</v>
      </c>
      <c r="P395" s="7">
        <v>8.01556392E7</v>
      </c>
      <c r="Q395" s="7">
        <v>1.7779319731E8</v>
      </c>
      <c r="R395" s="7">
        <v>6746546.86</v>
      </c>
      <c r="S395" s="1" t="s">
        <v>52</v>
      </c>
    </row>
    <row r="396" ht="15.0" hidden="1" customHeight="1">
      <c r="B396" s="6">
        <f t="shared" si="1"/>
        <v>394</v>
      </c>
      <c r="C396" s="1" t="s">
        <v>708</v>
      </c>
      <c r="D396" s="1" t="s">
        <v>43</v>
      </c>
      <c r="E396" s="1" t="s">
        <v>708</v>
      </c>
      <c r="F396" s="1" t="s">
        <v>120</v>
      </c>
      <c r="G396" s="1" t="s">
        <v>318</v>
      </c>
      <c r="H396" s="6">
        <v>2007.0</v>
      </c>
      <c r="I396" s="1" t="s">
        <v>121</v>
      </c>
      <c r="J396" s="1" t="s">
        <v>274</v>
      </c>
      <c r="K396" s="1" t="s">
        <v>275</v>
      </c>
      <c r="M396" s="7">
        <v>1.5E8</v>
      </c>
      <c r="N396" s="7">
        <v>309235.0</v>
      </c>
      <c r="O396" s="8">
        <v>46112.0</v>
      </c>
      <c r="P396" s="7">
        <v>2.222199142E8</v>
      </c>
      <c r="Q396" s="7">
        <v>1.296763076312E8</v>
      </c>
      <c r="R396" s="7">
        <v>1.95964312588E7</v>
      </c>
      <c r="S396" s="1" t="s">
        <v>45</v>
      </c>
    </row>
    <row r="397" ht="15.0" hidden="1" customHeight="1">
      <c r="B397" s="6">
        <f t="shared" si="1"/>
        <v>395</v>
      </c>
      <c r="C397" s="1" t="s">
        <v>709</v>
      </c>
      <c r="D397" s="1" t="s">
        <v>43</v>
      </c>
      <c r="E397" s="1" t="s">
        <v>709</v>
      </c>
      <c r="F397" s="1" t="s">
        <v>693</v>
      </c>
      <c r="G397" s="1" t="s">
        <v>318</v>
      </c>
      <c r="H397" s="6">
        <v>2008.0</v>
      </c>
      <c r="I397" s="1" t="s">
        <v>121</v>
      </c>
      <c r="J397" s="1" t="s">
        <v>122</v>
      </c>
      <c r="K397" s="1" t="s">
        <v>180</v>
      </c>
      <c r="M397" s="7">
        <v>3.0E8</v>
      </c>
      <c r="N397" s="7">
        <v>8823498.0</v>
      </c>
      <c r="O397" s="8">
        <v>46022.0</v>
      </c>
      <c r="P397" s="7">
        <v>7.3173502506E8</v>
      </c>
      <c r="Q397" s="7">
        <v>3.2182434174E8</v>
      </c>
      <c r="R397" s="7">
        <v>4274008.1223</v>
      </c>
      <c r="S397" s="1" t="s">
        <v>45</v>
      </c>
    </row>
    <row r="398" ht="15.0" customHeight="1">
      <c r="B398" s="6">
        <f t="shared" si="1"/>
        <v>396</v>
      </c>
      <c r="C398" s="1" t="s">
        <v>710</v>
      </c>
      <c r="D398" s="1" t="s">
        <v>43</v>
      </c>
      <c r="E398" s="1" t="s">
        <v>710</v>
      </c>
      <c r="F398" s="1" t="s">
        <v>627</v>
      </c>
      <c r="G398" s="1" t="s">
        <v>318</v>
      </c>
      <c r="H398" s="6">
        <v>2008.0</v>
      </c>
      <c r="I398" s="1" t="s">
        <v>121</v>
      </c>
      <c r="J398" s="1" t="s">
        <v>122</v>
      </c>
      <c r="K398" s="1" t="s">
        <v>123</v>
      </c>
      <c r="M398" s="7">
        <v>8.0954545E7</v>
      </c>
      <c r="N398" s="7">
        <v>0.0</v>
      </c>
      <c r="O398" s="8">
        <v>44439.0</v>
      </c>
      <c r="P398" s="7">
        <v>1.563083025E8</v>
      </c>
      <c r="Q398" s="7">
        <v>7.109852437E7</v>
      </c>
      <c r="R398" s="7">
        <v>0.0</v>
      </c>
      <c r="S398" s="1" t="s">
        <v>52</v>
      </c>
    </row>
    <row r="399" ht="15.0" hidden="1" customHeight="1">
      <c r="B399" s="6">
        <f t="shared" si="1"/>
        <v>397</v>
      </c>
      <c r="C399" s="1" t="s">
        <v>711</v>
      </c>
      <c r="D399" s="1" t="s">
        <v>43</v>
      </c>
      <c r="E399" s="1" t="s">
        <v>711</v>
      </c>
      <c r="F399" s="1" t="s">
        <v>712</v>
      </c>
      <c r="G399" s="1" t="s">
        <v>318</v>
      </c>
      <c r="H399" s="6">
        <v>2007.0</v>
      </c>
      <c r="I399" s="1" t="s">
        <v>121</v>
      </c>
      <c r="J399" s="1" t="s">
        <v>122</v>
      </c>
      <c r="K399" s="1" t="s">
        <v>127</v>
      </c>
      <c r="M399" s="7">
        <v>1.5E8</v>
      </c>
      <c r="N399" s="7">
        <v>0.0</v>
      </c>
      <c r="O399" s="8">
        <v>42004.0</v>
      </c>
      <c r="P399" s="7">
        <v>2.228863862474E8</v>
      </c>
      <c r="Q399" s="7">
        <v>1.3736330539E8</v>
      </c>
      <c r="R399" s="7">
        <v>0.09</v>
      </c>
      <c r="S399" s="1" t="s">
        <v>45</v>
      </c>
    </row>
    <row r="400" ht="15.0" customHeight="1">
      <c r="B400" s="6">
        <f t="shared" si="1"/>
        <v>398</v>
      </c>
      <c r="C400" s="1" t="s">
        <v>713</v>
      </c>
      <c r="D400" s="1" t="s">
        <v>43</v>
      </c>
      <c r="E400" s="1" t="s">
        <v>713</v>
      </c>
      <c r="F400" s="1" t="s">
        <v>413</v>
      </c>
      <c r="G400" s="1" t="s">
        <v>318</v>
      </c>
      <c r="H400" s="6">
        <v>2008.0</v>
      </c>
      <c r="I400" s="1" t="s">
        <v>121</v>
      </c>
      <c r="J400" s="1" t="s">
        <v>274</v>
      </c>
      <c r="K400" s="1" t="s">
        <v>275</v>
      </c>
      <c r="M400" s="7">
        <v>1.5E8</v>
      </c>
      <c r="N400" s="7">
        <v>415733.23</v>
      </c>
      <c r="O400" s="8">
        <v>46022.0</v>
      </c>
      <c r="P400" s="7">
        <v>1.925363979E8</v>
      </c>
      <c r="Q400" s="7">
        <v>1.4564479848E8</v>
      </c>
      <c r="R400" s="7">
        <v>1499999.99</v>
      </c>
      <c r="S400" s="1" t="s">
        <v>52</v>
      </c>
    </row>
    <row r="401" ht="15.0" customHeight="1">
      <c r="B401" s="6">
        <f t="shared" si="1"/>
        <v>399</v>
      </c>
      <c r="C401" s="1" t="s">
        <v>714</v>
      </c>
      <c r="D401" s="1" t="s">
        <v>43</v>
      </c>
      <c r="E401" s="1" t="s">
        <v>714</v>
      </c>
      <c r="F401" s="1" t="s">
        <v>182</v>
      </c>
      <c r="G401" s="1" t="s">
        <v>318</v>
      </c>
      <c r="H401" s="6">
        <v>2007.0</v>
      </c>
      <c r="I401" s="1" t="s">
        <v>121</v>
      </c>
      <c r="J401" s="1" t="s">
        <v>122</v>
      </c>
      <c r="K401" s="1" t="s">
        <v>127</v>
      </c>
      <c r="M401" s="7">
        <v>2.0E8</v>
      </c>
      <c r="N401" s="7">
        <v>0.0</v>
      </c>
      <c r="O401" s="8">
        <v>45565.0</v>
      </c>
      <c r="P401" s="7">
        <v>4.9120963592E8</v>
      </c>
      <c r="Q401" s="7">
        <v>2.50930017E8</v>
      </c>
      <c r="R401" s="7">
        <v>0.0</v>
      </c>
      <c r="S401" s="1" t="s">
        <v>52</v>
      </c>
    </row>
    <row r="402" ht="15.0" hidden="1" customHeight="1">
      <c r="B402" s="6">
        <f t="shared" si="1"/>
        <v>400</v>
      </c>
      <c r="C402" s="1" t="s">
        <v>715</v>
      </c>
      <c r="D402" s="1" t="s">
        <v>43</v>
      </c>
      <c r="E402" s="1" t="s">
        <v>715</v>
      </c>
      <c r="F402" s="1" t="s">
        <v>125</v>
      </c>
      <c r="G402" s="1" t="s">
        <v>318</v>
      </c>
      <c r="H402" s="6">
        <v>2008.0</v>
      </c>
      <c r="I402" s="1" t="s">
        <v>121</v>
      </c>
      <c r="J402" s="1" t="s">
        <v>122</v>
      </c>
      <c r="K402" s="1" t="s">
        <v>127</v>
      </c>
      <c r="M402" s="7">
        <v>3.0E8</v>
      </c>
      <c r="N402" s="7">
        <v>0.0</v>
      </c>
      <c r="O402" s="8">
        <v>45565.0</v>
      </c>
      <c r="P402" s="7">
        <v>4.945005395E8</v>
      </c>
      <c r="Q402" s="7">
        <v>2.7677714582E8</v>
      </c>
      <c r="R402" s="7">
        <v>0.0</v>
      </c>
      <c r="S402" s="1" t="s">
        <v>45</v>
      </c>
    </row>
    <row r="403" ht="15.0" customHeight="1">
      <c r="B403" s="6">
        <f t="shared" si="1"/>
        <v>401</v>
      </c>
      <c r="C403" s="1" t="s">
        <v>716</v>
      </c>
      <c r="D403" s="1" t="s">
        <v>43</v>
      </c>
      <c r="E403" s="1" t="s">
        <v>716</v>
      </c>
      <c r="F403" s="1" t="s">
        <v>660</v>
      </c>
      <c r="G403" s="1" t="s">
        <v>318</v>
      </c>
      <c r="H403" s="6">
        <v>2008.0</v>
      </c>
      <c r="I403" s="1" t="s">
        <v>164</v>
      </c>
      <c r="J403" s="1" t="s">
        <v>164</v>
      </c>
      <c r="K403" s="1" t="s">
        <v>164</v>
      </c>
      <c r="M403" s="7">
        <v>2.5E8</v>
      </c>
      <c r="N403" s="7">
        <v>0.0</v>
      </c>
      <c r="O403" s="8">
        <v>45987.0</v>
      </c>
      <c r="P403" s="7">
        <v>1.44646432E8</v>
      </c>
      <c r="Q403" s="7">
        <v>2.75206947E8</v>
      </c>
      <c r="R403" s="7">
        <v>0.0</v>
      </c>
      <c r="S403" s="1" t="s">
        <v>52</v>
      </c>
    </row>
    <row r="404" ht="15.0" customHeight="1">
      <c r="B404" s="6">
        <f t="shared" si="1"/>
        <v>402</v>
      </c>
      <c r="C404" s="1" t="s">
        <v>717</v>
      </c>
      <c r="D404" s="1" t="s">
        <v>43</v>
      </c>
      <c r="E404" s="1" t="s">
        <v>717</v>
      </c>
      <c r="F404" s="1" t="s">
        <v>606</v>
      </c>
      <c r="G404" s="1" t="s">
        <v>318</v>
      </c>
      <c r="H404" s="6">
        <v>2008.0</v>
      </c>
      <c r="I404" s="1" t="s">
        <v>150</v>
      </c>
      <c r="J404" s="1" t="s">
        <v>150</v>
      </c>
      <c r="K404" s="1" t="s">
        <v>470</v>
      </c>
      <c r="M404" s="7">
        <v>5.0E7</v>
      </c>
      <c r="N404" s="7">
        <v>254918.0</v>
      </c>
      <c r="O404" s="8">
        <v>46112.0</v>
      </c>
      <c r="P404" s="7">
        <v>1.3417544504E8</v>
      </c>
      <c r="Q404" s="7">
        <v>5.6434469E7</v>
      </c>
      <c r="R404" s="7">
        <v>412020.02</v>
      </c>
      <c r="S404" s="1" t="s">
        <v>52</v>
      </c>
    </row>
    <row r="405" ht="15.0" customHeight="1">
      <c r="B405" s="6">
        <f t="shared" si="1"/>
        <v>403</v>
      </c>
      <c r="C405" s="1" t="s">
        <v>718</v>
      </c>
      <c r="D405" s="1" t="s">
        <v>43</v>
      </c>
      <c r="E405" s="1" t="s">
        <v>718</v>
      </c>
      <c r="F405" s="1" t="s">
        <v>185</v>
      </c>
      <c r="G405" s="1" t="s">
        <v>318</v>
      </c>
      <c r="H405" s="6">
        <v>2010.0</v>
      </c>
      <c r="I405" s="1" t="s">
        <v>121</v>
      </c>
      <c r="J405" s="1" t="s">
        <v>122</v>
      </c>
      <c r="K405" s="1" t="s">
        <v>127</v>
      </c>
      <c r="M405" s="7">
        <v>2.0E8</v>
      </c>
      <c r="N405" s="7">
        <v>0.0</v>
      </c>
      <c r="O405" s="8">
        <v>44561.0</v>
      </c>
      <c r="P405" s="7">
        <v>3.5850542515E8</v>
      </c>
      <c r="Q405" s="7">
        <v>2.6887342427E8</v>
      </c>
      <c r="R405" s="7">
        <v>0.02</v>
      </c>
      <c r="S405" s="1" t="s">
        <v>52</v>
      </c>
    </row>
    <row r="406" ht="15.0" customHeight="1">
      <c r="B406" s="6">
        <f t="shared" si="1"/>
        <v>404</v>
      </c>
      <c r="C406" s="1" t="s">
        <v>719</v>
      </c>
      <c r="D406" s="1" t="s">
        <v>43</v>
      </c>
      <c r="E406" s="1" t="s">
        <v>719</v>
      </c>
      <c r="F406" s="1" t="s">
        <v>383</v>
      </c>
      <c r="G406" s="1" t="s">
        <v>318</v>
      </c>
      <c r="H406" s="6">
        <v>2010.0</v>
      </c>
      <c r="I406" s="1" t="s">
        <v>164</v>
      </c>
      <c r="J406" s="1" t="s">
        <v>92</v>
      </c>
      <c r="K406" s="1" t="s">
        <v>573</v>
      </c>
      <c r="M406" s="7">
        <v>7.5E7</v>
      </c>
      <c r="N406" s="7">
        <v>2920522.0</v>
      </c>
      <c r="O406" s="8">
        <v>46112.0</v>
      </c>
      <c r="P406" s="7">
        <v>7.7694857E7</v>
      </c>
      <c r="Q406" s="7">
        <v>7.6892726E7</v>
      </c>
      <c r="R406" s="7">
        <v>0.0</v>
      </c>
      <c r="S406" s="1" t="s">
        <v>52</v>
      </c>
    </row>
    <row r="407" ht="15.0" customHeight="1">
      <c r="B407" s="6">
        <f t="shared" si="1"/>
        <v>405</v>
      </c>
      <c r="C407" s="1" t="s">
        <v>720</v>
      </c>
      <c r="D407" s="1" t="s">
        <v>43</v>
      </c>
      <c r="E407" s="1" t="s">
        <v>720</v>
      </c>
      <c r="F407" s="1" t="s">
        <v>37</v>
      </c>
      <c r="G407" s="1" t="s">
        <v>318</v>
      </c>
      <c r="H407" s="6">
        <v>2011.0</v>
      </c>
      <c r="I407" s="1" t="s">
        <v>121</v>
      </c>
      <c r="J407" s="1" t="s">
        <v>274</v>
      </c>
      <c r="K407" s="1" t="s">
        <v>173</v>
      </c>
      <c r="M407" s="7">
        <v>1.5E8</v>
      </c>
      <c r="N407" s="7">
        <v>0.0</v>
      </c>
      <c r="O407" s="8">
        <v>45653.0</v>
      </c>
      <c r="P407" s="7">
        <v>2.0883354456E8</v>
      </c>
      <c r="Q407" s="7">
        <v>1.2704188731E8</v>
      </c>
      <c r="R407" s="7">
        <v>1.36</v>
      </c>
      <c r="S407" s="1" t="s">
        <v>52</v>
      </c>
    </row>
    <row r="408" ht="15.0" customHeight="1">
      <c r="B408" s="6">
        <f t="shared" si="1"/>
        <v>406</v>
      </c>
      <c r="C408" s="1" t="s">
        <v>721</v>
      </c>
      <c r="D408" s="1" t="s">
        <v>43</v>
      </c>
      <c r="E408" s="1" t="s">
        <v>721</v>
      </c>
      <c r="F408" s="1" t="s">
        <v>722</v>
      </c>
      <c r="G408" s="1" t="s">
        <v>318</v>
      </c>
      <c r="H408" s="6">
        <v>2010.0</v>
      </c>
      <c r="I408" s="1" t="s">
        <v>126</v>
      </c>
      <c r="J408" s="1" t="s">
        <v>126</v>
      </c>
      <c r="K408" s="1" t="s">
        <v>126</v>
      </c>
      <c r="M408" s="7">
        <v>4.0E7</v>
      </c>
      <c r="N408" s="7">
        <v>7788936.0</v>
      </c>
      <c r="O408" s="8">
        <v>46112.0</v>
      </c>
      <c r="P408" s="7">
        <v>5.6684877E7</v>
      </c>
      <c r="Q408" s="7">
        <v>3.6363231E7</v>
      </c>
      <c r="R408" s="7">
        <v>6333314.0</v>
      </c>
      <c r="S408" s="1" t="s">
        <v>52</v>
      </c>
    </row>
    <row r="409" ht="15.0" customHeight="1">
      <c r="B409" s="6">
        <f t="shared" si="1"/>
        <v>407</v>
      </c>
      <c r="C409" s="1" t="s">
        <v>723</v>
      </c>
      <c r="D409" s="1" t="s">
        <v>43</v>
      </c>
      <c r="E409" s="1" t="s">
        <v>723</v>
      </c>
      <c r="F409" s="1" t="s">
        <v>677</v>
      </c>
      <c r="G409" s="1" t="s">
        <v>318</v>
      </c>
      <c r="H409" s="6">
        <v>2011.0</v>
      </c>
      <c r="I409" s="1" t="s">
        <v>121</v>
      </c>
      <c r="J409" s="1" t="s">
        <v>122</v>
      </c>
      <c r="K409" s="1" t="s">
        <v>127</v>
      </c>
      <c r="M409" s="7">
        <v>1.0E8</v>
      </c>
      <c r="N409" s="7">
        <v>2491012.0</v>
      </c>
      <c r="O409" s="8">
        <v>46112.0</v>
      </c>
      <c r="P409" s="7">
        <v>1.04227169E8</v>
      </c>
      <c r="Q409" s="7">
        <v>1.1294337E8</v>
      </c>
      <c r="R409" s="7">
        <v>9856390.0</v>
      </c>
      <c r="S409" s="1" t="s">
        <v>52</v>
      </c>
    </row>
    <row r="410" ht="15.0" customHeight="1">
      <c r="B410" s="6">
        <f t="shared" si="1"/>
        <v>408</v>
      </c>
      <c r="C410" s="1" t="s">
        <v>724</v>
      </c>
      <c r="D410" s="1" t="s">
        <v>43</v>
      </c>
      <c r="E410" s="1" t="s">
        <v>725</v>
      </c>
      <c r="F410" s="1" t="s">
        <v>156</v>
      </c>
      <c r="G410" s="1" t="s">
        <v>318</v>
      </c>
      <c r="H410" s="6">
        <v>1999.0</v>
      </c>
      <c r="I410" s="1" t="s">
        <v>150</v>
      </c>
      <c r="J410" s="1" t="s">
        <v>150</v>
      </c>
      <c r="K410" s="1" t="s">
        <v>151</v>
      </c>
      <c r="M410" s="7">
        <v>6.75E7</v>
      </c>
      <c r="N410" s="7">
        <v>0.0</v>
      </c>
      <c r="O410" s="8">
        <v>44334.0</v>
      </c>
      <c r="P410" s="7">
        <v>1.14176376E8</v>
      </c>
      <c r="Q410" s="7">
        <v>6.5659367E7</v>
      </c>
      <c r="R410" s="7">
        <v>0.0</v>
      </c>
      <c r="S410" s="1" t="s">
        <v>52</v>
      </c>
    </row>
    <row r="411" ht="15.0" customHeight="1">
      <c r="B411" s="6">
        <f t="shared" si="1"/>
        <v>409</v>
      </c>
      <c r="C411" s="1" t="s">
        <v>726</v>
      </c>
      <c r="D411" s="1" t="s">
        <v>43</v>
      </c>
      <c r="E411" s="1" t="s">
        <v>726</v>
      </c>
      <c r="F411" s="1" t="s">
        <v>190</v>
      </c>
      <c r="G411" s="1" t="s">
        <v>318</v>
      </c>
      <c r="H411" s="6">
        <v>2011.0</v>
      </c>
      <c r="I411" s="1" t="s">
        <v>121</v>
      </c>
      <c r="J411" s="1" t="s">
        <v>122</v>
      </c>
      <c r="K411" s="1" t="s">
        <v>127</v>
      </c>
      <c r="M411" s="7">
        <v>6.5E7</v>
      </c>
      <c r="N411" s="7">
        <v>0.0</v>
      </c>
      <c r="O411" s="8">
        <v>46126.0</v>
      </c>
      <c r="P411" s="7">
        <v>1.8988052971E8</v>
      </c>
      <c r="Q411" s="7">
        <v>6.913836073E7</v>
      </c>
      <c r="R411" s="7">
        <v>0.0</v>
      </c>
      <c r="S411" s="1" t="s">
        <v>52</v>
      </c>
    </row>
    <row r="412" ht="15.0" customHeight="1">
      <c r="B412" s="6">
        <f t="shared" si="1"/>
        <v>410</v>
      </c>
      <c r="C412" s="1" t="s">
        <v>727</v>
      </c>
      <c r="D412" s="1" t="s">
        <v>43</v>
      </c>
      <c r="E412" s="1" t="s">
        <v>727</v>
      </c>
      <c r="F412" s="1" t="s">
        <v>143</v>
      </c>
      <c r="G412" s="1" t="s">
        <v>318</v>
      </c>
      <c r="H412" s="6">
        <v>2011.0</v>
      </c>
      <c r="I412" s="1" t="s">
        <v>121</v>
      </c>
      <c r="J412" s="1" t="s">
        <v>122</v>
      </c>
      <c r="K412" s="1" t="s">
        <v>123</v>
      </c>
      <c r="M412" s="7">
        <v>7.0E7</v>
      </c>
      <c r="N412" s="7">
        <v>1.2395588E7</v>
      </c>
      <c r="O412" s="8">
        <v>46112.0</v>
      </c>
      <c r="P412" s="7">
        <v>1.04177745E8</v>
      </c>
      <c r="Q412" s="7">
        <v>8.2405589E7</v>
      </c>
      <c r="R412" s="7">
        <v>1005144.0</v>
      </c>
      <c r="S412" s="1" t="s">
        <v>52</v>
      </c>
    </row>
    <row r="413" ht="15.0" customHeight="1">
      <c r="B413" s="6">
        <f t="shared" si="1"/>
        <v>411</v>
      </c>
      <c r="C413" s="1" t="s">
        <v>728</v>
      </c>
      <c r="D413" s="1" t="s">
        <v>43</v>
      </c>
      <c r="E413" s="1" t="s">
        <v>728</v>
      </c>
      <c r="F413" s="1" t="s">
        <v>163</v>
      </c>
      <c r="G413" s="1" t="s">
        <v>318</v>
      </c>
      <c r="H413" s="6">
        <v>2011.0</v>
      </c>
      <c r="I413" s="1" t="s">
        <v>164</v>
      </c>
      <c r="J413" s="1" t="s">
        <v>661</v>
      </c>
      <c r="K413" s="1" t="s">
        <v>729</v>
      </c>
      <c r="M413" s="7">
        <v>1.0E8</v>
      </c>
      <c r="N413" s="7">
        <v>7010617.0</v>
      </c>
      <c r="O413" s="8">
        <v>46112.0</v>
      </c>
      <c r="P413" s="7">
        <v>9.9307013E7</v>
      </c>
      <c r="Q413" s="7">
        <v>1.05173568E8</v>
      </c>
      <c r="R413" s="7">
        <v>115398.0</v>
      </c>
      <c r="S413" s="1" t="s">
        <v>52</v>
      </c>
    </row>
    <row r="414" ht="15.0" customHeight="1">
      <c r="B414" s="6">
        <f t="shared" si="1"/>
        <v>412</v>
      </c>
      <c r="C414" s="1" t="s">
        <v>730</v>
      </c>
      <c r="D414" s="1" t="s">
        <v>43</v>
      </c>
      <c r="E414" s="1" t="s">
        <v>730</v>
      </c>
      <c r="F414" s="1" t="s">
        <v>701</v>
      </c>
      <c r="G414" s="1" t="s">
        <v>318</v>
      </c>
      <c r="H414" s="6">
        <v>2011.0</v>
      </c>
      <c r="I414" s="1" t="s">
        <v>121</v>
      </c>
      <c r="J414" s="1" t="s">
        <v>122</v>
      </c>
      <c r="K414" s="1" t="s">
        <v>127</v>
      </c>
      <c r="M414" s="7">
        <v>1.0E8</v>
      </c>
      <c r="N414" s="7">
        <v>1402000.0</v>
      </c>
      <c r="O414" s="8">
        <v>46112.0</v>
      </c>
      <c r="P414" s="7">
        <v>1.4182207493E8</v>
      </c>
      <c r="Q414" s="7">
        <v>1.2384392581E8</v>
      </c>
      <c r="R414" s="7">
        <v>4204821.05</v>
      </c>
      <c r="S414" s="1" t="s">
        <v>52</v>
      </c>
    </row>
    <row r="415" ht="15.0" customHeight="1">
      <c r="B415" s="6">
        <f t="shared" si="1"/>
        <v>413</v>
      </c>
      <c r="C415" s="1" t="s">
        <v>731</v>
      </c>
      <c r="D415" s="1" t="s">
        <v>43</v>
      </c>
      <c r="E415" s="1" t="s">
        <v>731</v>
      </c>
      <c r="F415" s="1" t="s">
        <v>214</v>
      </c>
      <c r="G415" s="1" t="s">
        <v>318</v>
      </c>
      <c r="H415" s="6">
        <v>2012.0</v>
      </c>
      <c r="I415" s="1" t="s">
        <v>121</v>
      </c>
      <c r="J415" s="1" t="s">
        <v>122</v>
      </c>
      <c r="K415" s="1" t="s">
        <v>127</v>
      </c>
      <c r="M415" s="7">
        <v>2.0E8</v>
      </c>
      <c r="N415" s="7">
        <v>0.0</v>
      </c>
      <c r="O415" s="8">
        <v>45565.0</v>
      </c>
      <c r="P415" s="7">
        <v>3.8575961199E8</v>
      </c>
      <c r="Q415" s="7">
        <v>1.7103942487E8</v>
      </c>
      <c r="R415" s="7">
        <v>0.37</v>
      </c>
      <c r="S415" s="1" t="s">
        <v>52</v>
      </c>
    </row>
    <row r="416" ht="15.0" customHeight="1">
      <c r="B416" s="6">
        <f t="shared" si="1"/>
        <v>414</v>
      </c>
      <c r="C416" s="1" t="s">
        <v>732</v>
      </c>
      <c r="D416" s="1" t="s">
        <v>43</v>
      </c>
      <c r="E416" s="1" t="s">
        <v>732</v>
      </c>
      <c r="F416" s="1" t="s">
        <v>245</v>
      </c>
      <c r="G416" s="1" t="s">
        <v>318</v>
      </c>
      <c r="H416" s="6">
        <v>2012.0</v>
      </c>
      <c r="I416" s="1" t="s">
        <v>126</v>
      </c>
      <c r="J416" s="1" t="s">
        <v>126</v>
      </c>
      <c r="K416" s="1" t="s">
        <v>126</v>
      </c>
      <c r="M416" s="7">
        <v>1.0E8</v>
      </c>
      <c r="N416" s="7">
        <v>1.1326583E7</v>
      </c>
      <c r="O416" s="8">
        <v>46112.0</v>
      </c>
      <c r="P416" s="7">
        <v>2.56678622E8</v>
      </c>
      <c r="Q416" s="7">
        <v>1.11785326E8</v>
      </c>
      <c r="R416" s="7">
        <v>1.2774672E7</v>
      </c>
      <c r="S416" s="1" t="s">
        <v>52</v>
      </c>
    </row>
    <row r="417" ht="15.0" customHeight="1">
      <c r="B417" s="6">
        <f t="shared" si="1"/>
        <v>415</v>
      </c>
      <c r="C417" s="1" t="s">
        <v>733</v>
      </c>
      <c r="D417" s="1" t="s">
        <v>43</v>
      </c>
      <c r="E417" s="1" t="s">
        <v>733</v>
      </c>
      <c r="F417" s="1" t="s">
        <v>245</v>
      </c>
      <c r="G417" s="1" t="s">
        <v>318</v>
      </c>
      <c r="H417" s="6">
        <v>2012.0</v>
      </c>
      <c r="I417" s="1" t="s">
        <v>126</v>
      </c>
      <c r="J417" s="1" t="s">
        <v>126</v>
      </c>
      <c r="K417" s="1" t="s">
        <v>126</v>
      </c>
      <c r="M417" s="7">
        <v>2.5E7</v>
      </c>
      <c r="N417" s="7">
        <v>3312252.0</v>
      </c>
      <c r="O417" s="8">
        <v>46112.0</v>
      </c>
      <c r="P417" s="7">
        <v>6.1892043E7</v>
      </c>
      <c r="Q417" s="7">
        <v>2.715473E7</v>
      </c>
      <c r="R417" s="7">
        <v>2568002.0</v>
      </c>
      <c r="S417" s="1" t="s">
        <v>52</v>
      </c>
    </row>
    <row r="418" ht="15.0" customHeight="1">
      <c r="B418" s="6">
        <f t="shared" si="1"/>
        <v>416</v>
      </c>
      <c r="C418" s="1" t="s">
        <v>734</v>
      </c>
      <c r="D418" s="1" t="s">
        <v>43</v>
      </c>
      <c r="E418" s="1" t="s">
        <v>734</v>
      </c>
      <c r="F418" s="1" t="s">
        <v>160</v>
      </c>
      <c r="G418" s="1" t="s">
        <v>318</v>
      </c>
      <c r="H418" s="6">
        <v>2012.0</v>
      </c>
      <c r="I418" s="1" t="s">
        <v>121</v>
      </c>
      <c r="J418" s="1" t="s">
        <v>122</v>
      </c>
      <c r="K418" s="1" t="s">
        <v>123</v>
      </c>
      <c r="M418" s="7">
        <v>1.0E8</v>
      </c>
      <c r="N418" s="7">
        <v>0.0</v>
      </c>
      <c r="O418" s="8">
        <v>43555.0</v>
      </c>
      <c r="P418" s="7">
        <v>1.1083145446E8</v>
      </c>
      <c r="Q418" s="7">
        <v>8.685548415E7</v>
      </c>
      <c r="R418" s="7">
        <v>-0.15</v>
      </c>
      <c r="S418" s="1" t="s">
        <v>52</v>
      </c>
    </row>
    <row r="419" ht="15.0" customHeight="1">
      <c r="B419" s="6">
        <f t="shared" si="1"/>
        <v>417</v>
      </c>
      <c r="C419" s="1" t="s">
        <v>735</v>
      </c>
      <c r="D419" s="1" t="s">
        <v>43</v>
      </c>
      <c r="E419" s="1" t="s">
        <v>735</v>
      </c>
      <c r="F419" s="1" t="s">
        <v>736</v>
      </c>
      <c r="G419" s="1" t="s">
        <v>318</v>
      </c>
      <c r="H419" s="6">
        <v>2011.0</v>
      </c>
      <c r="I419" s="1" t="s">
        <v>164</v>
      </c>
      <c r="J419" s="1" t="s">
        <v>661</v>
      </c>
      <c r="K419" s="1" t="s">
        <v>737</v>
      </c>
      <c r="M419" s="7">
        <v>7.5E7</v>
      </c>
      <c r="N419" s="7">
        <v>2.504008077E7</v>
      </c>
      <c r="O419" s="8">
        <v>46112.0</v>
      </c>
      <c r="P419" s="7">
        <v>4.975147193E7</v>
      </c>
      <c r="Q419" s="7">
        <v>8.8759511E7</v>
      </c>
      <c r="R419" s="7">
        <v>3769388.0</v>
      </c>
      <c r="S419" s="1" t="s">
        <v>52</v>
      </c>
    </row>
    <row r="420" ht="15.0" customHeight="1">
      <c r="B420" s="6">
        <f t="shared" si="1"/>
        <v>418</v>
      </c>
      <c r="C420" s="1" t="s">
        <v>738</v>
      </c>
      <c r="D420" s="1" t="s">
        <v>43</v>
      </c>
      <c r="E420" s="1" t="s">
        <v>738</v>
      </c>
      <c r="F420" s="1" t="s">
        <v>739</v>
      </c>
      <c r="G420" s="1" t="s">
        <v>318</v>
      </c>
      <c r="H420" s="6">
        <v>2010.0</v>
      </c>
      <c r="I420" s="1" t="s">
        <v>121</v>
      </c>
      <c r="J420" s="1" t="s">
        <v>274</v>
      </c>
      <c r="K420" s="1" t="s">
        <v>275</v>
      </c>
      <c r="M420" s="7">
        <v>1.0E8</v>
      </c>
      <c r="N420" s="7">
        <v>599800.0</v>
      </c>
      <c r="O420" s="8">
        <v>46112.0</v>
      </c>
      <c r="P420" s="7">
        <v>1.2212593584E8</v>
      </c>
      <c r="Q420" s="7">
        <v>7.02386848E7</v>
      </c>
      <c r="R420" s="7">
        <v>5000000.0</v>
      </c>
      <c r="S420" s="1" t="s">
        <v>52</v>
      </c>
    </row>
    <row r="421" ht="15.0" customHeight="1">
      <c r="B421" s="6">
        <f t="shared" si="1"/>
        <v>419</v>
      </c>
      <c r="C421" s="1" t="s">
        <v>740</v>
      </c>
      <c r="D421" s="1" t="s">
        <v>43</v>
      </c>
      <c r="E421" s="1" t="s">
        <v>740</v>
      </c>
      <c r="F421" s="1" t="s">
        <v>120</v>
      </c>
      <c r="G421" s="1" t="s">
        <v>318</v>
      </c>
      <c r="H421" s="6">
        <v>2011.0</v>
      </c>
      <c r="I421" s="1" t="s">
        <v>121</v>
      </c>
      <c r="J421" s="1" t="s">
        <v>274</v>
      </c>
      <c r="K421" s="1" t="s">
        <v>275</v>
      </c>
      <c r="M421" s="7">
        <v>1.0E8</v>
      </c>
      <c r="N421" s="7">
        <v>4518502.0</v>
      </c>
      <c r="O421" s="8">
        <v>46112.0</v>
      </c>
      <c r="P421" s="7">
        <v>1.117731277E8</v>
      </c>
      <c r="Q421" s="7">
        <v>6.317109412E7</v>
      </c>
      <c r="R421" s="7">
        <v>9169927.16</v>
      </c>
      <c r="S421" s="1" t="s">
        <v>52</v>
      </c>
    </row>
    <row r="422" ht="15.0" customHeight="1">
      <c r="B422" s="6">
        <f t="shared" si="1"/>
        <v>420</v>
      </c>
      <c r="C422" s="1" t="s">
        <v>741</v>
      </c>
      <c r="D422" s="1" t="s">
        <v>43</v>
      </c>
      <c r="E422" s="1" t="s">
        <v>741</v>
      </c>
      <c r="F422" s="1" t="s">
        <v>223</v>
      </c>
      <c r="G422" s="1" t="s">
        <v>318</v>
      </c>
      <c r="H422" s="6">
        <v>2012.0</v>
      </c>
      <c r="I422" s="1" t="s">
        <v>164</v>
      </c>
      <c r="J422" s="1" t="s">
        <v>92</v>
      </c>
      <c r="K422" s="1" t="s">
        <v>93</v>
      </c>
      <c r="M422" s="7">
        <v>2.0E8</v>
      </c>
      <c r="N422" s="7">
        <v>5.7443672E7</v>
      </c>
      <c r="O422" s="8">
        <v>46112.0</v>
      </c>
      <c r="P422" s="7">
        <v>3.4204177517E8</v>
      </c>
      <c r="Q422" s="7">
        <v>2.0803196557E8</v>
      </c>
      <c r="R422" s="7">
        <v>7658947.24</v>
      </c>
      <c r="S422" s="1" t="s">
        <v>52</v>
      </c>
    </row>
    <row r="423" ht="15.0" customHeight="1">
      <c r="B423" s="6">
        <f t="shared" si="1"/>
        <v>421</v>
      </c>
      <c r="C423" s="1" t="s">
        <v>742</v>
      </c>
      <c r="D423" s="1" t="s">
        <v>43</v>
      </c>
      <c r="E423" s="1" t="s">
        <v>742</v>
      </c>
      <c r="F423" s="1" t="s">
        <v>232</v>
      </c>
      <c r="G423" s="1" t="s">
        <v>318</v>
      </c>
      <c r="H423" s="6">
        <v>2012.0</v>
      </c>
      <c r="I423" s="1" t="s">
        <v>121</v>
      </c>
      <c r="J423" s="1" t="s">
        <v>122</v>
      </c>
      <c r="K423" s="1" t="s">
        <v>127</v>
      </c>
      <c r="M423" s="7">
        <v>1.0E8</v>
      </c>
      <c r="N423" s="7">
        <v>8749348.0</v>
      </c>
      <c r="O423" s="8">
        <v>46112.0</v>
      </c>
      <c r="P423" s="7">
        <v>1.86846209E8</v>
      </c>
      <c r="Q423" s="7">
        <v>1.03E8</v>
      </c>
      <c r="R423" s="7">
        <v>1.4946136E7</v>
      </c>
      <c r="S423" s="1" t="s">
        <v>52</v>
      </c>
    </row>
    <row r="424" ht="15.0" customHeight="1">
      <c r="B424" s="6">
        <f t="shared" si="1"/>
        <v>422</v>
      </c>
      <c r="C424" s="1" t="s">
        <v>743</v>
      </c>
      <c r="D424" s="1" t="s">
        <v>43</v>
      </c>
      <c r="E424" s="1" t="s">
        <v>743</v>
      </c>
      <c r="F424" s="1" t="s">
        <v>618</v>
      </c>
      <c r="G424" s="1" t="s">
        <v>318</v>
      </c>
      <c r="H424" s="6">
        <v>2012.0</v>
      </c>
      <c r="I424" s="1" t="s">
        <v>150</v>
      </c>
      <c r="J424" s="1" t="s">
        <v>150</v>
      </c>
      <c r="K424" s="1" t="s">
        <v>470</v>
      </c>
      <c r="M424" s="7">
        <v>5.0E7</v>
      </c>
      <c r="N424" s="7">
        <v>2.3488796E7</v>
      </c>
      <c r="O424" s="8">
        <v>46112.0</v>
      </c>
      <c r="P424" s="7">
        <v>2.59052519E7</v>
      </c>
      <c r="Q424" s="7">
        <v>4.880370154E7</v>
      </c>
      <c r="R424" s="7">
        <v>1196298.46</v>
      </c>
      <c r="S424" s="1" t="s">
        <v>52</v>
      </c>
    </row>
    <row r="425" ht="15.0" hidden="1" customHeight="1">
      <c r="B425" s="6">
        <f t="shared" si="1"/>
        <v>423</v>
      </c>
      <c r="C425" s="1" t="s">
        <v>744</v>
      </c>
      <c r="D425" s="1" t="s">
        <v>43</v>
      </c>
      <c r="E425" s="1" t="s">
        <v>745</v>
      </c>
      <c r="F425" s="1" t="s">
        <v>129</v>
      </c>
      <c r="G425" s="1" t="s">
        <v>318</v>
      </c>
      <c r="H425" s="6">
        <v>2012.0</v>
      </c>
      <c r="I425" s="1" t="s">
        <v>121</v>
      </c>
      <c r="J425" s="1" t="s">
        <v>122</v>
      </c>
      <c r="K425" s="1" t="s">
        <v>127</v>
      </c>
      <c r="M425" s="7">
        <v>1.0E8</v>
      </c>
      <c r="N425" s="7">
        <v>0.0</v>
      </c>
      <c r="O425" s="8">
        <v>44139.0</v>
      </c>
      <c r="P425" s="7">
        <v>1.803903717E8</v>
      </c>
      <c r="Q425" s="7">
        <v>1.0806610964E8</v>
      </c>
      <c r="R425" s="7">
        <v>0.03</v>
      </c>
      <c r="S425" s="1" t="s">
        <v>45</v>
      </c>
    </row>
    <row r="426" ht="15.0" customHeight="1">
      <c r="B426" s="6">
        <f t="shared" si="1"/>
        <v>424</v>
      </c>
      <c r="C426" s="1" t="s">
        <v>746</v>
      </c>
      <c r="D426" s="1" t="s">
        <v>43</v>
      </c>
      <c r="E426" s="1" t="s">
        <v>746</v>
      </c>
      <c r="F426" s="1" t="s">
        <v>234</v>
      </c>
      <c r="G426" s="1" t="s">
        <v>318</v>
      </c>
      <c r="H426" s="6">
        <v>2012.0</v>
      </c>
      <c r="I426" s="1" t="s">
        <v>121</v>
      </c>
      <c r="J426" s="1" t="s">
        <v>122</v>
      </c>
      <c r="K426" s="1" t="s">
        <v>127</v>
      </c>
      <c r="M426" s="7">
        <v>1.0E8</v>
      </c>
      <c r="N426" s="7">
        <v>0.0</v>
      </c>
      <c r="O426" s="8">
        <v>45565.0</v>
      </c>
      <c r="P426" s="7">
        <v>1.7839734617E8</v>
      </c>
      <c r="Q426" s="7">
        <v>1.1103172962E8</v>
      </c>
      <c r="R426" s="7">
        <v>-0.45</v>
      </c>
      <c r="S426" s="1" t="s">
        <v>52</v>
      </c>
    </row>
    <row r="427" ht="15.0" customHeight="1">
      <c r="B427" s="6">
        <f t="shared" si="1"/>
        <v>425</v>
      </c>
      <c r="C427" s="1" t="s">
        <v>747</v>
      </c>
      <c r="D427" s="1" t="s">
        <v>43</v>
      </c>
      <c r="E427" s="1" t="s">
        <v>747</v>
      </c>
      <c r="F427" s="1" t="s">
        <v>167</v>
      </c>
      <c r="G427" s="1" t="s">
        <v>318</v>
      </c>
      <c r="H427" s="6">
        <v>2012.0</v>
      </c>
      <c r="I427" s="1" t="s">
        <v>126</v>
      </c>
      <c r="J427" s="1" t="s">
        <v>126</v>
      </c>
      <c r="K427" s="1" t="s">
        <v>126</v>
      </c>
      <c r="M427" s="7">
        <v>2.0E8</v>
      </c>
      <c r="N427" s="7">
        <v>6.707044E7</v>
      </c>
      <c r="O427" s="8">
        <v>46112.0</v>
      </c>
      <c r="P427" s="7">
        <v>4.5484026375E8</v>
      </c>
      <c r="Q427" s="7">
        <v>1.8399999981E8</v>
      </c>
      <c r="R427" s="7">
        <v>8000000.19</v>
      </c>
      <c r="S427" s="1" t="s">
        <v>52</v>
      </c>
    </row>
    <row r="428" ht="15.0" customHeight="1">
      <c r="B428" s="6">
        <f t="shared" si="1"/>
        <v>426</v>
      </c>
      <c r="C428" s="1" t="s">
        <v>748</v>
      </c>
      <c r="D428" s="1" t="s">
        <v>43</v>
      </c>
      <c r="E428" s="1" t="s">
        <v>748</v>
      </c>
      <c r="F428" s="1" t="s">
        <v>154</v>
      </c>
      <c r="G428" s="1" t="s">
        <v>318</v>
      </c>
      <c r="H428" s="6">
        <v>2015.0</v>
      </c>
      <c r="I428" s="1" t="s">
        <v>164</v>
      </c>
      <c r="J428" s="1" t="s">
        <v>92</v>
      </c>
      <c r="K428" s="1" t="s">
        <v>93</v>
      </c>
      <c r="M428" s="7">
        <v>1.5E8</v>
      </c>
      <c r="N428" s="7">
        <v>4.454945461E7</v>
      </c>
      <c r="O428" s="8">
        <v>46112.0</v>
      </c>
      <c r="P428" s="7">
        <v>6503054.8</v>
      </c>
      <c r="Q428" s="7">
        <v>1.5E8</v>
      </c>
      <c r="R428" s="7">
        <v>0.0</v>
      </c>
      <c r="S428" s="1" t="s">
        <v>52</v>
      </c>
    </row>
    <row r="429" ht="15.0" customHeight="1">
      <c r="B429" s="6">
        <f t="shared" si="1"/>
        <v>427</v>
      </c>
      <c r="C429" s="1" t="s">
        <v>749</v>
      </c>
      <c r="D429" s="1" t="s">
        <v>43</v>
      </c>
      <c r="E429" s="1" t="s">
        <v>749</v>
      </c>
      <c r="F429" s="1" t="s">
        <v>146</v>
      </c>
      <c r="G429" s="1" t="s">
        <v>318</v>
      </c>
      <c r="H429" s="6">
        <v>2013.0</v>
      </c>
      <c r="I429" s="1" t="s">
        <v>121</v>
      </c>
      <c r="J429" s="1" t="s">
        <v>122</v>
      </c>
      <c r="K429" s="1" t="s">
        <v>123</v>
      </c>
      <c r="M429" s="7">
        <v>6.0E7</v>
      </c>
      <c r="N429" s="7">
        <v>0.0</v>
      </c>
      <c r="O429" s="8">
        <v>45747.0</v>
      </c>
      <c r="P429" s="7">
        <v>1.0254398181E8</v>
      </c>
      <c r="Q429" s="7">
        <v>6.254960281E7</v>
      </c>
      <c r="R429" s="7">
        <v>0.0</v>
      </c>
      <c r="S429" s="1" t="s">
        <v>52</v>
      </c>
    </row>
    <row r="430" ht="15.0" customHeight="1">
      <c r="B430" s="6">
        <f t="shared" si="1"/>
        <v>428</v>
      </c>
      <c r="C430" s="1" t="s">
        <v>750</v>
      </c>
      <c r="D430" s="1" t="s">
        <v>43</v>
      </c>
      <c r="E430" s="1" t="s">
        <v>750</v>
      </c>
      <c r="F430" s="1" t="s">
        <v>131</v>
      </c>
      <c r="G430" s="1" t="s">
        <v>318</v>
      </c>
      <c r="H430" s="6">
        <v>2012.0</v>
      </c>
      <c r="I430" s="1" t="s">
        <v>121</v>
      </c>
      <c r="J430" s="1" t="s">
        <v>122</v>
      </c>
      <c r="K430" s="1" t="s">
        <v>127</v>
      </c>
      <c r="M430" s="7">
        <v>1.0E8</v>
      </c>
      <c r="N430" s="7">
        <v>3.8772423E7</v>
      </c>
      <c r="O430" s="8">
        <v>46112.0</v>
      </c>
      <c r="P430" s="7">
        <v>1.59742386E8</v>
      </c>
      <c r="Q430" s="7">
        <v>1.26048478E8</v>
      </c>
      <c r="R430" s="7">
        <v>1.3840189E7</v>
      </c>
      <c r="S430" s="1" t="s">
        <v>52</v>
      </c>
    </row>
    <row r="431" ht="15.0" hidden="1" customHeight="1">
      <c r="B431" s="6">
        <f t="shared" si="1"/>
        <v>429</v>
      </c>
      <c r="C431" s="1" t="s">
        <v>751</v>
      </c>
      <c r="D431" s="1" t="s">
        <v>43</v>
      </c>
      <c r="E431" s="1" t="s">
        <v>751</v>
      </c>
      <c r="F431" s="1" t="s">
        <v>140</v>
      </c>
      <c r="G431" s="1" t="s">
        <v>318</v>
      </c>
      <c r="H431" s="6">
        <v>2014.0</v>
      </c>
      <c r="I431" s="1" t="s">
        <v>121</v>
      </c>
      <c r="J431" s="1" t="s">
        <v>122</v>
      </c>
      <c r="K431" s="1" t="s">
        <v>127</v>
      </c>
      <c r="M431" s="7">
        <v>1.0E8</v>
      </c>
      <c r="N431" s="7">
        <v>0.0</v>
      </c>
      <c r="O431" s="8">
        <v>45747.0</v>
      </c>
      <c r="P431" s="7">
        <v>1.6570003425E8</v>
      </c>
      <c r="Q431" s="7">
        <v>9.463078021E7</v>
      </c>
      <c r="R431" s="7">
        <v>0.0</v>
      </c>
      <c r="S431" s="1" t="s">
        <v>45</v>
      </c>
    </row>
    <row r="432" ht="15.0" hidden="1" customHeight="1">
      <c r="B432" s="6">
        <f t="shared" si="1"/>
        <v>430</v>
      </c>
      <c r="C432" s="1" t="s">
        <v>752</v>
      </c>
      <c r="D432" s="1" t="s">
        <v>43</v>
      </c>
      <c r="E432" s="1" t="s">
        <v>752</v>
      </c>
      <c r="F432" s="1" t="s">
        <v>179</v>
      </c>
      <c r="G432" s="1" t="s">
        <v>318</v>
      </c>
      <c r="H432" s="6">
        <v>2013.0</v>
      </c>
      <c r="I432" s="1" t="s">
        <v>121</v>
      </c>
      <c r="J432" s="1" t="s">
        <v>122</v>
      </c>
      <c r="K432" s="1" t="s">
        <v>127</v>
      </c>
      <c r="M432" s="7">
        <v>6.3752936E7</v>
      </c>
      <c r="N432" s="7">
        <v>0.0</v>
      </c>
      <c r="O432" s="8">
        <v>45565.0</v>
      </c>
      <c r="P432" s="7">
        <v>1.6274588773E8</v>
      </c>
      <c r="Q432" s="7">
        <v>6.338343394E7</v>
      </c>
      <c r="R432" s="7">
        <v>0.0</v>
      </c>
      <c r="S432" s="1" t="s">
        <v>106</v>
      </c>
    </row>
    <row r="433" ht="15.0" customHeight="1">
      <c r="B433" s="6">
        <f t="shared" si="1"/>
        <v>431</v>
      </c>
      <c r="C433" s="1" t="s">
        <v>753</v>
      </c>
      <c r="D433" s="1" t="s">
        <v>43</v>
      </c>
      <c r="E433" s="1" t="s">
        <v>753</v>
      </c>
      <c r="F433" s="1" t="s">
        <v>542</v>
      </c>
      <c r="G433" s="1" t="s">
        <v>318</v>
      </c>
      <c r="H433" s="6">
        <v>2013.0</v>
      </c>
      <c r="I433" s="1" t="s">
        <v>121</v>
      </c>
      <c r="J433" s="1" t="s">
        <v>122</v>
      </c>
      <c r="K433" s="1" t="s">
        <v>127</v>
      </c>
      <c r="M433" s="7">
        <v>1.0E8</v>
      </c>
      <c r="N433" s="7">
        <v>3.0357758E7</v>
      </c>
      <c r="O433" s="8">
        <v>46112.0</v>
      </c>
      <c r="P433" s="7">
        <v>1.03464446E8</v>
      </c>
      <c r="Q433" s="7">
        <v>1.25058295E8</v>
      </c>
      <c r="R433" s="7">
        <v>8397323.0</v>
      </c>
      <c r="S433" s="1" t="s">
        <v>52</v>
      </c>
    </row>
    <row r="434" ht="15.0" customHeight="1">
      <c r="B434" s="6">
        <f t="shared" si="1"/>
        <v>432</v>
      </c>
      <c r="C434" s="1" t="s">
        <v>754</v>
      </c>
      <c r="D434" s="1" t="s">
        <v>43</v>
      </c>
      <c r="E434" s="1" t="s">
        <v>754</v>
      </c>
      <c r="F434" s="1" t="s">
        <v>137</v>
      </c>
      <c r="G434" s="1" t="s">
        <v>318</v>
      </c>
      <c r="H434" s="6">
        <v>2013.0</v>
      </c>
      <c r="I434" s="1" t="s">
        <v>121</v>
      </c>
      <c r="J434" s="1" t="s">
        <v>122</v>
      </c>
      <c r="K434" s="1" t="s">
        <v>127</v>
      </c>
      <c r="M434" s="7">
        <v>9.9285238E7</v>
      </c>
      <c r="N434" s="7">
        <v>0.0</v>
      </c>
      <c r="O434" s="8">
        <v>45565.0</v>
      </c>
      <c r="P434" s="7">
        <v>1.9155466895E8</v>
      </c>
      <c r="Q434" s="7">
        <v>9.8214642E7</v>
      </c>
      <c r="R434" s="7">
        <v>0.0</v>
      </c>
      <c r="S434" s="1" t="s">
        <v>52</v>
      </c>
    </row>
    <row r="435" ht="15.0" customHeight="1">
      <c r="B435" s="6">
        <f t="shared" si="1"/>
        <v>433</v>
      </c>
      <c r="C435" s="1" t="s">
        <v>755</v>
      </c>
      <c r="D435" s="1" t="s">
        <v>43</v>
      </c>
      <c r="E435" s="1" t="s">
        <v>755</v>
      </c>
      <c r="F435" s="1" t="s">
        <v>232</v>
      </c>
      <c r="G435" s="1" t="s">
        <v>318</v>
      </c>
      <c r="H435" s="6">
        <v>2014.0</v>
      </c>
      <c r="I435" s="1" t="s">
        <v>121</v>
      </c>
      <c r="J435" s="1" t="s">
        <v>122</v>
      </c>
      <c r="K435" s="1" t="s">
        <v>127</v>
      </c>
      <c r="M435" s="7">
        <v>1.0E8</v>
      </c>
      <c r="N435" s="7">
        <v>0.0</v>
      </c>
      <c r="O435" s="8">
        <v>45747.0</v>
      </c>
      <c r="P435" s="7">
        <v>2.1380783031E8</v>
      </c>
      <c r="Q435" s="7">
        <v>1.1225E8</v>
      </c>
      <c r="R435" s="7">
        <v>0.0</v>
      </c>
      <c r="S435" s="1" t="s">
        <v>52</v>
      </c>
    </row>
    <row r="436" ht="15.0" customHeight="1">
      <c r="B436" s="6">
        <f t="shared" si="1"/>
        <v>434</v>
      </c>
      <c r="C436" s="1" t="s">
        <v>756</v>
      </c>
      <c r="D436" s="1" t="s">
        <v>43</v>
      </c>
      <c r="E436" s="1" t="s">
        <v>756</v>
      </c>
      <c r="F436" s="1" t="s">
        <v>176</v>
      </c>
      <c r="G436" s="1" t="s">
        <v>318</v>
      </c>
      <c r="H436" s="6">
        <v>2012.0</v>
      </c>
      <c r="I436" s="1" t="s">
        <v>121</v>
      </c>
      <c r="J436" s="1" t="s">
        <v>122</v>
      </c>
      <c r="K436" s="1" t="s">
        <v>555</v>
      </c>
      <c r="M436" s="7">
        <v>5.0E7</v>
      </c>
      <c r="N436" s="7">
        <v>0.0</v>
      </c>
      <c r="O436" s="8">
        <v>45709.0</v>
      </c>
      <c r="P436" s="7">
        <v>1.1592916694E8</v>
      </c>
      <c r="Q436" s="7">
        <v>5.908565508E7</v>
      </c>
      <c r="R436" s="7">
        <v>0.05</v>
      </c>
      <c r="S436" s="1" t="s">
        <v>52</v>
      </c>
    </row>
    <row r="437" ht="15.0" customHeight="1">
      <c r="B437" s="6">
        <f t="shared" si="1"/>
        <v>435</v>
      </c>
      <c r="C437" s="1" t="s">
        <v>757</v>
      </c>
      <c r="D437" s="1" t="s">
        <v>43</v>
      </c>
      <c r="E437" s="1" t="s">
        <v>757</v>
      </c>
      <c r="F437" s="1" t="s">
        <v>131</v>
      </c>
      <c r="G437" s="1" t="s">
        <v>318</v>
      </c>
      <c r="H437" s="6">
        <v>2013.0</v>
      </c>
      <c r="I437" s="1" t="s">
        <v>126</v>
      </c>
      <c r="J437" s="1" t="s">
        <v>126</v>
      </c>
      <c r="K437" s="1" t="s">
        <v>126</v>
      </c>
      <c r="M437" s="7">
        <v>7.5E7</v>
      </c>
      <c r="N437" s="7">
        <v>3.8020807E7</v>
      </c>
      <c r="O437" s="8">
        <v>46112.0</v>
      </c>
      <c r="P437" s="7">
        <v>2.4613664E7</v>
      </c>
      <c r="Q437" s="7">
        <v>7.9660995E7</v>
      </c>
      <c r="R437" s="7">
        <v>-6.0</v>
      </c>
      <c r="S437" s="1" t="s">
        <v>52</v>
      </c>
    </row>
    <row r="438" ht="15.0" customHeight="1">
      <c r="B438" s="6">
        <f t="shared" si="1"/>
        <v>436</v>
      </c>
      <c r="C438" s="1" t="s">
        <v>758</v>
      </c>
      <c r="D438" s="1" t="s">
        <v>43</v>
      </c>
      <c r="E438" s="1" t="s">
        <v>758</v>
      </c>
      <c r="F438" s="1" t="s">
        <v>736</v>
      </c>
      <c r="G438" s="1" t="s">
        <v>318</v>
      </c>
      <c r="H438" s="6">
        <v>2013.0</v>
      </c>
      <c r="I438" s="1" t="s">
        <v>121</v>
      </c>
      <c r="J438" s="1" t="s">
        <v>661</v>
      </c>
      <c r="K438" s="1" t="s">
        <v>165</v>
      </c>
      <c r="M438" s="7">
        <v>2.5E7</v>
      </c>
      <c r="N438" s="7">
        <v>0.0</v>
      </c>
      <c r="O438" s="8">
        <v>45646.0</v>
      </c>
      <c r="P438" s="7">
        <v>3.416171358E7</v>
      </c>
      <c r="Q438" s="7">
        <v>2.1218942E7</v>
      </c>
      <c r="R438" s="7">
        <v>0.0</v>
      </c>
      <c r="S438" s="1" t="s">
        <v>52</v>
      </c>
    </row>
    <row r="439" ht="15.0" customHeight="1">
      <c r="B439" s="6">
        <f t="shared" si="1"/>
        <v>437</v>
      </c>
      <c r="C439" s="1" t="s">
        <v>759</v>
      </c>
      <c r="D439" s="1" t="s">
        <v>43</v>
      </c>
      <c r="E439" s="1" t="s">
        <v>759</v>
      </c>
      <c r="F439" s="1" t="s">
        <v>91</v>
      </c>
      <c r="G439" s="1" t="s">
        <v>318</v>
      </c>
      <c r="H439" s="6">
        <v>2013.0</v>
      </c>
      <c r="I439" s="1" t="s">
        <v>121</v>
      </c>
      <c r="J439" s="1" t="s">
        <v>122</v>
      </c>
      <c r="K439" s="1" t="s">
        <v>180</v>
      </c>
      <c r="M439" s="7">
        <v>2.2E8</v>
      </c>
      <c r="N439" s="7">
        <v>0.0</v>
      </c>
      <c r="O439" s="8">
        <v>45565.0</v>
      </c>
      <c r="P439" s="7">
        <v>3.0343766098E8</v>
      </c>
      <c r="Q439" s="7">
        <v>2.1826338285E8</v>
      </c>
      <c r="R439" s="7">
        <v>0.03</v>
      </c>
      <c r="S439" s="1" t="s">
        <v>52</v>
      </c>
    </row>
    <row r="440" ht="15.0" customHeight="1">
      <c r="B440" s="6">
        <f t="shared" si="1"/>
        <v>438</v>
      </c>
      <c r="C440" s="1" t="s">
        <v>760</v>
      </c>
      <c r="D440" s="1" t="s">
        <v>43</v>
      </c>
      <c r="E440" s="1" t="s">
        <v>760</v>
      </c>
      <c r="F440" s="1" t="s">
        <v>182</v>
      </c>
      <c r="G440" s="1" t="s">
        <v>318</v>
      </c>
      <c r="H440" s="6">
        <v>2013.0</v>
      </c>
      <c r="I440" s="1" t="s">
        <v>121</v>
      </c>
      <c r="J440" s="1" t="s">
        <v>122</v>
      </c>
      <c r="K440" s="1" t="s">
        <v>127</v>
      </c>
      <c r="M440" s="7">
        <v>1.5E8</v>
      </c>
      <c r="N440" s="7">
        <v>4.7259337E7</v>
      </c>
      <c r="O440" s="8">
        <v>46112.0</v>
      </c>
      <c r="P440" s="7">
        <v>1.58017265E8</v>
      </c>
      <c r="Q440" s="7">
        <v>1.94491259E8</v>
      </c>
      <c r="R440" s="7">
        <v>5716339.0</v>
      </c>
      <c r="S440" s="1" t="s">
        <v>52</v>
      </c>
    </row>
    <row r="441" ht="15.0" customHeight="1">
      <c r="B441" s="6">
        <f t="shared" si="1"/>
        <v>439</v>
      </c>
      <c r="C441" s="1" t="s">
        <v>761</v>
      </c>
      <c r="D441" s="1" t="s">
        <v>43</v>
      </c>
      <c r="E441" s="1" t="s">
        <v>761</v>
      </c>
      <c r="F441" s="1" t="s">
        <v>762</v>
      </c>
      <c r="G441" s="1" t="s">
        <v>318</v>
      </c>
      <c r="H441" s="6">
        <v>2013.0</v>
      </c>
      <c r="I441" s="1" t="s">
        <v>121</v>
      </c>
      <c r="J441" s="1" t="s">
        <v>122</v>
      </c>
      <c r="K441" s="1" t="s">
        <v>127</v>
      </c>
      <c r="M441" s="7">
        <v>1.0E8</v>
      </c>
      <c r="N441" s="7">
        <v>0.0</v>
      </c>
      <c r="O441" s="8">
        <v>45747.0</v>
      </c>
      <c r="P441" s="7">
        <v>1.344344546E8</v>
      </c>
      <c r="Q441" s="7">
        <v>1.0316842796E8</v>
      </c>
      <c r="R441" s="7">
        <v>0.0</v>
      </c>
      <c r="S441" s="1" t="s">
        <v>52</v>
      </c>
    </row>
    <row r="442" ht="15.0" customHeight="1">
      <c r="B442" s="6">
        <f t="shared" si="1"/>
        <v>440</v>
      </c>
      <c r="C442" s="1" t="s">
        <v>763</v>
      </c>
      <c r="D442" s="1" t="s">
        <v>43</v>
      </c>
      <c r="E442" s="1" t="s">
        <v>763</v>
      </c>
      <c r="F442" s="1" t="s">
        <v>562</v>
      </c>
      <c r="G442" s="1" t="s">
        <v>318</v>
      </c>
      <c r="H442" s="6">
        <v>2012.0</v>
      </c>
      <c r="I442" s="1" t="s">
        <v>121</v>
      </c>
      <c r="J442" s="1" t="s">
        <v>122</v>
      </c>
      <c r="K442" s="1" t="s">
        <v>127</v>
      </c>
      <c r="M442" s="7">
        <v>7.5E7</v>
      </c>
      <c r="N442" s="7">
        <v>0.0</v>
      </c>
      <c r="O442" s="8">
        <v>45747.0</v>
      </c>
      <c r="P442" s="7">
        <v>1.4956391178E8</v>
      </c>
      <c r="Q442" s="7">
        <v>8.275193369E7</v>
      </c>
      <c r="R442" s="7">
        <v>0.0</v>
      </c>
      <c r="S442" s="1" t="s">
        <v>52</v>
      </c>
    </row>
    <row r="443" ht="15.0" customHeight="1">
      <c r="B443" s="6">
        <f t="shared" si="1"/>
        <v>441</v>
      </c>
      <c r="C443" s="1" t="s">
        <v>764</v>
      </c>
      <c r="D443" s="1" t="s">
        <v>43</v>
      </c>
      <c r="E443" s="1" t="s">
        <v>765</v>
      </c>
      <c r="F443" s="1" t="s">
        <v>766</v>
      </c>
      <c r="G443" s="1" t="s">
        <v>318</v>
      </c>
      <c r="H443" s="6">
        <v>2013.0</v>
      </c>
      <c r="I443" s="1" t="s">
        <v>164</v>
      </c>
      <c r="J443" s="1" t="s">
        <v>661</v>
      </c>
      <c r="K443" s="1" t="s">
        <v>729</v>
      </c>
      <c r="M443" s="7">
        <v>1.0E8</v>
      </c>
      <c r="N443" s="7">
        <v>3.7556904E7</v>
      </c>
      <c r="O443" s="8">
        <v>46112.0</v>
      </c>
      <c r="P443" s="7">
        <v>2.2378294E7</v>
      </c>
      <c r="Q443" s="7">
        <v>1.01313056E8</v>
      </c>
      <c r="R443" s="7">
        <v>19788.0</v>
      </c>
      <c r="S443" s="1" t="s">
        <v>52</v>
      </c>
    </row>
    <row r="444" ht="15.0" customHeight="1">
      <c r="B444" s="6">
        <f t="shared" si="1"/>
        <v>442</v>
      </c>
      <c r="C444" s="1" t="s">
        <v>767</v>
      </c>
      <c r="D444" s="1" t="s">
        <v>43</v>
      </c>
      <c r="E444" s="1" t="s">
        <v>767</v>
      </c>
      <c r="F444" s="1" t="s">
        <v>163</v>
      </c>
      <c r="G444" s="1" t="s">
        <v>318</v>
      </c>
      <c r="H444" s="6">
        <v>2014.0</v>
      </c>
      <c r="I444" s="1" t="s">
        <v>164</v>
      </c>
      <c r="J444" s="1" t="s">
        <v>661</v>
      </c>
      <c r="K444" s="1" t="s">
        <v>729</v>
      </c>
      <c r="M444" s="7">
        <v>1.0E8</v>
      </c>
      <c r="N444" s="7">
        <v>2.2276761E7</v>
      </c>
      <c r="O444" s="8">
        <v>46112.0</v>
      </c>
      <c r="P444" s="7">
        <v>1.47453454E8</v>
      </c>
      <c r="Q444" s="7">
        <v>1.01614891E8</v>
      </c>
      <c r="R444" s="7">
        <v>3157967.0</v>
      </c>
      <c r="S444" s="1" t="s">
        <v>52</v>
      </c>
    </row>
    <row r="445" ht="15.0" customHeight="1">
      <c r="B445" s="6">
        <f t="shared" si="1"/>
        <v>443</v>
      </c>
      <c r="C445" s="1" t="s">
        <v>768</v>
      </c>
      <c r="D445" s="1" t="s">
        <v>43</v>
      </c>
      <c r="E445" s="1" t="s">
        <v>768</v>
      </c>
      <c r="F445" s="1" t="s">
        <v>37</v>
      </c>
      <c r="G445" s="1" t="s">
        <v>318</v>
      </c>
      <c r="H445" s="6">
        <v>2014.0</v>
      </c>
      <c r="I445" s="1" t="s">
        <v>121</v>
      </c>
      <c r="J445" s="1" t="s">
        <v>274</v>
      </c>
      <c r="K445" s="1" t="s">
        <v>204</v>
      </c>
      <c r="M445" s="7">
        <v>1.5E8</v>
      </c>
      <c r="N445" s="7">
        <v>1.2663836E7</v>
      </c>
      <c r="O445" s="8">
        <v>46112.0</v>
      </c>
      <c r="P445" s="7">
        <v>1.5466052736E8</v>
      </c>
      <c r="Q445" s="7">
        <v>1.1337927023E8</v>
      </c>
      <c r="R445" s="7">
        <v>1.436037046E7</v>
      </c>
      <c r="S445" s="1" t="s">
        <v>52</v>
      </c>
    </row>
    <row r="446" ht="15.0" customHeight="1">
      <c r="B446" s="6">
        <f t="shared" si="1"/>
        <v>444</v>
      </c>
      <c r="C446" s="1" t="s">
        <v>769</v>
      </c>
      <c r="D446" s="1" t="s">
        <v>43</v>
      </c>
      <c r="E446" s="1" t="s">
        <v>769</v>
      </c>
      <c r="F446" s="1" t="s">
        <v>722</v>
      </c>
      <c r="G446" s="1" t="s">
        <v>318</v>
      </c>
      <c r="H446" s="6">
        <v>2014.0</v>
      </c>
      <c r="I446" s="1" t="s">
        <v>126</v>
      </c>
      <c r="J446" s="1" t="s">
        <v>126</v>
      </c>
      <c r="K446" s="1" t="s">
        <v>126</v>
      </c>
      <c r="M446" s="7">
        <v>7.5E7</v>
      </c>
      <c r="N446" s="7">
        <v>3.3012231E7</v>
      </c>
      <c r="O446" s="8">
        <v>46112.0</v>
      </c>
      <c r="P446" s="7">
        <v>4.4016916E7</v>
      </c>
      <c r="Q446" s="7">
        <v>7.9956137E7</v>
      </c>
      <c r="R446" s="7">
        <v>1524715.0</v>
      </c>
      <c r="S446" s="1" t="s">
        <v>52</v>
      </c>
    </row>
    <row r="447" ht="15.0" customHeight="1">
      <c r="B447" s="6">
        <f t="shared" si="1"/>
        <v>445</v>
      </c>
      <c r="C447" s="1" t="s">
        <v>770</v>
      </c>
      <c r="D447" s="1" t="s">
        <v>43</v>
      </c>
      <c r="E447" s="1" t="s">
        <v>770</v>
      </c>
      <c r="F447" s="1" t="s">
        <v>185</v>
      </c>
      <c r="G447" s="1" t="s">
        <v>318</v>
      </c>
      <c r="H447" s="6">
        <v>2015.0</v>
      </c>
      <c r="I447" s="1" t="s">
        <v>121</v>
      </c>
      <c r="J447" s="1" t="s">
        <v>122</v>
      </c>
      <c r="K447" s="1" t="s">
        <v>127</v>
      </c>
      <c r="M447" s="7">
        <v>1.0E8</v>
      </c>
      <c r="N447" s="7">
        <v>0.0</v>
      </c>
      <c r="O447" s="8">
        <v>44561.0</v>
      </c>
      <c r="P447" s="7">
        <v>1.8672604379E8</v>
      </c>
      <c r="Q447" s="7">
        <v>1.105669874E8</v>
      </c>
      <c r="R447" s="7">
        <v>-0.01</v>
      </c>
      <c r="S447" s="1" t="s">
        <v>52</v>
      </c>
    </row>
    <row r="448" ht="15.0" hidden="1" customHeight="1">
      <c r="B448" s="6">
        <f t="shared" si="1"/>
        <v>446</v>
      </c>
      <c r="C448" s="1" t="s">
        <v>771</v>
      </c>
      <c r="D448" s="1" t="s">
        <v>43</v>
      </c>
      <c r="E448" s="1" t="s">
        <v>771</v>
      </c>
      <c r="F448" s="1" t="s">
        <v>125</v>
      </c>
      <c r="G448" s="1" t="s">
        <v>318</v>
      </c>
      <c r="H448" s="6">
        <v>2014.0</v>
      </c>
      <c r="I448" s="1" t="s">
        <v>121</v>
      </c>
      <c r="J448" s="1" t="s">
        <v>122</v>
      </c>
      <c r="K448" s="1" t="s">
        <v>127</v>
      </c>
      <c r="M448" s="7">
        <v>1.5E8</v>
      </c>
      <c r="N448" s="7">
        <v>0.0</v>
      </c>
      <c r="O448" s="8">
        <v>45747.0</v>
      </c>
      <c r="P448" s="7">
        <v>2.6016951034E8</v>
      </c>
      <c r="Q448" s="7">
        <v>1.3874423176E8</v>
      </c>
      <c r="R448" s="7">
        <v>-0.01</v>
      </c>
      <c r="S448" s="1" t="s">
        <v>45</v>
      </c>
    </row>
    <row r="449" ht="15.0" customHeight="1">
      <c r="B449" s="6">
        <f t="shared" si="1"/>
        <v>447</v>
      </c>
      <c r="C449" s="1" t="s">
        <v>772</v>
      </c>
      <c r="D449" s="1" t="s">
        <v>43</v>
      </c>
      <c r="E449" s="1" t="s">
        <v>772</v>
      </c>
      <c r="F449" s="1" t="s">
        <v>618</v>
      </c>
      <c r="G449" s="1" t="s">
        <v>318</v>
      </c>
      <c r="H449" s="6">
        <v>2015.0</v>
      </c>
      <c r="I449" s="1" t="s">
        <v>150</v>
      </c>
      <c r="J449" s="1" t="s">
        <v>150</v>
      </c>
      <c r="K449" s="1" t="s">
        <v>470</v>
      </c>
      <c r="M449" s="7">
        <v>1.0E8</v>
      </c>
      <c r="N449" s="7">
        <v>1.65385439E8</v>
      </c>
      <c r="O449" s="8">
        <v>46112.0</v>
      </c>
      <c r="P449" s="7">
        <v>3.997028891E7</v>
      </c>
      <c r="Q449" s="7">
        <v>8.838062065E7</v>
      </c>
      <c r="R449" s="7">
        <v>1.161937935E7</v>
      </c>
      <c r="S449" s="1" t="s">
        <v>52</v>
      </c>
    </row>
    <row r="450" ht="15.0" customHeight="1">
      <c r="B450" s="6">
        <f t="shared" si="1"/>
        <v>448</v>
      </c>
      <c r="C450" s="1" t="s">
        <v>773</v>
      </c>
      <c r="D450" s="1" t="s">
        <v>43</v>
      </c>
      <c r="E450" s="1" t="s">
        <v>773</v>
      </c>
      <c r="F450" s="1" t="s">
        <v>774</v>
      </c>
      <c r="G450" s="1" t="s">
        <v>318</v>
      </c>
      <c r="H450" s="6">
        <v>2015.0</v>
      </c>
      <c r="I450" s="1" t="s">
        <v>164</v>
      </c>
      <c r="J450" s="1" t="s">
        <v>92</v>
      </c>
      <c r="K450" s="1" t="s">
        <v>573</v>
      </c>
      <c r="M450" s="7">
        <v>1.0E8</v>
      </c>
      <c r="N450" s="7">
        <v>1.7214207E7</v>
      </c>
      <c r="O450" s="8">
        <v>46112.0</v>
      </c>
      <c r="P450" s="7">
        <v>1.0381578466E8</v>
      </c>
      <c r="Q450" s="7">
        <v>9.999857228E7</v>
      </c>
      <c r="R450" s="7">
        <v>0.0</v>
      </c>
      <c r="S450" s="1" t="s">
        <v>52</v>
      </c>
    </row>
    <row r="451" ht="15.0" customHeight="1">
      <c r="B451" s="6">
        <f t="shared" si="1"/>
        <v>449</v>
      </c>
      <c r="C451" s="1" t="s">
        <v>775</v>
      </c>
      <c r="D451" s="1" t="s">
        <v>43</v>
      </c>
      <c r="E451" s="1" t="s">
        <v>775</v>
      </c>
      <c r="F451" s="1" t="s">
        <v>776</v>
      </c>
      <c r="G451" s="1" t="s">
        <v>318</v>
      </c>
      <c r="H451" s="6">
        <v>2014.0</v>
      </c>
      <c r="I451" s="1" t="s">
        <v>121</v>
      </c>
      <c r="J451" s="1" t="s">
        <v>122</v>
      </c>
      <c r="K451" s="1" t="s">
        <v>127</v>
      </c>
      <c r="M451" s="7">
        <v>1.0E8</v>
      </c>
      <c r="N451" s="7">
        <v>5.3608073E7</v>
      </c>
      <c r="O451" s="8">
        <v>46112.0</v>
      </c>
      <c r="P451" s="7">
        <v>1.2381366271E8</v>
      </c>
      <c r="Q451" s="7">
        <v>1.0337473958E8</v>
      </c>
      <c r="R451" s="7">
        <v>3944657.34</v>
      </c>
      <c r="S451" s="1" t="s">
        <v>52</v>
      </c>
    </row>
    <row r="452" ht="15.0" customHeight="1">
      <c r="B452" s="6">
        <f t="shared" si="1"/>
        <v>450</v>
      </c>
      <c r="C452" s="1" t="s">
        <v>777</v>
      </c>
      <c r="D452" s="1" t="s">
        <v>43</v>
      </c>
      <c r="E452" s="1" t="s">
        <v>777</v>
      </c>
      <c r="F452" s="1" t="s">
        <v>120</v>
      </c>
      <c r="G452" s="1" t="s">
        <v>318</v>
      </c>
      <c r="H452" s="6">
        <v>2015.0</v>
      </c>
      <c r="I452" s="1" t="s">
        <v>121</v>
      </c>
      <c r="J452" s="1" t="s">
        <v>274</v>
      </c>
      <c r="K452" s="1" t="s">
        <v>275</v>
      </c>
      <c r="M452" s="7">
        <v>1.0E8</v>
      </c>
      <c r="N452" s="7">
        <v>4.2925595E7</v>
      </c>
      <c r="O452" s="8">
        <v>46112.0</v>
      </c>
      <c r="P452" s="7">
        <v>6.339663575E7</v>
      </c>
      <c r="Q452" s="7">
        <v>5.829371055E7</v>
      </c>
      <c r="R452" s="7">
        <v>2.170621002E7</v>
      </c>
      <c r="S452" s="1" t="s">
        <v>52</v>
      </c>
    </row>
    <row r="453" ht="15.0" hidden="1" customHeight="1">
      <c r="B453" s="6">
        <f t="shared" si="1"/>
        <v>451</v>
      </c>
      <c r="C453" s="1" t="s">
        <v>778</v>
      </c>
      <c r="D453" s="1" t="s">
        <v>43</v>
      </c>
      <c r="E453" s="1" t="s">
        <v>778</v>
      </c>
      <c r="F453" s="1" t="s">
        <v>779</v>
      </c>
      <c r="G453" s="1" t="s">
        <v>318</v>
      </c>
      <c r="H453" s="6">
        <v>2015.0</v>
      </c>
      <c r="I453" s="1" t="s">
        <v>121</v>
      </c>
      <c r="J453" s="1" t="s">
        <v>122</v>
      </c>
      <c r="K453" s="1" t="s">
        <v>127</v>
      </c>
      <c r="M453" s="7">
        <v>6.5E7</v>
      </c>
      <c r="N453" s="7">
        <v>7985000.0</v>
      </c>
      <c r="O453" s="8">
        <v>46112.0</v>
      </c>
      <c r="P453" s="7">
        <v>8.716292468E7</v>
      </c>
      <c r="Q453" s="7">
        <v>6.865400197E7</v>
      </c>
      <c r="R453" s="7">
        <v>3318163.21</v>
      </c>
      <c r="S453" s="1" t="s">
        <v>45</v>
      </c>
    </row>
    <row r="454" ht="15.0" customHeight="1">
      <c r="B454" s="6">
        <f t="shared" si="1"/>
        <v>452</v>
      </c>
      <c r="C454" s="1" t="s">
        <v>780</v>
      </c>
      <c r="D454" s="1" t="s">
        <v>43</v>
      </c>
      <c r="E454" s="1" t="s">
        <v>780</v>
      </c>
      <c r="F454" s="1" t="s">
        <v>88</v>
      </c>
      <c r="G454" s="1" t="s">
        <v>318</v>
      </c>
      <c r="H454" s="6">
        <v>2015.0</v>
      </c>
      <c r="I454" s="1" t="s">
        <v>164</v>
      </c>
      <c r="J454" s="1" t="s">
        <v>164</v>
      </c>
      <c r="K454" s="1" t="s">
        <v>164</v>
      </c>
      <c r="M454" s="7">
        <v>5.75E7</v>
      </c>
      <c r="N454" s="7">
        <v>2.4804828E7</v>
      </c>
      <c r="O454" s="8">
        <v>46112.0</v>
      </c>
      <c r="P454" s="7">
        <v>1.5076872497E8</v>
      </c>
      <c r="Q454" s="7">
        <v>9.074212523E7</v>
      </c>
      <c r="R454" s="7">
        <v>3393853.38</v>
      </c>
      <c r="S454" s="1" t="s">
        <v>52</v>
      </c>
    </row>
    <row r="455" ht="15.0" customHeight="1">
      <c r="B455" s="6">
        <f t="shared" si="1"/>
        <v>453</v>
      </c>
      <c r="C455" s="1" t="s">
        <v>781</v>
      </c>
      <c r="D455" s="1" t="s">
        <v>43</v>
      </c>
      <c r="E455" s="1" t="s">
        <v>781</v>
      </c>
      <c r="F455" s="1" t="s">
        <v>739</v>
      </c>
      <c r="G455" s="1" t="s">
        <v>318</v>
      </c>
      <c r="H455" s="6">
        <v>2014.0</v>
      </c>
      <c r="I455" s="1" t="s">
        <v>121</v>
      </c>
      <c r="J455" s="1" t="s">
        <v>274</v>
      </c>
      <c r="K455" s="1" t="s">
        <v>275</v>
      </c>
      <c r="M455" s="7">
        <v>1.0E8</v>
      </c>
      <c r="N455" s="7">
        <v>2.9674653E7</v>
      </c>
      <c r="O455" s="8">
        <v>46112.0</v>
      </c>
      <c r="P455" s="7">
        <v>1.0019769551E8</v>
      </c>
      <c r="Q455" s="7">
        <v>7.789962102E7</v>
      </c>
      <c r="R455" s="7">
        <v>3.058084744E7</v>
      </c>
      <c r="S455" s="1" t="s">
        <v>52</v>
      </c>
    </row>
    <row r="456" ht="15.0" customHeight="1">
      <c r="B456" s="6">
        <f t="shared" si="1"/>
        <v>454</v>
      </c>
      <c r="C456" s="1" t="s">
        <v>782</v>
      </c>
      <c r="D456" s="1" t="s">
        <v>43</v>
      </c>
      <c r="E456" s="1" t="s">
        <v>782</v>
      </c>
      <c r="F456" s="1" t="s">
        <v>245</v>
      </c>
      <c r="G456" s="1" t="s">
        <v>318</v>
      </c>
      <c r="H456" s="6">
        <v>2016.0</v>
      </c>
      <c r="I456" s="1" t="s">
        <v>126</v>
      </c>
      <c r="J456" s="1" t="s">
        <v>126</v>
      </c>
      <c r="K456" s="1" t="s">
        <v>126</v>
      </c>
      <c r="M456" s="7">
        <v>1.0E8</v>
      </c>
      <c r="N456" s="7">
        <v>7.8454195E7</v>
      </c>
      <c r="O456" s="8">
        <v>46112.0</v>
      </c>
      <c r="P456" s="7">
        <v>1.71815666E8</v>
      </c>
      <c r="Q456" s="7">
        <v>1.1739E8</v>
      </c>
      <c r="R456" s="7">
        <v>3.2610001E7</v>
      </c>
      <c r="S456" s="1" t="s">
        <v>52</v>
      </c>
    </row>
    <row r="457" ht="15.0" customHeight="1">
      <c r="B457" s="6">
        <f t="shared" si="1"/>
        <v>455</v>
      </c>
      <c r="C457" s="1" t="s">
        <v>783</v>
      </c>
      <c r="D457" s="1" t="s">
        <v>43</v>
      </c>
      <c r="E457" s="1" t="s">
        <v>783</v>
      </c>
      <c r="F457" s="1" t="s">
        <v>245</v>
      </c>
      <c r="G457" s="1" t="s">
        <v>318</v>
      </c>
      <c r="H457" s="6">
        <v>2015.0</v>
      </c>
      <c r="I457" s="1" t="s">
        <v>126</v>
      </c>
      <c r="J457" s="1" t="s">
        <v>126</v>
      </c>
      <c r="K457" s="1" t="s">
        <v>126</v>
      </c>
      <c r="M457" s="7">
        <v>5.0E7</v>
      </c>
      <c r="N457" s="7">
        <v>6.8771678E7</v>
      </c>
      <c r="O457" s="8">
        <v>46112.0</v>
      </c>
      <c r="P457" s="7">
        <v>1.04204886E8</v>
      </c>
      <c r="Q457" s="7">
        <v>6.0041575E7</v>
      </c>
      <c r="R457" s="7">
        <v>1.4958425E7</v>
      </c>
      <c r="S457" s="1" t="s">
        <v>52</v>
      </c>
    </row>
    <row r="458" ht="15.0" customHeight="1">
      <c r="B458" s="6">
        <f t="shared" si="1"/>
        <v>456</v>
      </c>
      <c r="C458" s="1" t="s">
        <v>784</v>
      </c>
      <c r="D458" s="1" t="s">
        <v>43</v>
      </c>
      <c r="E458" s="1" t="s">
        <v>784</v>
      </c>
      <c r="F458" s="1" t="s">
        <v>223</v>
      </c>
      <c r="G458" s="1" t="s">
        <v>318</v>
      </c>
      <c r="H458" s="6">
        <v>2015.0</v>
      </c>
      <c r="I458" s="1" t="s">
        <v>164</v>
      </c>
      <c r="J458" s="1" t="s">
        <v>92</v>
      </c>
      <c r="K458" s="1" t="s">
        <v>93</v>
      </c>
      <c r="M458" s="7">
        <v>2.0E8</v>
      </c>
      <c r="N458" s="7">
        <v>1.67365249E8</v>
      </c>
      <c r="O458" s="8">
        <v>46112.0</v>
      </c>
      <c r="P458" s="7">
        <v>3.595216179E8</v>
      </c>
      <c r="Q458" s="7">
        <v>2.0744176481E8</v>
      </c>
      <c r="R458" s="7">
        <v>2.597106684E7</v>
      </c>
      <c r="S458" s="1" t="s">
        <v>52</v>
      </c>
    </row>
    <row r="459" ht="15.0" customHeight="1">
      <c r="B459" s="6">
        <f t="shared" si="1"/>
        <v>457</v>
      </c>
      <c r="C459" s="1" t="s">
        <v>785</v>
      </c>
      <c r="D459" s="1" t="s">
        <v>43</v>
      </c>
      <c r="E459" s="1" t="s">
        <v>785</v>
      </c>
      <c r="F459" s="1" t="s">
        <v>211</v>
      </c>
      <c r="G459" s="1" t="s">
        <v>318</v>
      </c>
      <c r="H459" s="6">
        <v>2015.0</v>
      </c>
      <c r="I459" s="1" t="s">
        <v>164</v>
      </c>
      <c r="J459" s="1" t="s">
        <v>164</v>
      </c>
      <c r="K459" s="1" t="s">
        <v>164</v>
      </c>
      <c r="M459" s="7">
        <v>7.4E7</v>
      </c>
      <c r="N459" s="7">
        <v>2.4352372E7</v>
      </c>
      <c r="O459" s="8">
        <v>46112.0</v>
      </c>
      <c r="P459" s="7">
        <v>1.35381611E8</v>
      </c>
      <c r="Q459" s="7">
        <v>8.82179E7</v>
      </c>
      <c r="R459" s="7">
        <v>3731342.0</v>
      </c>
      <c r="S459" s="1" t="s">
        <v>52</v>
      </c>
    </row>
    <row r="460" ht="15.0" customHeight="1">
      <c r="B460" s="6">
        <f t="shared" si="1"/>
        <v>458</v>
      </c>
      <c r="C460" s="1" t="s">
        <v>786</v>
      </c>
      <c r="D460" s="1" t="s">
        <v>43</v>
      </c>
      <c r="E460" s="1" t="s">
        <v>786</v>
      </c>
      <c r="F460" s="1" t="s">
        <v>232</v>
      </c>
      <c r="G460" s="1" t="s">
        <v>318</v>
      </c>
      <c r="H460" s="6">
        <v>2016.0</v>
      </c>
      <c r="I460" s="1" t="s">
        <v>121</v>
      </c>
      <c r="J460" s="1" t="s">
        <v>122</v>
      </c>
      <c r="K460" s="1" t="s">
        <v>127</v>
      </c>
      <c r="M460" s="7">
        <v>1.3E8</v>
      </c>
      <c r="N460" s="7">
        <v>8.8648298E7</v>
      </c>
      <c r="O460" s="8">
        <v>46112.0</v>
      </c>
      <c r="P460" s="7">
        <v>3.76573698E8</v>
      </c>
      <c r="Q460" s="7">
        <v>1.40088068E8</v>
      </c>
      <c r="R460" s="7">
        <v>1.976431E7</v>
      </c>
      <c r="S460" s="1" t="s">
        <v>52</v>
      </c>
    </row>
    <row r="461" ht="15.0" customHeight="1">
      <c r="B461" s="6">
        <f t="shared" si="1"/>
        <v>459</v>
      </c>
      <c r="C461" s="1" t="s">
        <v>787</v>
      </c>
      <c r="D461" s="1" t="s">
        <v>43</v>
      </c>
      <c r="E461" s="1" t="s">
        <v>787</v>
      </c>
      <c r="F461" s="1" t="s">
        <v>606</v>
      </c>
      <c r="G461" s="1" t="s">
        <v>318</v>
      </c>
      <c r="H461" s="6">
        <v>2015.0</v>
      </c>
      <c r="I461" s="1" t="s">
        <v>150</v>
      </c>
      <c r="J461" s="1" t="s">
        <v>150</v>
      </c>
      <c r="K461" s="1" t="s">
        <v>470</v>
      </c>
      <c r="M461" s="7">
        <v>1.0E8</v>
      </c>
      <c r="N461" s="7">
        <v>1.2870883E8</v>
      </c>
      <c r="O461" s="8">
        <v>46112.0</v>
      </c>
      <c r="P461" s="7">
        <v>1.53230349E8</v>
      </c>
      <c r="Q461" s="7">
        <v>1.3217089E8</v>
      </c>
      <c r="R461" s="7">
        <v>549777.0</v>
      </c>
      <c r="S461" s="1" t="s">
        <v>52</v>
      </c>
    </row>
    <row r="462" ht="15.0" customHeight="1">
      <c r="B462" s="6">
        <f t="shared" si="1"/>
        <v>460</v>
      </c>
      <c r="C462" s="1" t="s">
        <v>788</v>
      </c>
      <c r="D462" s="1" t="s">
        <v>43</v>
      </c>
      <c r="E462" s="1" t="s">
        <v>789</v>
      </c>
      <c r="F462" s="1" t="s">
        <v>131</v>
      </c>
      <c r="G462" s="1" t="s">
        <v>318</v>
      </c>
      <c r="H462" s="6">
        <v>2016.0</v>
      </c>
      <c r="I462" s="1" t="s">
        <v>126</v>
      </c>
      <c r="J462" s="1" t="s">
        <v>126</v>
      </c>
      <c r="K462" s="1" t="s">
        <v>126</v>
      </c>
      <c r="M462" s="7">
        <v>1.0E8</v>
      </c>
      <c r="N462" s="7">
        <v>1.13966957E8</v>
      </c>
      <c r="O462" s="8">
        <v>46112.0</v>
      </c>
      <c r="P462" s="7">
        <v>2.10947995E8</v>
      </c>
      <c r="Q462" s="7">
        <v>1.15019781E8</v>
      </c>
      <c r="R462" s="7">
        <v>1.6056624E7</v>
      </c>
      <c r="S462" s="1" t="s">
        <v>52</v>
      </c>
    </row>
    <row r="463" ht="15.0" customHeight="1">
      <c r="B463" s="6">
        <f t="shared" si="1"/>
        <v>461</v>
      </c>
      <c r="C463" s="1" t="s">
        <v>790</v>
      </c>
      <c r="D463" s="1" t="s">
        <v>43</v>
      </c>
      <c r="E463" s="1" t="s">
        <v>790</v>
      </c>
      <c r="F463" s="1" t="s">
        <v>131</v>
      </c>
      <c r="G463" s="1" t="s">
        <v>318</v>
      </c>
      <c r="H463" s="6">
        <v>2016.0</v>
      </c>
      <c r="I463" s="1" t="s">
        <v>121</v>
      </c>
      <c r="J463" s="1" t="s">
        <v>122</v>
      </c>
      <c r="K463" s="1" t="s">
        <v>127</v>
      </c>
      <c r="M463" s="7">
        <v>1.0E8</v>
      </c>
      <c r="N463" s="7">
        <v>8.0741022E7</v>
      </c>
      <c r="O463" s="8">
        <v>46112.0</v>
      </c>
      <c r="P463" s="7">
        <v>9.2648673E7</v>
      </c>
      <c r="Q463" s="7">
        <v>1.18409961E8</v>
      </c>
      <c r="R463" s="7">
        <v>9296745.0</v>
      </c>
      <c r="S463" s="1" t="s">
        <v>52</v>
      </c>
    </row>
    <row r="464" ht="15.0" customHeight="1">
      <c r="B464" s="6">
        <f t="shared" si="1"/>
        <v>462</v>
      </c>
      <c r="C464" s="1" t="s">
        <v>791</v>
      </c>
      <c r="D464" s="1" t="s">
        <v>43</v>
      </c>
      <c r="E464" s="1" t="s">
        <v>791</v>
      </c>
      <c r="F464" s="1" t="s">
        <v>37</v>
      </c>
      <c r="G464" s="1" t="s">
        <v>318</v>
      </c>
      <c r="H464" s="6">
        <v>2016.0</v>
      </c>
      <c r="I464" s="1" t="s">
        <v>121</v>
      </c>
      <c r="J464" s="1" t="s">
        <v>274</v>
      </c>
      <c r="K464" s="1" t="s">
        <v>204</v>
      </c>
      <c r="M464" s="7">
        <v>2.5E8</v>
      </c>
      <c r="N464" s="7">
        <v>7.1810925E7</v>
      </c>
      <c r="O464" s="8">
        <v>46022.0</v>
      </c>
      <c r="P464" s="7">
        <v>2.785685492E8</v>
      </c>
      <c r="Q464" s="7">
        <v>1.9715244572E8</v>
      </c>
      <c r="R464" s="7">
        <v>7.30293877E7</v>
      </c>
      <c r="S464" s="1" t="s">
        <v>52</v>
      </c>
    </row>
    <row r="465" ht="15.0" customHeight="1">
      <c r="B465" s="6">
        <f t="shared" si="1"/>
        <v>463</v>
      </c>
      <c r="C465" s="1" t="s">
        <v>792</v>
      </c>
      <c r="D465" s="1" t="s">
        <v>43</v>
      </c>
      <c r="E465" s="1" t="s">
        <v>792</v>
      </c>
      <c r="F465" s="1" t="s">
        <v>776</v>
      </c>
      <c r="G465" s="1" t="s">
        <v>318</v>
      </c>
      <c r="H465" s="6">
        <v>2017.0</v>
      </c>
      <c r="I465" s="1" t="s">
        <v>121</v>
      </c>
      <c r="J465" s="1" t="s">
        <v>122</v>
      </c>
      <c r="K465" s="1" t="s">
        <v>127</v>
      </c>
      <c r="M465" s="7">
        <v>1.25E8</v>
      </c>
      <c r="N465" s="7">
        <v>6.7520043E7</v>
      </c>
      <c r="O465" s="8">
        <v>46112.0</v>
      </c>
      <c r="P465" s="7">
        <v>2.320527237E8</v>
      </c>
      <c r="Q465" s="7">
        <v>1.2771340681E8</v>
      </c>
      <c r="R465" s="7">
        <v>6084379.04</v>
      </c>
      <c r="S465" s="1" t="s">
        <v>52</v>
      </c>
    </row>
    <row r="466" ht="15.0" customHeight="1">
      <c r="B466" s="6">
        <f t="shared" si="1"/>
        <v>464</v>
      </c>
      <c r="C466" s="1" t="s">
        <v>793</v>
      </c>
      <c r="D466" s="1" t="s">
        <v>43</v>
      </c>
      <c r="E466" s="1" t="s">
        <v>794</v>
      </c>
      <c r="F466" s="1" t="s">
        <v>190</v>
      </c>
      <c r="G466" s="1" t="s">
        <v>318</v>
      </c>
      <c r="H466" s="6">
        <v>2017.0</v>
      </c>
      <c r="I466" s="1" t="s">
        <v>121</v>
      </c>
      <c r="J466" s="1" t="s">
        <v>122</v>
      </c>
      <c r="K466" s="1" t="s">
        <v>127</v>
      </c>
      <c r="M466" s="7">
        <v>9.0E7</v>
      </c>
      <c r="N466" s="7">
        <v>2.431417E7</v>
      </c>
      <c r="O466" s="8">
        <v>46112.0</v>
      </c>
      <c r="P466" s="7">
        <v>1.5855079907E8</v>
      </c>
      <c r="Q466" s="7">
        <v>9.792697568E7</v>
      </c>
      <c r="R466" s="7">
        <v>6776544.44</v>
      </c>
      <c r="S466" s="1" t="s">
        <v>52</v>
      </c>
    </row>
    <row r="467" ht="15.0" hidden="1" customHeight="1">
      <c r="B467" s="6">
        <f t="shared" si="1"/>
        <v>465</v>
      </c>
      <c r="C467" s="1" t="s">
        <v>795</v>
      </c>
      <c r="D467" s="1" t="s">
        <v>43</v>
      </c>
      <c r="E467" s="1" t="s">
        <v>795</v>
      </c>
      <c r="F467" s="1" t="s">
        <v>179</v>
      </c>
      <c r="G467" s="1" t="s">
        <v>318</v>
      </c>
      <c r="H467" s="6">
        <v>2017.0</v>
      </c>
      <c r="I467" s="1" t="s">
        <v>121</v>
      </c>
      <c r="J467" s="1" t="s">
        <v>122</v>
      </c>
      <c r="K467" s="1" t="s">
        <v>127</v>
      </c>
      <c r="M467" s="7">
        <v>9.5E7</v>
      </c>
      <c r="N467" s="7">
        <v>6.0340157E7</v>
      </c>
      <c r="O467" s="8">
        <v>46112.0</v>
      </c>
      <c r="P467" s="7">
        <v>1.6100795362E8</v>
      </c>
      <c r="Q467" s="7">
        <v>8.403115371E7</v>
      </c>
      <c r="R467" s="7">
        <v>745097.92</v>
      </c>
      <c r="S467" s="1" t="s">
        <v>106</v>
      </c>
    </row>
    <row r="468" ht="15.0" customHeight="1">
      <c r="B468" s="6">
        <f t="shared" si="1"/>
        <v>466</v>
      </c>
      <c r="C468" s="1" t="s">
        <v>796</v>
      </c>
      <c r="D468" s="1" t="s">
        <v>43</v>
      </c>
      <c r="E468" s="1" t="s">
        <v>796</v>
      </c>
      <c r="F468" s="1" t="s">
        <v>214</v>
      </c>
      <c r="G468" s="1" t="s">
        <v>318</v>
      </c>
      <c r="H468" s="6">
        <v>2016.0</v>
      </c>
      <c r="I468" s="1" t="s">
        <v>121</v>
      </c>
      <c r="J468" s="1" t="s">
        <v>122</v>
      </c>
      <c r="K468" s="1" t="s">
        <v>180</v>
      </c>
      <c r="M468" s="7">
        <v>3.0E8</v>
      </c>
      <c r="N468" s="7">
        <v>1.61239015E8</v>
      </c>
      <c r="O468" s="8">
        <v>46112.0</v>
      </c>
      <c r="P468" s="7">
        <v>4.4092682159E8</v>
      </c>
      <c r="Q468" s="7">
        <v>3.13741806E8</v>
      </c>
      <c r="R468" s="7">
        <v>1.176583275E7</v>
      </c>
      <c r="S468" s="1" t="s">
        <v>52</v>
      </c>
    </row>
    <row r="469" ht="15.0" hidden="1" customHeight="1">
      <c r="B469" s="6">
        <f t="shared" si="1"/>
        <v>467</v>
      </c>
      <c r="C469" s="1" t="s">
        <v>797</v>
      </c>
      <c r="D469" s="1" t="s">
        <v>43</v>
      </c>
      <c r="E469" s="1" t="s">
        <v>798</v>
      </c>
      <c r="F469" s="1" t="s">
        <v>129</v>
      </c>
      <c r="G469" s="1" t="s">
        <v>318</v>
      </c>
      <c r="H469" s="6">
        <v>2016.0</v>
      </c>
      <c r="I469" s="1" t="s">
        <v>121</v>
      </c>
      <c r="J469" s="1" t="s">
        <v>122</v>
      </c>
      <c r="K469" s="1" t="s">
        <v>180</v>
      </c>
      <c r="M469" s="7">
        <v>9.0E7</v>
      </c>
      <c r="N469" s="7">
        <v>0.0</v>
      </c>
      <c r="O469" s="8">
        <v>44139.0</v>
      </c>
      <c r="P469" s="7">
        <v>1.0057121889E8</v>
      </c>
      <c r="Q469" s="7">
        <v>9.384683761E7</v>
      </c>
      <c r="R469" s="7">
        <v>0.19</v>
      </c>
      <c r="S469" s="1" t="s">
        <v>45</v>
      </c>
    </row>
    <row r="470" ht="15.0" hidden="1" customHeight="1">
      <c r="B470" s="6">
        <f t="shared" si="1"/>
        <v>468</v>
      </c>
      <c r="C470" s="1" t="s">
        <v>799</v>
      </c>
      <c r="D470" s="1" t="s">
        <v>43</v>
      </c>
      <c r="E470" s="1" t="s">
        <v>799</v>
      </c>
      <c r="F470" s="1" t="s">
        <v>125</v>
      </c>
      <c r="G470" s="1" t="s">
        <v>318</v>
      </c>
      <c r="H470" s="6">
        <v>2016.0</v>
      </c>
      <c r="I470" s="1" t="s">
        <v>121</v>
      </c>
      <c r="J470" s="1" t="s">
        <v>122</v>
      </c>
      <c r="K470" s="1" t="s">
        <v>123</v>
      </c>
      <c r="M470" s="7">
        <v>7.5E7</v>
      </c>
      <c r="N470" s="7">
        <v>0.0</v>
      </c>
      <c r="O470" s="8">
        <v>45747.0</v>
      </c>
      <c r="P470" s="7">
        <v>2.301333316E8</v>
      </c>
      <c r="Q470" s="7">
        <v>6.727044302E7</v>
      </c>
      <c r="R470" s="7">
        <v>0.0</v>
      </c>
      <c r="S470" s="1" t="s">
        <v>106</v>
      </c>
    </row>
    <row r="471" ht="15.0" customHeight="1">
      <c r="B471" s="6">
        <f t="shared" si="1"/>
        <v>469</v>
      </c>
      <c r="C471" s="1" t="s">
        <v>800</v>
      </c>
      <c r="D471" s="1" t="s">
        <v>43</v>
      </c>
      <c r="E471" s="1" t="s">
        <v>800</v>
      </c>
      <c r="F471" s="1" t="s">
        <v>167</v>
      </c>
      <c r="G471" s="1" t="s">
        <v>318</v>
      </c>
      <c r="H471" s="6">
        <v>2017.0</v>
      </c>
      <c r="I471" s="1" t="s">
        <v>126</v>
      </c>
      <c r="J471" s="1" t="s">
        <v>126</v>
      </c>
      <c r="K471" s="1" t="s">
        <v>126</v>
      </c>
      <c r="M471" s="7">
        <v>2.0E8</v>
      </c>
      <c r="N471" s="7">
        <v>2.89271484E8</v>
      </c>
      <c r="O471" s="8">
        <v>46112.0</v>
      </c>
      <c r="P471" s="7">
        <v>2.0404388733E8</v>
      </c>
      <c r="Q471" s="7">
        <v>1.9792697373E8</v>
      </c>
      <c r="R471" s="7">
        <v>3.06412134E7</v>
      </c>
      <c r="S471" s="1" t="s">
        <v>52</v>
      </c>
    </row>
    <row r="472" ht="15.0" customHeight="1">
      <c r="B472" s="6">
        <f t="shared" si="1"/>
        <v>470</v>
      </c>
      <c r="C472" s="1" t="s">
        <v>801</v>
      </c>
      <c r="D472" s="1" t="s">
        <v>43</v>
      </c>
      <c r="E472" s="1" t="s">
        <v>801</v>
      </c>
      <c r="F472" s="1" t="s">
        <v>137</v>
      </c>
      <c r="G472" s="1" t="s">
        <v>318</v>
      </c>
      <c r="H472" s="6">
        <v>2017.0</v>
      </c>
      <c r="I472" s="1" t="s">
        <v>121</v>
      </c>
      <c r="J472" s="1" t="s">
        <v>122</v>
      </c>
      <c r="K472" s="1" t="s">
        <v>127</v>
      </c>
      <c r="M472" s="7">
        <v>2.0E8</v>
      </c>
      <c r="N472" s="7">
        <v>0.0</v>
      </c>
      <c r="O472" s="8">
        <v>46024.0</v>
      </c>
      <c r="P472" s="7">
        <v>4.8957124619E8</v>
      </c>
      <c r="Q472" s="7">
        <v>2.04551722E8</v>
      </c>
      <c r="R472" s="7">
        <v>0.3053</v>
      </c>
      <c r="S472" s="1" t="s">
        <v>52</v>
      </c>
    </row>
    <row r="473" ht="15.0" customHeight="1">
      <c r="B473" s="6">
        <f t="shared" si="1"/>
        <v>471</v>
      </c>
      <c r="C473" s="1" t="s">
        <v>802</v>
      </c>
      <c r="D473" s="1" t="s">
        <v>43</v>
      </c>
      <c r="E473" s="1" t="s">
        <v>802</v>
      </c>
      <c r="F473" s="1" t="s">
        <v>91</v>
      </c>
      <c r="G473" s="1" t="s">
        <v>318</v>
      </c>
      <c r="H473" s="6">
        <v>2018.0</v>
      </c>
      <c r="I473" s="1" t="s">
        <v>121</v>
      </c>
      <c r="J473" s="1" t="s">
        <v>122</v>
      </c>
      <c r="K473" s="1" t="s">
        <v>180</v>
      </c>
      <c r="M473" s="7">
        <v>2.25E8</v>
      </c>
      <c r="N473" s="7">
        <v>1.87658881E8</v>
      </c>
      <c r="O473" s="8">
        <v>46112.0</v>
      </c>
      <c r="P473" s="7">
        <v>1.7182956614E8</v>
      </c>
      <c r="Q473" s="7">
        <v>2.393822643E8</v>
      </c>
      <c r="R473" s="7">
        <v>4.100138745E7</v>
      </c>
      <c r="S473" s="1" t="s">
        <v>52</v>
      </c>
    </row>
    <row r="474" ht="15.0" customHeight="1">
      <c r="B474" s="6">
        <f t="shared" si="1"/>
        <v>472</v>
      </c>
      <c r="C474" s="1" t="s">
        <v>803</v>
      </c>
      <c r="D474" s="1" t="s">
        <v>43</v>
      </c>
      <c r="E474" s="1" t="s">
        <v>803</v>
      </c>
      <c r="F474" s="1" t="s">
        <v>232</v>
      </c>
      <c r="G474" s="1" t="s">
        <v>318</v>
      </c>
      <c r="H474" s="6">
        <v>2017.0</v>
      </c>
      <c r="I474" s="1" t="s">
        <v>121</v>
      </c>
      <c r="J474" s="1" t="s">
        <v>122</v>
      </c>
      <c r="K474" s="1" t="s">
        <v>180</v>
      </c>
      <c r="M474" s="7">
        <v>1.25E8</v>
      </c>
      <c r="N474" s="7">
        <v>5.2237302E7</v>
      </c>
      <c r="O474" s="8">
        <v>46112.0</v>
      </c>
      <c r="P474" s="7">
        <v>2.818435887868E8</v>
      </c>
      <c r="Q474" s="7">
        <v>1.4645194301E8</v>
      </c>
      <c r="R474" s="7">
        <v>7719656.4806</v>
      </c>
      <c r="S474" s="1" t="s">
        <v>52</v>
      </c>
    </row>
    <row r="475" ht="15.0" customHeight="1">
      <c r="B475" s="6">
        <f t="shared" si="1"/>
        <v>473</v>
      </c>
      <c r="C475" s="1" t="s">
        <v>804</v>
      </c>
      <c r="D475" s="1" t="s">
        <v>43</v>
      </c>
      <c r="E475" s="1" t="s">
        <v>804</v>
      </c>
      <c r="F475" s="1" t="s">
        <v>208</v>
      </c>
      <c r="G475" s="1" t="s">
        <v>318</v>
      </c>
      <c r="H475" s="6">
        <v>2017.0</v>
      </c>
      <c r="I475" s="1" t="s">
        <v>126</v>
      </c>
      <c r="J475" s="1" t="s">
        <v>126</v>
      </c>
      <c r="K475" s="1" t="s">
        <v>126</v>
      </c>
      <c r="M475" s="7">
        <v>1.0E8</v>
      </c>
      <c r="N475" s="7">
        <v>1.31024609E8</v>
      </c>
      <c r="O475" s="8">
        <v>46112.0</v>
      </c>
      <c r="P475" s="7">
        <v>6.856029801E7</v>
      </c>
      <c r="Q475" s="7">
        <v>1.0000000001E8</v>
      </c>
      <c r="R475" s="7">
        <v>1.444679484E7</v>
      </c>
      <c r="S475" s="1" t="s">
        <v>52</v>
      </c>
    </row>
    <row r="476" ht="15.0" customHeight="1">
      <c r="B476" s="6">
        <f t="shared" si="1"/>
        <v>474</v>
      </c>
      <c r="C476" s="1" t="s">
        <v>805</v>
      </c>
      <c r="D476" s="1" t="s">
        <v>43</v>
      </c>
      <c r="E476" s="1" t="s">
        <v>805</v>
      </c>
      <c r="F476" s="1" t="s">
        <v>88</v>
      </c>
      <c r="G476" s="1" t="s">
        <v>318</v>
      </c>
      <c r="H476" s="6">
        <v>2017.0</v>
      </c>
      <c r="I476" s="1" t="s">
        <v>164</v>
      </c>
      <c r="J476" s="1" t="s">
        <v>164</v>
      </c>
      <c r="K476" s="1" t="s">
        <v>164</v>
      </c>
      <c r="M476" s="7">
        <v>1.0E8</v>
      </c>
      <c r="N476" s="7">
        <v>7.0977297E7</v>
      </c>
      <c r="O476" s="8">
        <v>46112.0</v>
      </c>
      <c r="P476" s="7">
        <v>2.1405698358E8</v>
      </c>
      <c r="Q476" s="7">
        <v>1.5317282317E8</v>
      </c>
      <c r="R476" s="7">
        <v>1.275109426E7</v>
      </c>
      <c r="S476" s="1" t="s">
        <v>52</v>
      </c>
    </row>
    <row r="477" ht="15.0" customHeight="1">
      <c r="B477" s="6">
        <f t="shared" si="1"/>
        <v>475</v>
      </c>
      <c r="C477" s="1" t="s">
        <v>806</v>
      </c>
      <c r="D477" s="1" t="s">
        <v>43</v>
      </c>
      <c r="E477" s="1" t="s">
        <v>806</v>
      </c>
      <c r="F477" s="1" t="s">
        <v>807</v>
      </c>
      <c r="G477" s="1" t="s">
        <v>318</v>
      </c>
      <c r="H477" s="6">
        <v>2015.0</v>
      </c>
      <c r="I477" s="1" t="s">
        <v>121</v>
      </c>
      <c r="J477" s="1" t="s">
        <v>274</v>
      </c>
      <c r="K477" s="1" t="s">
        <v>204</v>
      </c>
      <c r="M477" s="7">
        <v>1.25E8</v>
      </c>
      <c r="N477" s="7">
        <v>8.3233132E7</v>
      </c>
      <c r="O477" s="8">
        <v>46112.0</v>
      </c>
      <c r="P477" s="7">
        <v>1.19053108E8</v>
      </c>
      <c r="Q477" s="7">
        <v>1.13696755E8</v>
      </c>
      <c r="R477" s="7">
        <v>1.2119073E7</v>
      </c>
      <c r="S477" s="1" t="s">
        <v>52</v>
      </c>
    </row>
    <row r="478" ht="15.0" customHeight="1">
      <c r="B478" s="6">
        <f t="shared" si="1"/>
        <v>476</v>
      </c>
      <c r="C478" s="1" t="s">
        <v>808</v>
      </c>
      <c r="D478" s="1" t="s">
        <v>43</v>
      </c>
      <c r="E478" s="1" t="s">
        <v>808</v>
      </c>
      <c r="F478" s="1" t="s">
        <v>722</v>
      </c>
      <c r="G478" s="1" t="s">
        <v>318</v>
      </c>
      <c r="H478" s="6">
        <v>2017.0</v>
      </c>
      <c r="I478" s="1" t="s">
        <v>126</v>
      </c>
      <c r="J478" s="1" t="s">
        <v>126</v>
      </c>
      <c r="K478" s="1" t="s">
        <v>126</v>
      </c>
      <c r="M478" s="7">
        <v>7.5E7</v>
      </c>
      <c r="N478" s="7">
        <v>4.760355E7</v>
      </c>
      <c r="O478" s="8">
        <v>46112.0</v>
      </c>
      <c r="P478" s="7">
        <v>1.5812155E7</v>
      </c>
      <c r="Q478" s="7">
        <v>7.444089E7</v>
      </c>
      <c r="R478" s="7">
        <v>5649538.0</v>
      </c>
      <c r="S478" s="1" t="s">
        <v>52</v>
      </c>
    </row>
    <row r="479" ht="15.0" customHeight="1">
      <c r="B479" s="6">
        <f t="shared" si="1"/>
        <v>477</v>
      </c>
      <c r="C479" s="1" t="s">
        <v>809</v>
      </c>
      <c r="D479" s="1" t="s">
        <v>43</v>
      </c>
      <c r="E479" s="1" t="s">
        <v>809</v>
      </c>
      <c r="F479" s="1" t="s">
        <v>146</v>
      </c>
      <c r="G479" s="1" t="s">
        <v>318</v>
      </c>
      <c r="H479" s="6">
        <v>2018.0</v>
      </c>
      <c r="I479" s="1" t="s">
        <v>121</v>
      </c>
      <c r="J479" s="1" t="s">
        <v>122</v>
      </c>
      <c r="K479" s="1" t="s">
        <v>123</v>
      </c>
      <c r="M479" s="7">
        <v>7.0E7</v>
      </c>
      <c r="N479" s="7">
        <v>5.8380533E7</v>
      </c>
      <c r="O479" s="8">
        <v>46112.0</v>
      </c>
      <c r="P479" s="7">
        <v>5.265561725E7</v>
      </c>
      <c r="Q479" s="7">
        <v>8.199873998E7</v>
      </c>
      <c r="R479" s="7">
        <v>4809289.83</v>
      </c>
      <c r="S479" s="1" t="s">
        <v>52</v>
      </c>
    </row>
    <row r="480" ht="15.0" customHeight="1">
      <c r="B480" s="6">
        <f t="shared" si="1"/>
        <v>478</v>
      </c>
      <c r="C480" s="1" t="s">
        <v>810</v>
      </c>
      <c r="D480" s="1" t="s">
        <v>43</v>
      </c>
      <c r="E480" s="1" t="s">
        <v>810</v>
      </c>
      <c r="F480" s="1" t="s">
        <v>227</v>
      </c>
      <c r="G480" s="1" t="s">
        <v>318</v>
      </c>
      <c r="H480" s="6">
        <v>2017.0</v>
      </c>
      <c r="I480" s="1" t="s">
        <v>126</v>
      </c>
      <c r="J480" s="1" t="s">
        <v>126</v>
      </c>
      <c r="K480" s="1" t="s">
        <v>126</v>
      </c>
      <c r="M480" s="7">
        <v>1.0E8</v>
      </c>
      <c r="N480" s="7">
        <v>1.6398787112E8</v>
      </c>
      <c r="O480" s="8">
        <v>46112.0</v>
      </c>
      <c r="P480" s="7">
        <v>1.3082252977E8</v>
      </c>
      <c r="Q480" s="7">
        <v>1.0469045081E8</v>
      </c>
      <c r="R480" s="7">
        <v>1.40007965E7</v>
      </c>
      <c r="S480" s="1" t="s">
        <v>52</v>
      </c>
    </row>
    <row r="481" ht="15.0" hidden="1" customHeight="1">
      <c r="B481" s="6">
        <f t="shared" si="1"/>
        <v>479</v>
      </c>
      <c r="C481" s="1" t="s">
        <v>811</v>
      </c>
      <c r="D481" s="1" t="s">
        <v>43</v>
      </c>
      <c r="E481" s="1" t="s">
        <v>811</v>
      </c>
      <c r="F481" s="1" t="s">
        <v>779</v>
      </c>
      <c r="G481" s="1" t="s">
        <v>318</v>
      </c>
      <c r="H481" s="6">
        <v>2018.0</v>
      </c>
      <c r="I481" s="1" t="s">
        <v>121</v>
      </c>
      <c r="J481" s="1" t="s">
        <v>122</v>
      </c>
      <c r="K481" s="1" t="s">
        <v>127</v>
      </c>
      <c r="M481" s="7">
        <v>7.5E7</v>
      </c>
      <c r="N481" s="7">
        <v>0.0</v>
      </c>
      <c r="O481" s="8">
        <v>45747.0</v>
      </c>
      <c r="P481" s="7">
        <v>1.1633883951E8</v>
      </c>
      <c r="Q481" s="7">
        <v>7.553166039E7</v>
      </c>
      <c r="R481" s="7">
        <v>-0.01</v>
      </c>
      <c r="S481" s="1" t="s">
        <v>45</v>
      </c>
    </row>
    <row r="482" ht="15.0" hidden="1" customHeight="1">
      <c r="B482" s="6">
        <f t="shared" si="1"/>
        <v>480</v>
      </c>
      <c r="C482" s="1" t="s">
        <v>812</v>
      </c>
      <c r="D482" s="1" t="s">
        <v>43</v>
      </c>
      <c r="E482" s="1" t="s">
        <v>812</v>
      </c>
      <c r="F482" s="1" t="s">
        <v>140</v>
      </c>
      <c r="G482" s="1" t="s">
        <v>318</v>
      </c>
      <c r="H482" s="6">
        <v>2018.0</v>
      </c>
      <c r="I482" s="1" t="s">
        <v>121</v>
      </c>
      <c r="J482" s="1" t="s">
        <v>122</v>
      </c>
      <c r="K482" s="1" t="s">
        <v>127</v>
      </c>
      <c r="M482" s="7">
        <v>1.0E8</v>
      </c>
      <c r="N482" s="7">
        <v>8.590931991E7</v>
      </c>
      <c r="O482" s="8">
        <v>46112.0</v>
      </c>
      <c r="P482" s="7">
        <v>6.656014739E7</v>
      </c>
      <c r="Q482" s="7">
        <v>9.947159709E7</v>
      </c>
      <c r="R482" s="7">
        <v>6707500.0</v>
      </c>
      <c r="S482" s="1" t="s">
        <v>45</v>
      </c>
    </row>
    <row r="483" ht="15.0" customHeight="1">
      <c r="B483" s="6">
        <f t="shared" si="1"/>
        <v>481</v>
      </c>
      <c r="C483" s="1" t="s">
        <v>813</v>
      </c>
      <c r="D483" s="1" t="s">
        <v>43</v>
      </c>
      <c r="E483" s="1" t="s">
        <v>813</v>
      </c>
      <c r="F483" s="1" t="s">
        <v>214</v>
      </c>
      <c r="G483" s="1" t="s">
        <v>318</v>
      </c>
      <c r="H483" s="6">
        <v>2018.0</v>
      </c>
      <c r="I483" s="1" t="s">
        <v>121</v>
      </c>
      <c r="J483" s="1" t="s">
        <v>122</v>
      </c>
      <c r="K483" s="1" t="s">
        <v>127</v>
      </c>
      <c r="M483" s="7">
        <v>1.6E8</v>
      </c>
      <c r="N483" s="7">
        <v>1.80606221E8</v>
      </c>
      <c r="O483" s="8">
        <v>46112.0</v>
      </c>
      <c r="P483" s="7">
        <v>6.4371929E7</v>
      </c>
      <c r="Q483" s="7">
        <v>1.44859336E8</v>
      </c>
      <c r="R483" s="7">
        <v>3.1395675E7</v>
      </c>
      <c r="S483" s="1" t="s">
        <v>52</v>
      </c>
    </row>
    <row r="484" ht="15.0" customHeight="1">
      <c r="B484" s="6">
        <f t="shared" si="1"/>
        <v>482</v>
      </c>
      <c r="C484" s="1" t="s">
        <v>814</v>
      </c>
      <c r="D484" s="1" t="s">
        <v>43</v>
      </c>
      <c r="E484" s="1" t="s">
        <v>814</v>
      </c>
      <c r="F484" s="1" t="s">
        <v>219</v>
      </c>
      <c r="G484" s="1" t="s">
        <v>318</v>
      </c>
      <c r="H484" s="6">
        <v>2018.0</v>
      </c>
      <c r="I484" s="1" t="s">
        <v>121</v>
      </c>
      <c r="J484" s="1" t="s">
        <v>122</v>
      </c>
      <c r="K484" s="1" t="s">
        <v>127</v>
      </c>
      <c r="M484" s="7">
        <v>7.5E7</v>
      </c>
      <c r="N484" s="7">
        <v>6.5573416E7</v>
      </c>
      <c r="O484" s="8">
        <v>46112.0</v>
      </c>
      <c r="P484" s="7">
        <v>1.0642200233E8</v>
      </c>
      <c r="Q484" s="7">
        <v>9.122405292E7</v>
      </c>
      <c r="R484" s="7">
        <v>6.244273943E7</v>
      </c>
      <c r="S484" s="1" t="s">
        <v>52</v>
      </c>
    </row>
    <row r="485" ht="15.0" customHeight="1">
      <c r="B485" s="6">
        <f t="shared" si="1"/>
        <v>483</v>
      </c>
      <c r="C485" s="1" t="s">
        <v>815</v>
      </c>
      <c r="D485" s="1" t="s">
        <v>43</v>
      </c>
      <c r="E485" s="1" t="s">
        <v>815</v>
      </c>
      <c r="F485" s="1" t="s">
        <v>234</v>
      </c>
      <c r="G485" s="1" t="s">
        <v>318</v>
      </c>
      <c r="H485" s="6">
        <v>2018.0</v>
      </c>
      <c r="I485" s="1" t="s">
        <v>121</v>
      </c>
      <c r="J485" s="1" t="s">
        <v>122</v>
      </c>
      <c r="K485" s="1" t="s">
        <v>127</v>
      </c>
      <c r="M485" s="7">
        <v>1.5E8</v>
      </c>
      <c r="N485" s="7">
        <v>1.50652354E8</v>
      </c>
      <c r="O485" s="8">
        <v>46112.0</v>
      </c>
      <c r="P485" s="7">
        <v>5.827552575E7</v>
      </c>
      <c r="Q485" s="7">
        <v>1.7540894565E8</v>
      </c>
      <c r="R485" s="7">
        <v>1.112928333E7</v>
      </c>
      <c r="S485" s="1" t="s">
        <v>52</v>
      </c>
    </row>
    <row r="486" ht="15.0" customHeight="1">
      <c r="B486" s="6">
        <f t="shared" si="1"/>
        <v>484</v>
      </c>
      <c r="C486" s="1" t="s">
        <v>816</v>
      </c>
      <c r="D486" s="1" t="s">
        <v>43</v>
      </c>
      <c r="E486" s="1" t="s">
        <v>816</v>
      </c>
      <c r="F486" s="1" t="s">
        <v>817</v>
      </c>
      <c r="G486" s="1" t="s">
        <v>318</v>
      </c>
      <c r="H486" s="6">
        <v>2018.0</v>
      </c>
      <c r="I486" s="1" t="s">
        <v>121</v>
      </c>
      <c r="J486" s="1" t="s">
        <v>122</v>
      </c>
      <c r="K486" s="1" t="s">
        <v>127</v>
      </c>
      <c r="M486" s="7">
        <v>1.0E8</v>
      </c>
      <c r="N486" s="7">
        <v>1.10028172E8</v>
      </c>
      <c r="O486" s="8">
        <v>46112.0</v>
      </c>
      <c r="P486" s="7">
        <v>7.2752822E7</v>
      </c>
      <c r="Q486" s="7">
        <v>9.70501E7</v>
      </c>
      <c r="R486" s="7">
        <v>8695621.0</v>
      </c>
      <c r="S486" s="1" t="s">
        <v>52</v>
      </c>
    </row>
    <row r="487" ht="15.0" customHeight="1">
      <c r="B487" s="6">
        <f t="shared" si="1"/>
        <v>485</v>
      </c>
      <c r="C487" s="1" t="s">
        <v>818</v>
      </c>
      <c r="D487" s="1" t="s">
        <v>43</v>
      </c>
      <c r="E487" s="1" t="s">
        <v>818</v>
      </c>
      <c r="F487" s="1" t="s">
        <v>232</v>
      </c>
      <c r="G487" s="1" t="s">
        <v>318</v>
      </c>
      <c r="H487" s="6">
        <v>2019.0</v>
      </c>
      <c r="I487" s="1" t="s">
        <v>121</v>
      </c>
      <c r="J487" s="1" t="s">
        <v>122</v>
      </c>
      <c r="K487" s="1" t="s">
        <v>127</v>
      </c>
      <c r="M487" s="7">
        <v>1.5E8</v>
      </c>
      <c r="N487" s="7">
        <v>9.4480813E7</v>
      </c>
      <c r="O487" s="8">
        <v>46112.0</v>
      </c>
      <c r="P487" s="7">
        <v>1.72843914E8</v>
      </c>
      <c r="Q487" s="7">
        <v>1.5224182E8</v>
      </c>
      <c r="R487" s="7">
        <v>2.9649259E7</v>
      </c>
      <c r="S487" s="1" t="s">
        <v>52</v>
      </c>
    </row>
    <row r="488" ht="15.0" hidden="1" customHeight="1">
      <c r="B488" s="6">
        <f t="shared" si="1"/>
        <v>486</v>
      </c>
      <c r="C488" s="1" t="s">
        <v>819</v>
      </c>
      <c r="D488" s="1" t="s">
        <v>43</v>
      </c>
      <c r="E488" s="1" t="s">
        <v>819</v>
      </c>
      <c r="F488" s="1" t="s">
        <v>125</v>
      </c>
      <c r="G488" s="1" t="s">
        <v>318</v>
      </c>
      <c r="H488" s="6">
        <v>2018.0</v>
      </c>
      <c r="I488" s="1" t="s">
        <v>121</v>
      </c>
      <c r="J488" s="1" t="s">
        <v>122</v>
      </c>
      <c r="K488" s="1" t="s">
        <v>180</v>
      </c>
      <c r="M488" s="7">
        <v>1.0E8</v>
      </c>
      <c r="N488" s="7">
        <v>3.1387796E7</v>
      </c>
      <c r="O488" s="8">
        <v>46112.0</v>
      </c>
      <c r="P488" s="7">
        <v>1.2312702281E8</v>
      </c>
      <c r="Q488" s="7">
        <v>9.586419246E7</v>
      </c>
      <c r="R488" s="7">
        <v>1702774.11</v>
      </c>
      <c r="S488" s="1" t="s">
        <v>45</v>
      </c>
    </row>
    <row r="489" ht="15.0" customHeight="1">
      <c r="B489" s="6">
        <f t="shared" si="1"/>
        <v>487</v>
      </c>
      <c r="C489" s="1" t="s">
        <v>820</v>
      </c>
      <c r="D489" s="1" t="s">
        <v>43</v>
      </c>
      <c r="E489" s="1" t="s">
        <v>820</v>
      </c>
      <c r="F489" s="1" t="s">
        <v>821</v>
      </c>
      <c r="G489" s="1" t="s">
        <v>318</v>
      </c>
      <c r="H489" s="6">
        <v>2017.0</v>
      </c>
      <c r="I489" s="1" t="s">
        <v>126</v>
      </c>
      <c r="J489" s="1" t="s">
        <v>126</v>
      </c>
      <c r="K489" s="1" t="s">
        <v>126</v>
      </c>
      <c r="M489" s="7">
        <v>1.0E8</v>
      </c>
      <c r="N489" s="7">
        <v>7.5617878E7</v>
      </c>
      <c r="O489" s="8">
        <v>45930.0</v>
      </c>
      <c r="P489" s="7">
        <v>2.4150573973E8</v>
      </c>
      <c r="Q489" s="7">
        <v>1.0E8</v>
      </c>
      <c r="R489" s="7">
        <v>0.0</v>
      </c>
      <c r="S489" s="1" t="s">
        <v>52</v>
      </c>
    </row>
    <row r="490" ht="15.0" customHeight="1">
      <c r="B490" s="6">
        <f t="shared" si="1"/>
        <v>488</v>
      </c>
      <c r="C490" s="1" t="s">
        <v>822</v>
      </c>
      <c r="D490" s="1" t="s">
        <v>43</v>
      </c>
      <c r="E490" s="1" t="s">
        <v>822</v>
      </c>
      <c r="F490" s="1" t="s">
        <v>245</v>
      </c>
      <c r="G490" s="1" t="s">
        <v>318</v>
      </c>
      <c r="H490" s="6">
        <v>2019.0</v>
      </c>
      <c r="I490" s="1" t="s">
        <v>126</v>
      </c>
      <c r="J490" s="1" t="s">
        <v>126</v>
      </c>
      <c r="K490" s="1" t="s">
        <v>126</v>
      </c>
      <c r="M490" s="7">
        <v>1.5E8</v>
      </c>
      <c r="N490" s="7">
        <v>1.67947925E8</v>
      </c>
      <c r="O490" s="8">
        <v>46112.0</v>
      </c>
      <c r="P490" s="7">
        <v>6.2015973E7</v>
      </c>
      <c r="Q490" s="7">
        <v>1.4955663701E8</v>
      </c>
      <c r="R490" s="7">
        <v>6.040475199E7</v>
      </c>
      <c r="S490" s="1" t="s">
        <v>52</v>
      </c>
    </row>
    <row r="491" ht="15.0" customHeight="1">
      <c r="B491" s="6">
        <f t="shared" si="1"/>
        <v>489</v>
      </c>
      <c r="C491" s="1" t="s">
        <v>823</v>
      </c>
      <c r="D491" s="1" t="s">
        <v>43</v>
      </c>
      <c r="E491" s="1" t="s">
        <v>823</v>
      </c>
      <c r="F491" s="1" t="s">
        <v>211</v>
      </c>
      <c r="G491" s="1" t="s">
        <v>318</v>
      </c>
      <c r="H491" s="6">
        <v>2019.0</v>
      </c>
      <c r="I491" s="1" t="s">
        <v>164</v>
      </c>
      <c r="J491" s="1" t="s">
        <v>164</v>
      </c>
      <c r="K491" s="1" t="s">
        <v>164</v>
      </c>
      <c r="M491" s="7">
        <v>1.5E8</v>
      </c>
      <c r="N491" s="7">
        <v>1.86507295E8</v>
      </c>
      <c r="O491" s="8">
        <v>46112.0</v>
      </c>
      <c r="P491" s="7">
        <v>9.9192542E7</v>
      </c>
      <c r="Q491" s="7">
        <v>1.57758297E8</v>
      </c>
      <c r="R491" s="7">
        <v>2.2593074E7</v>
      </c>
      <c r="S491" s="1" t="s">
        <v>52</v>
      </c>
    </row>
    <row r="492" ht="15.0" customHeight="1">
      <c r="B492" s="6">
        <f t="shared" si="1"/>
        <v>490</v>
      </c>
      <c r="C492" s="1" t="s">
        <v>824</v>
      </c>
      <c r="D492" s="1" t="s">
        <v>43</v>
      </c>
      <c r="E492" s="1" t="s">
        <v>824</v>
      </c>
      <c r="F492" s="1" t="s">
        <v>825</v>
      </c>
      <c r="G492" s="1" t="s">
        <v>318</v>
      </c>
      <c r="H492" s="6">
        <v>2018.0</v>
      </c>
      <c r="I492" s="1" t="s">
        <v>150</v>
      </c>
      <c r="J492" s="1" t="s">
        <v>150</v>
      </c>
      <c r="K492" s="1" t="s">
        <v>173</v>
      </c>
      <c r="M492" s="7">
        <v>7.5E7</v>
      </c>
      <c r="N492" s="7">
        <v>9.8832877E7</v>
      </c>
      <c r="O492" s="8">
        <v>46112.0</v>
      </c>
      <c r="P492" s="7">
        <v>3.95676259E7</v>
      </c>
      <c r="Q492" s="7">
        <v>7.053443495E7</v>
      </c>
      <c r="R492" s="7">
        <v>4465565.05</v>
      </c>
      <c r="S492" s="1" t="s">
        <v>52</v>
      </c>
    </row>
    <row r="493" ht="15.0" customHeight="1">
      <c r="B493" s="6">
        <f t="shared" si="1"/>
        <v>491</v>
      </c>
      <c r="C493" s="1" t="s">
        <v>826</v>
      </c>
      <c r="D493" s="1" t="s">
        <v>43</v>
      </c>
      <c r="E493" s="1" t="s">
        <v>826</v>
      </c>
      <c r="F493" s="1" t="s">
        <v>190</v>
      </c>
      <c r="G493" s="1" t="s">
        <v>318</v>
      </c>
      <c r="H493" s="6">
        <v>2019.0</v>
      </c>
      <c r="I493" s="1" t="s">
        <v>121</v>
      </c>
      <c r="J493" s="1" t="s">
        <v>122</v>
      </c>
      <c r="K493" s="1" t="s">
        <v>123</v>
      </c>
      <c r="M493" s="7">
        <v>7.5E7</v>
      </c>
      <c r="N493" s="7">
        <v>5.7916684E7</v>
      </c>
      <c r="O493" s="8">
        <v>46112.0</v>
      </c>
      <c r="P493" s="7">
        <v>1.3898736951E8</v>
      </c>
      <c r="Q493" s="7">
        <v>8.177151706E7</v>
      </c>
      <c r="R493" s="7">
        <v>1.381054997E7</v>
      </c>
      <c r="S493" s="1" t="s">
        <v>52</v>
      </c>
    </row>
    <row r="494" ht="15.0" customHeight="1">
      <c r="B494" s="6">
        <f t="shared" si="1"/>
        <v>492</v>
      </c>
      <c r="C494" s="1" t="s">
        <v>827</v>
      </c>
      <c r="D494" s="1" t="s">
        <v>43</v>
      </c>
      <c r="E494" s="1" t="s">
        <v>827</v>
      </c>
      <c r="F494" s="1" t="s">
        <v>238</v>
      </c>
      <c r="G494" s="1" t="s">
        <v>318</v>
      </c>
      <c r="H494" s="6">
        <v>2018.0</v>
      </c>
      <c r="I494" s="1" t="s">
        <v>121</v>
      </c>
      <c r="J494" s="1" t="s">
        <v>122</v>
      </c>
      <c r="K494" s="1" t="s">
        <v>127</v>
      </c>
      <c r="M494" s="7">
        <v>1.125E8</v>
      </c>
      <c r="N494" s="7">
        <v>1.30042716E8</v>
      </c>
      <c r="O494" s="8">
        <v>46112.0</v>
      </c>
      <c r="P494" s="7">
        <v>5.5907754E7</v>
      </c>
      <c r="Q494" s="7">
        <v>1.32263525E8</v>
      </c>
      <c r="R494" s="7">
        <v>4002587.0</v>
      </c>
      <c r="S494" s="1" t="s">
        <v>52</v>
      </c>
    </row>
    <row r="495" ht="15.0" customHeight="1">
      <c r="B495" s="6">
        <f t="shared" si="1"/>
        <v>493</v>
      </c>
      <c r="C495" s="1" t="s">
        <v>828</v>
      </c>
      <c r="D495" s="1" t="s">
        <v>43</v>
      </c>
      <c r="E495" s="1" t="s">
        <v>828</v>
      </c>
      <c r="F495" s="1" t="s">
        <v>238</v>
      </c>
      <c r="G495" s="1" t="s">
        <v>318</v>
      </c>
      <c r="H495" s="6">
        <v>2018.0</v>
      </c>
      <c r="I495" s="1" t="s">
        <v>121</v>
      </c>
      <c r="J495" s="1" t="s">
        <v>122</v>
      </c>
      <c r="K495" s="1" t="s">
        <v>127</v>
      </c>
      <c r="M495" s="7">
        <v>3.75E7</v>
      </c>
      <c r="N495" s="7">
        <v>4.5455493E7</v>
      </c>
      <c r="O495" s="8">
        <v>46112.0</v>
      </c>
      <c r="P495" s="7">
        <v>1.0550405E7</v>
      </c>
      <c r="Q495" s="7">
        <v>3.9214649E7</v>
      </c>
      <c r="R495" s="7">
        <v>2756122.0</v>
      </c>
      <c r="S495" s="1" t="s">
        <v>52</v>
      </c>
    </row>
    <row r="496" ht="15.0" customHeight="1">
      <c r="B496" s="6">
        <f t="shared" si="1"/>
        <v>494</v>
      </c>
      <c r="C496" s="1" t="s">
        <v>829</v>
      </c>
      <c r="D496" s="1" t="s">
        <v>43</v>
      </c>
      <c r="E496" s="1" t="s">
        <v>829</v>
      </c>
      <c r="F496" s="1" t="s">
        <v>214</v>
      </c>
      <c r="G496" s="1" t="s">
        <v>318</v>
      </c>
      <c r="H496" s="6">
        <v>2019.0</v>
      </c>
      <c r="I496" s="1" t="s">
        <v>121</v>
      </c>
      <c r="J496" s="1" t="s">
        <v>122</v>
      </c>
      <c r="K496" s="1" t="s">
        <v>180</v>
      </c>
      <c r="M496" s="7">
        <v>3.0E8</v>
      </c>
      <c r="N496" s="7">
        <v>3.1165223E8</v>
      </c>
      <c r="O496" s="8">
        <v>46112.0</v>
      </c>
      <c r="P496" s="7">
        <v>1.19113998E8</v>
      </c>
      <c r="Q496" s="7">
        <v>3.14419431E8</v>
      </c>
      <c r="R496" s="7">
        <v>2.7277639E7</v>
      </c>
      <c r="S496" s="1" t="s">
        <v>52</v>
      </c>
    </row>
    <row r="497" ht="15.0" customHeight="1">
      <c r="B497" s="6">
        <f t="shared" si="1"/>
        <v>495</v>
      </c>
      <c r="C497" s="1" t="s">
        <v>830</v>
      </c>
      <c r="D497" s="1" t="s">
        <v>43</v>
      </c>
      <c r="E497" s="1" t="s">
        <v>830</v>
      </c>
      <c r="F497" s="1" t="s">
        <v>88</v>
      </c>
      <c r="G497" s="1" t="s">
        <v>318</v>
      </c>
      <c r="H497" s="6">
        <v>2020.0</v>
      </c>
      <c r="I497" s="1" t="s">
        <v>164</v>
      </c>
      <c r="J497" s="1" t="s">
        <v>164</v>
      </c>
      <c r="K497" s="1" t="s">
        <v>164</v>
      </c>
      <c r="M497" s="7">
        <v>1.5E8</v>
      </c>
      <c r="N497" s="7">
        <v>1.86487826E8</v>
      </c>
      <c r="O497" s="8">
        <v>46112.0</v>
      </c>
      <c r="P497" s="7">
        <v>4.134518894E7</v>
      </c>
      <c r="Q497" s="7">
        <v>1.6621872088E8</v>
      </c>
      <c r="R497" s="7">
        <v>8980722.62</v>
      </c>
      <c r="S497" s="1" t="s">
        <v>52</v>
      </c>
    </row>
    <row r="498" ht="15.0" customHeight="1">
      <c r="B498" s="6">
        <f t="shared" si="1"/>
        <v>496</v>
      </c>
      <c r="C498" s="1" t="s">
        <v>831</v>
      </c>
      <c r="D498" s="1" t="s">
        <v>43</v>
      </c>
      <c r="E498" s="1" t="s">
        <v>832</v>
      </c>
      <c r="F498" s="1" t="s">
        <v>190</v>
      </c>
      <c r="G498" s="1" t="s">
        <v>318</v>
      </c>
      <c r="H498" s="6">
        <v>2020.0</v>
      </c>
      <c r="I498" s="1" t="s">
        <v>121</v>
      </c>
      <c r="J498" s="1" t="s">
        <v>122</v>
      </c>
      <c r="K498" s="1" t="s">
        <v>127</v>
      </c>
      <c r="M498" s="7">
        <v>1.5E8</v>
      </c>
      <c r="N498" s="7">
        <v>1.13773658E8</v>
      </c>
      <c r="O498" s="8">
        <v>46112.0</v>
      </c>
      <c r="P498" s="7">
        <v>4.422141501E7</v>
      </c>
      <c r="Q498" s="7">
        <v>1.5249411056E8</v>
      </c>
      <c r="R498" s="7">
        <v>1.227269741E7</v>
      </c>
      <c r="S498" s="1" t="s">
        <v>52</v>
      </c>
    </row>
    <row r="499" ht="15.0" customHeight="1">
      <c r="B499" s="6">
        <f t="shared" si="1"/>
        <v>497</v>
      </c>
      <c r="C499" s="1" t="s">
        <v>833</v>
      </c>
      <c r="D499" s="1" t="s">
        <v>43</v>
      </c>
      <c r="E499" s="1" t="s">
        <v>833</v>
      </c>
      <c r="F499" s="1" t="s">
        <v>258</v>
      </c>
      <c r="G499" s="1" t="s">
        <v>318</v>
      </c>
      <c r="H499" s="6">
        <v>2019.0</v>
      </c>
      <c r="I499" s="1" t="s">
        <v>121</v>
      </c>
      <c r="J499" s="1" t="s">
        <v>122</v>
      </c>
      <c r="K499" s="1" t="s">
        <v>127</v>
      </c>
      <c r="M499" s="7">
        <v>1.5E8</v>
      </c>
      <c r="N499" s="7">
        <v>6.3449881E7</v>
      </c>
      <c r="O499" s="8">
        <v>46112.0</v>
      </c>
      <c r="P499" s="7">
        <v>1.2837568295E8</v>
      </c>
      <c r="Q499" s="7">
        <v>1.31807774E8</v>
      </c>
      <c r="R499" s="7">
        <v>3.07005849E7</v>
      </c>
      <c r="S499" s="1" t="s">
        <v>52</v>
      </c>
    </row>
    <row r="500" ht="15.0" customHeight="1">
      <c r="B500" s="6">
        <f t="shared" si="1"/>
        <v>498</v>
      </c>
      <c r="C500" s="1" t="s">
        <v>834</v>
      </c>
      <c r="D500" s="1" t="s">
        <v>43</v>
      </c>
      <c r="E500" s="1" t="s">
        <v>834</v>
      </c>
      <c r="F500" s="1" t="s">
        <v>227</v>
      </c>
      <c r="G500" s="1" t="s">
        <v>318</v>
      </c>
      <c r="H500" s="6">
        <v>2019.0</v>
      </c>
      <c r="I500" s="1" t="s">
        <v>126</v>
      </c>
      <c r="J500" s="1" t="s">
        <v>126</v>
      </c>
      <c r="K500" s="1" t="s">
        <v>126</v>
      </c>
      <c r="M500" s="7">
        <v>1.5E8</v>
      </c>
      <c r="N500" s="7">
        <v>2.214304412E8</v>
      </c>
      <c r="O500" s="8">
        <v>46112.0</v>
      </c>
      <c r="P500" s="7">
        <v>7.699580749E7</v>
      </c>
      <c r="Q500" s="7">
        <v>1.4593557187E8</v>
      </c>
      <c r="R500" s="7">
        <v>5834840.94</v>
      </c>
      <c r="S500" s="1" t="s">
        <v>52</v>
      </c>
    </row>
    <row r="501" ht="15.0" customHeight="1">
      <c r="B501" s="6">
        <f t="shared" si="1"/>
        <v>499</v>
      </c>
      <c r="C501" s="1" t="s">
        <v>835</v>
      </c>
      <c r="D501" s="1" t="s">
        <v>43</v>
      </c>
      <c r="E501" s="1" t="s">
        <v>835</v>
      </c>
      <c r="F501" s="1" t="s">
        <v>208</v>
      </c>
      <c r="G501" s="1" t="s">
        <v>318</v>
      </c>
      <c r="H501" s="6">
        <v>2019.0</v>
      </c>
      <c r="I501" s="1" t="s">
        <v>121</v>
      </c>
      <c r="J501" s="1" t="s">
        <v>122</v>
      </c>
      <c r="K501" s="1" t="s">
        <v>180</v>
      </c>
      <c r="M501" s="7">
        <v>1.5E8</v>
      </c>
      <c r="N501" s="7">
        <v>6.041802E7</v>
      </c>
      <c r="O501" s="8">
        <v>46112.0</v>
      </c>
      <c r="P501" s="7">
        <v>1.1912064461E8</v>
      </c>
      <c r="Q501" s="7">
        <v>1.432962811E8</v>
      </c>
      <c r="R501" s="7">
        <v>2.11967158948E7</v>
      </c>
      <c r="S501" s="1" t="s">
        <v>52</v>
      </c>
    </row>
    <row r="502" ht="15.0" customHeight="1">
      <c r="B502" s="6">
        <f t="shared" si="1"/>
        <v>500</v>
      </c>
      <c r="C502" s="1" t="s">
        <v>836</v>
      </c>
      <c r="D502" s="1" t="s">
        <v>43</v>
      </c>
      <c r="E502" s="1" t="s">
        <v>836</v>
      </c>
      <c r="F502" s="1" t="s">
        <v>143</v>
      </c>
      <c r="G502" s="1" t="s">
        <v>318</v>
      </c>
      <c r="H502" s="6">
        <v>2019.0</v>
      </c>
      <c r="I502" s="1" t="s">
        <v>121</v>
      </c>
      <c r="J502" s="1" t="s">
        <v>122</v>
      </c>
      <c r="K502" s="1" t="s">
        <v>123</v>
      </c>
      <c r="M502" s="7">
        <v>5.5765456E7</v>
      </c>
      <c r="N502" s="7">
        <v>2.2353346E7</v>
      </c>
      <c r="O502" s="8">
        <v>46112.0</v>
      </c>
      <c r="P502" s="7">
        <v>7.0377893E7</v>
      </c>
      <c r="Q502" s="7">
        <v>6.0947771E7</v>
      </c>
      <c r="R502" s="7">
        <v>0.0</v>
      </c>
      <c r="S502" s="1" t="s">
        <v>52</v>
      </c>
    </row>
    <row r="503" ht="15.0" customHeight="1">
      <c r="B503" s="6">
        <f t="shared" si="1"/>
        <v>501</v>
      </c>
      <c r="C503" s="1" t="s">
        <v>837</v>
      </c>
      <c r="D503" s="1" t="s">
        <v>43</v>
      </c>
      <c r="E503" s="1" t="s">
        <v>837</v>
      </c>
      <c r="F503" s="1" t="s">
        <v>179</v>
      </c>
      <c r="G503" s="1" t="s">
        <v>318</v>
      </c>
      <c r="H503" s="6">
        <v>2020.0</v>
      </c>
      <c r="I503" s="1" t="s">
        <v>121</v>
      </c>
      <c r="J503" s="1" t="s">
        <v>122</v>
      </c>
      <c r="K503" s="1" t="s">
        <v>180</v>
      </c>
      <c r="M503" s="7">
        <v>1.0E8</v>
      </c>
      <c r="N503" s="7">
        <v>9.4059186E7</v>
      </c>
      <c r="O503" s="8">
        <v>46112.0</v>
      </c>
      <c r="P503" s="7">
        <v>2.745888344E7</v>
      </c>
      <c r="Q503" s="7">
        <v>9.394105445E7</v>
      </c>
      <c r="R503" s="7">
        <v>2.690628198E7</v>
      </c>
      <c r="S503" s="1" t="s">
        <v>52</v>
      </c>
    </row>
    <row r="504" ht="15.0" hidden="1" customHeight="1">
      <c r="B504" s="6">
        <f t="shared" si="1"/>
        <v>502</v>
      </c>
      <c r="C504" s="1" t="s">
        <v>838</v>
      </c>
      <c r="D504" s="1" t="s">
        <v>43</v>
      </c>
      <c r="E504" s="1" t="s">
        <v>838</v>
      </c>
      <c r="F504" s="1" t="s">
        <v>179</v>
      </c>
      <c r="G504" s="1" t="s">
        <v>318</v>
      </c>
      <c r="H504" s="6">
        <v>2020.0</v>
      </c>
      <c r="I504" s="1" t="s">
        <v>121</v>
      </c>
      <c r="J504" s="1" t="s">
        <v>122</v>
      </c>
      <c r="K504" s="1" t="s">
        <v>127</v>
      </c>
      <c r="M504" s="7">
        <v>1.0E8</v>
      </c>
      <c r="N504" s="7">
        <v>8.4902309E7</v>
      </c>
      <c r="O504" s="8">
        <v>46112.0</v>
      </c>
      <c r="P504" s="7">
        <v>4.363458642E7</v>
      </c>
      <c r="Q504" s="7">
        <v>9.079194579E7</v>
      </c>
      <c r="R504" s="7">
        <v>2.746171125E7</v>
      </c>
      <c r="S504" s="1" t="s">
        <v>45</v>
      </c>
    </row>
    <row r="505" ht="15.0" customHeight="1">
      <c r="B505" s="6">
        <f t="shared" si="1"/>
        <v>503</v>
      </c>
      <c r="C505" s="1" t="s">
        <v>839</v>
      </c>
      <c r="D505" s="1" t="s">
        <v>43</v>
      </c>
      <c r="E505" s="1" t="s">
        <v>839</v>
      </c>
      <c r="F505" s="1" t="s">
        <v>807</v>
      </c>
      <c r="G505" s="1" t="s">
        <v>318</v>
      </c>
      <c r="H505" s="6">
        <v>2020.0</v>
      </c>
      <c r="I505" s="1" t="s">
        <v>121</v>
      </c>
      <c r="J505" s="1" t="s">
        <v>274</v>
      </c>
      <c r="K505" s="1" t="s">
        <v>204</v>
      </c>
      <c r="M505" s="7">
        <v>1.5E8</v>
      </c>
      <c r="N505" s="7">
        <v>1.42557006E8</v>
      </c>
      <c r="O505" s="8">
        <v>46112.0</v>
      </c>
      <c r="P505" s="7">
        <v>3.7849755E7</v>
      </c>
      <c r="Q505" s="7">
        <v>1.35678367E8</v>
      </c>
      <c r="R505" s="7">
        <v>1.3810422E7</v>
      </c>
      <c r="S505" s="1" t="s">
        <v>52</v>
      </c>
    </row>
    <row r="506" ht="15.0" customHeight="1">
      <c r="B506" s="6">
        <f t="shared" si="1"/>
        <v>504</v>
      </c>
      <c r="C506" s="1" t="s">
        <v>840</v>
      </c>
      <c r="D506" s="1" t="s">
        <v>43</v>
      </c>
      <c r="E506" s="1" t="s">
        <v>840</v>
      </c>
      <c r="F506" s="1" t="s">
        <v>137</v>
      </c>
      <c r="G506" s="1" t="s">
        <v>318</v>
      </c>
      <c r="H506" s="6">
        <v>2020.0</v>
      </c>
      <c r="I506" s="1" t="s">
        <v>121</v>
      </c>
      <c r="J506" s="1" t="s">
        <v>122</v>
      </c>
      <c r="K506" s="1" t="s">
        <v>127</v>
      </c>
      <c r="M506" s="7">
        <v>2.5E8</v>
      </c>
      <c r="N506" s="7">
        <v>0.0</v>
      </c>
      <c r="O506" s="8">
        <v>45747.0</v>
      </c>
      <c r="P506" s="7">
        <v>3.0727789287E8</v>
      </c>
      <c r="Q506" s="7">
        <v>2.40881633E8</v>
      </c>
      <c r="R506" s="7">
        <v>0.5</v>
      </c>
      <c r="S506" s="1" t="s">
        <v>52</v>
      </c>
    </row>
    <row r="507" ht="15.0" hidden="1" customHeight="1">
      <c r="B507" s="6">
        <f t="shared" si="1"/>
        <v>505</v>
      </c>
      <c r="C507" s="1" t="s">
        <v>841</v>
      </c>
      <c r="D507" s="1" t="s">
        <v>43</v>
      </c>
      <c r="E507" s="1" t="s">
        <v>841</v>
      </c>
      <c r="F507" s="1" t="s">
        <v>125</v>
      </c>
      <c r="G507" s="1" t="s">
        <v>318</v>
      </c>
      <c r="H507" s="6">
        <v>2020.0</v>
      </c>
      <c r="I507" s="1" t="s">
        <v>121</v>
      </c>
      <c r="J507" s="1" t="s">
        <v>122</v>
      </c>
      <c r="K507" s="1" t="s">
        <v>127</v>
      </c>
      <c r="M507" s="7">
        <v>1.25E8</v>
      </c>
      <c r="N507" s="7">
        <v>9.8330778E7</v>
      </c>
      <c r="O507" s="8">
        <v>46112.0</v>
      </c>
      <c r="P507" s="7">
        <v>3.417395485E7</v>
      </c>
      <c r="Q507" s="7">
        <v>1.1287896407E8</v>
      </c>
      <c r="R507" s="7">
        <v>5164329.95</v>
      </c>
      <c r="S507" s="1" t="s">
        <v>106</v>
      </c>
    </row>
    <row r="508" ht="15.0" customHeight="1">
      <c r="B508" s="6">
        <f t="shared" si="1"/>
        <v>506</v>
      </c>
      <c r="C508" s="1" t="s">
        <v>842</v>
      </c>
      <c r="D508" s="1" t="s">
        <v>43</v>
      </c>
      <c r="E508" s="1" t="s">
        <v>842</v>
      </c>
      <c r="F508" s="1" t="s">
        <v>807</v>
      </c>
      <c r="G508" s="1" t="s">
        <v>318</v>
      </c>
      <c r="H508" s="6">
        <v>2020.0</v>
      </c>
      <c r="I508" s="1" t="s">
        <v>121</v>
      </c>
      <c r="J508" s="1" t="s">
        <v>274</v>
      </c>
      <c r="K508" s="1" t="s">
        <v>204</v>
      </c>
      <c r="M508" s="7">
        <v>2.0E8</v>
      </c>
      <c r="N508" s="7">
        <v>5.2949279E7</v>
      </c>
      <c r="O508" s="8">
        <v>46112.0</v>
      </c>
      <c r="P508" s="7">
        <v>1.4916658E7</v>
      </c>
      <c r="Q508" s="7">
        <v>3.6692448E7</v>
      </c>
      <c r="R508" s="7">
        <v>1.3208333E7</v>
      </c>
      <c r="S508" s="1" t="s">
        <v>52</v>
      </c>
    </row>
    <row r="509" ht="15.0" customHeight="1">
      <c r="B509" s="6">
        <f t="shared" si="1"/>
        <v>507</v>
      </c>
      <c r="C509" s="1" t="s">
        <v>843</v>
      </c>
      <c r="D509" s="1" t="s">
        <v>43</v>
      </c>
      <c r="E509" s="1" t="s">
        <v>844</v>
      </c>
      <c r="F509" s="1" t="s">
        <v>167</v>
      </c>
      <c r="G509" s="1" t="s">
        <v>318</v>
      </c>
      <c r="H509" s="6">
        <v>2020.0</v>
      </c>
      <c r="I509" s="1" t="s">
        <v>126</v>
      </c>
      <c r="J509" s="1" t="s">
        <v>126</v>
      </c>
      <c r="K509" s="1" t="s">
        <v>126</v>
      </c>
      <c r="M509" s="7">
        <v>2.0E8</v>
      </c>
      <c r="N509" s="7">
        <v>1.78627446E8</v>
      </c>
      <c r="O509" s="8">
        <v>46112.0</v>
      </c>
      <c r="P509" s="7">
        <v>4.088799901E7</v>
      </c>
      <c r="Q509" s="7">
        <v>2.0E8</v>
      </c>
      <c r="R509" s="7">
        <v>1.852643951E7</v>
      </c>
      <c r="S509" s="1" t="s">
        <v>52</v>
      </c>
    </row>
    <row r="510" ht="15.0" customHeight="1">
      <c r="B510" s="6">
        <f t="shared" si="1"/>
        <v>508</v>
      </c>
      <c r="C510" s="1" t="s">
        <v>845</v>
      </c>
      <c r="D510" s="1" t="s">
        <v>43</v>
      </c>
      <c r="E510" s="1" t="s">
        <v>845</v>
      </c>
      <c r="F510" s="1" t="s">
        <v>88</v>
      </c>
      <c r="G510" s="1" t="s">
        <v>318</v>
      </c>
      <c r="H510" s="6">
        <v>2020.0</v>
      </c>
      <c r="I510" s="1" t="s">
        <v>164</v>
      </c>
      <c r="J510" s="1" t="s">
        <v>540</v>
      </c>
      <c r="K510" s="1" t="s">
        <v>573</v>
      </c>
      <c r="M510" s="7">
        <v>7.5E7</v>
      </c>
      <c r="N510" s="7">
        <v>5.6434886E7</v>
      </c>
      <c r="O510" s="8">
        <v>46112.0</v>
      </c>
      <c r="P510" s="7">
        <v>2.597203222E7</v>
      </c>
      <c r="Q510" s="7">
        <v>7.321552831E7</v>
      </c>
      <c r="R510" s="7">
        <v>2.036548088E7</v>
      </c>
      <c r="S510" s="1" t="s">
        <v>52</v>
      </c>
    </row>
    <row r="511" ht="15.0" customHeight="1">
      <c r="B511" s="6">
        <f t="shared" si="1"/>
        <v>509</v>
      </c>
      <c r="C511" s="1" t="s">
        <v>846</v>
      </c>
      <c r="D511" s="1" t="s">
        <v>43</v>
      </c>
      <c r="E511" s="1" t="s">
        <v>846</v>
      </c>
      <c r="F511" s="1" t="s">
        <v>847</v>
      </c>
      <c r="G511" s="1" t="s">
        <v>318</v>
      </c>
      <c r="H511" s="6">
        <v>2020.0</v>
      </c>
      <c r="I511" s="1" t="s">
        <v>126</v>
      </c>
      <c r="J511" s="1" t="s">
        <v>126</v>
      </c>
      <c r="K511" s="1" t="s">
        <v>132</v>
      </c>
      <c r="M511" s="7">
        <v>8.49999914E7</v>
      </c>
      <c r="N511" s="7">
        <v>0.0</v>
      </c>
      <c r="O511" s="8">
        <v>44593.0</v>
      </c>
      <c r="P511" s="7">
        <v>2.7046255987E8</v>
      </c>
      <c r="Q511" s="7">
        <v>8.49999914E7</v>
      </c>
      <c r="R511" s="7">
        <v>0.0</v>
      </c>
      <c r="S511" s="1" t="s">
        <v>52</v>
      </c>
    </row>
    <row r="512" ht="15.0" hidden="1" customHeight="1">
      <c r="B512" s="6">
        <f t="shared" si="1"/>
        <v>510</v>
      </c>
      <c r="C512" s="1" t="s">
        <v>848</v>
      </c>
      <c r="D512" s="1" t="s">
        <v>43</v>
      </c>
      <c r="E512" s="1" t="s">
        <v>848</v>
      </c>
      <c r="F512" s="1" t="s">
        <v>849</v>
      </c>
      <c r="G512" s="1" t="s">
        <v>318</v>
      </c>
      <c r="H512" s="6">
        <v>2020.0</v>
      </c>
      <c r="I512" s="1" t="s">
        <v>121</v>
      </c>
      <c r="J512" s="1" t="s">
        <v>122</v>
      </c>
      <c r="K512" s="1" t="s">
        <v>127</v>
      </c>
      <c r="M512" s="7">
        <v>8.48E9</v>
      </c>
      <c r="N512" s="7">
        <v>7.649660561E9</v>
      </c>
      <c r="O512" s="8">
        <v>46112.0</v>
      </c>
      <c r="P512" s="7">
        <v>7.25186647899E9</v>
      </c>
      <c r="Q512" s="7">
        <v>8.918672981E9</v>
      </c>
      <c r="R512" s="7">
        <v>4.81272934E8</v>
      </c>
      <c r="S512" s="1" t="s">
        <v>113</v>
      </c>
    </row>
    <row r="513" ht="15.0" hidden="1" customHeight="1">
      <c r="B513" s="6">
        <f t="shared" si="1"/>
        <v>511</v>
      </c>
      <c r="C513" s="1" t="s">
        <v>850</v>
      </c>
      <c r="D513" s="1" t="s">
        <v>43</v>
      </c>
      <c r="E513" s="1" t="s">
        <v>850</v>
      </c>
      <c r="F513" s="1" t="s">
        <v>849</v>
      </c>
      <c r="G513" s="1" t="s">
        <v>318</v>
      </c>
      <c r="H513" s="6">
        <v>2020.0</v>
      </c>
      <c r="I513" s="1" t="s">
        <v>121</v>
      </c>
      <c r="J513" s="1" t="s">
        <v>122</v>
      </c>
      <c r="K513" s="1" t="s">
        <v>127</v>
      </c>
      <c r="M513" s="7">
        <v>2.12E9</v>
      </c>
      <c r="N513" s="7">
        <v>2.168022424E9</v>
      </c>
      <c r="O513" s="8">
        <v>46112.0</v>
      </c>
      <c r="P513" s="7">
        <v>2.723651954E9</v>
      </c>
      <c r="Q513" s="7">
        <v>1.94562516E9</v>
      </c>
      <c r="R513" s="7">
        <v>2.48742461E8</v>
      </c>
      <c r="S513" s="1" t="s">
        <v>113</v>
      </c>
    </row>
    <row r="514" ht="15.0" customHeight="1">
      <c r="B514" s="6">
        <f t="shared" si="1"/>
        <v>512</v>
      </c>
      <c r="C514" s="1" t="s">
        <v>851</v>
      </c>
      <c r="D514" s="1" t="s">
        <v>43</v>
      </c>
      <c r="E514" s="1" t="s">
        <v>851</v>
      </c>
      <c r="F514" s="1" t="s">
        <v>227</v>
      </c>
      <c r="G514" s="1" t="s">
        <v>318</v>
      </c>
      <c r="H514" s="6">
        <v>2020.0</v>
      </c>
      <c r="I514" s="1" t="s">
        <v>164</v>
      </c>
      <c r="J514" s="1" t="s">
        <v>164</v>
      </c>
      <c r="K514" s="1" t="s">
        <v>89</v>
      </c>
      <c r="M514" s="7">
        <v>7.5E7</v>
      </c>
      <c r="N514" s="7">
        <v>6.391949056E7</v>
      </c>
      <c r="O514" s="8">
        <v>46112.0</v>
      </c>
      <c r="P514" s="7">
        <v>2.124399346E7</v>
      </c>
      <c r="Q514" s="7">
        <v>7.419E7</v>
      </c>
      <c r="R514" s="7">
        <v>1.423677297E7</v>
      </c>
      <c r="S514" s="1" t="s">
        <v>52</v>
      </c>
    </row>
    <row r="515" ht="15.0" customHeight="1">
      <c r="B515" s="6">
        <f t="shared" si="1"/>
        <v>513</v>
      </c>
      <c r="C515" s="1" t="s">
        <v>852</v>
      </c>
      <c r="D515" s="1" t="s">
        <v>43</v>
      </c>
      <c r="E515" s="1" t="s">
        <v>852</v>
      </c>
      <c r="F515" s="1" t="s">
        <v>227</v>
      </c>
      <c r="G515" s="1" t="s">
        <v>318</v>
      </c>
      <c r="H515" s="6">
        <v>2020.0</v>
      </c>
      <c r="I515" s="1" t="s">
        <v>164</v>
      </c>
      <c r="J515" s="1" t="s">
        <v>164</v>
      </c>
      <c r="K515" s="1" t="s">
        <v>89</v>
      </c>
      <c r="M515" s="7">
        <v>9.375E7</v>
      </c>
      <c r="N515" s="7">
        <v>1.0659884861E8</v>
      </c>
      <c r="O515" s="8">
        <v>46112.0</v>
      </c>
      <c r="P515" s="7">
        <v>0.0</v>
      </c>
      <c r="Q515" s="7">
        <v>9.243412902E7</v>
      </c>
      <c r="R515" s="7">
        <v>1315870.98</v>
      </c>
      <c r="S515" s="1" t="s">
        <v>52</v>
      </c>
    </row>
    <row r="516" ht="15.0" customHeight="1">
      <c r="B516" s="6">
        <f t="shared" si="1"/>
        <v>514</v>
      </c>
      <c r="C516" s="1" t="s">
        <v>853</v>
      </c>
      <c r="D516" s="1" t="s">
        <v>43</v>
      </c>
      <c r="E516" s="1" t="s">
        <v>853</v>
      </c>
      <c r="F516" s="1" t="s">
        <v>854</v>
      </c>
      <c r="G516" s="1" t="s">
        <v>318</v>
      </c>
      <c r="H516" s="6">
        <v>2020.0</v>
      </c>
      <c r="I516" s="1" t="s">
        <v>150</v>
      </c>
      <c r="J516" s="1" t="s">
        <v>150</v>
      </c>
      <c r="K516" s="1" t="s">
        <v>151</v>
      </c>
      <c r="M516" s="7">
        <v>3.0E7</v>
      </c>
      <c r="N516" s="7">
        <v>3.5371807E7</v>
      </c>
      <c r="O516" s="8">
        <v>46112.0</v>
      </c>
      <c r="P516" s="7">
        <v>0.0</v>
      </c>
      <c r="Q516" s="7">
        <v>3.0E7</v>
      </c>
      <c r="R516" s="7">
        <v>0.0</v>
      </c>
      <c r="S516" s="1" t="s">
        <v>52</v>
      </c>
    </row>
    <row r="517" ht="15.0" customHeight="1">
      <c r="B517" s="6">
        <f t="shared" si="1"/>
        <v>515</v>
      </c>
      <c r="C517" s="1" t="s">
        <v>855</v>
      </c>
      <c r="D517" s="1" t="s">
        <v>43</v>
      </c>
      <c r="E517" s="1" t="s">
        <v>855</v>
      </c>
      <c r="F517" s="1" t="s">
        <v>856</v>
      </c>
      <c r="G517" s="1" t="s">
        <v>318</v>
      </c>
      <c r="H517" s="6">
        <v>2020.0</v>
      </c>
      <c r="I517" s="1" t="s">
        <v>150</v>
      </c>
      <c r="J517" s="1" t="s">
        <v>150</v>
      </c>
      <c r="K517" s="1" t="s">
        <v>470</v>
      </c>
      <c r="M517" s="7">
        <v>1.0E8</v>
      </c>
      <c r="N517" s="7">
        <v>1.3792191E8</v>
      </c>
      <c r="O517" s="8">
        <v>46112.0</v>
      </c>
      <c r="P517" s="7">
        <v>8.293738402E7</v>
      </c>
      <c r="Q517" s="7">
        <v>9.3849248E7</v>
      </c>
      <c r="R517" s="7">
        <v>6604048.0</v>
      </c>
      <c r="S517" s="1" t="s">
        <v>52</v>
      </c>
    </row>
    <row r="518" ht="15.0" customHeight="1">
      <c r="B518" s="6">
        <f t="shared" si="1"/>
        <v>516</v>
      </c>
      <c r="C518" s="1" t="s">
        <v>857</v>
      </c>
      <c r="D518" s="1" t="s">
        <v>43</v>
      </c>
      <c r="E518" s="1" t="s">
        <v>857</v>
      </c>
      <c r="F518" s="1" t="s">
        <v>858</v>
      </c>
      <c r="G518" s="1" t="s">
        <v>318</v>
      </c>
      <c r="H518" s="6">
        <v>2021.0</v>
      </c>
      <c r="I518" s="1" t="s">
        <v>126</v>
      </c>
      <c r="J518" s="1" t="s">
        <v>126</v>
      </c>
      <c r="K518" s="1" t="s">
        <v>126</v>
      </c>
      <c r="M518" s="7">
        <v>1.0E8</v>
      </c>
      <c r="N518" s="7">
        <v>1.37660639E8</v>
      </c>
      <c r="O518" s="8">
        <v>46112.0</v>
      </c>
      <c r="P518" s="7">
        <v>0.0</v>
      </c>
      <c r="Q518" s="7">
        <v>1.0E8</v>
      </c>
      <c r="R518" s="7">
        <v>0.0</v>
      </c>
      <c r="S518" s="1" t="s">
        <v>52</v>
      </c>
    </row>
    <row r="519" ht="15.0" customHeight="1">
      <c r="B519" s="6">
        <f t="shared" si="1"/>
        <v>517</v>
      </c>
      <c r="C519" s="1" t="s">
        <v>859</v>
      </c>
      <c r="D519" s="1" t="s">
        <v>43</v>
      </c>
      <c r="E519" s="1" t="s">
        <v>860</v>
      </c>
      <c r="F519" s="1" t="s">
        <v>208</v>
      </c>
      <c r="G519" s="1" t="s">
        <v>318</v>
      </c>
      <c r="H519" s="6">
        <v>2021.0</v>
      </c>
      <c r="I519" s="1" t="s">
        <v>126</v>
      </c>
      <c r="J519" s="1" t="s">
        <v>126</v>
      </c>
      <c r="K519" s="1" t="s">
        <v>126</v>
      </c>
      <c r="M519" s="7">
        <v>1.35E8</v>
      </c>
      <c r="N519" s="7">
        <v>8.0411416E7</v>
      </c>
      <c r="O519" s="8">
        <v>46112.0</v>
      </c>
      <c r="P519" s="7">
        <v>0.0</v>
      </c>
      <c r="Q519" s="7">
        <v>9.750309791E7</v>
      </c>
      <c r="R519" s="7">
        <v>3.749690209E7</v>
      </c>
      <c r="S519" s="1" t="s">
        <v>52</v>
      </c>
    </row>
    <row r="520" ht="15.0" customHeight="1">
      <c r="B520" s="6">
        <f t="shared" si="1"/>
        <v>518</v>
      </c>
      <c r="C520" s="1" t="s">
        <v>861</v>
      </c>
      <c r="D520" s="1" t="s">
        <v>43</v>
      </c>
      <c r="E520" s="1" t="s">
        <v>862</v>
      </c>
      <c r="F520" s="1" t="s">
        <v>825</v>
      </c>
      <c r="G520" s="1" t="s">
        <v>318</v>
      </c>
      <c r="H520" s="6">
        <v>2021.0</v>
      </c>
      <c r="I520" s="1" t="s">
        <v>150</v>
      </c>
      <c r="J520" s="1" t="s">
        <v>150</v>
      </c>
      <c r="K520" s="1" t="s">
        <v>173</v>
      </c>
      <c r="M520" s="7">
        <v>7.5E7</v>
      </c>
      <c r="N520" s="7">
        <v>9.8677576E7</v>
      </c>
      <c r="O520" s="8">
        <v>46112.0</v>
      </c>
      <c r="P520" s="7">
        <v>0.0</v>
      </c>
      <c r="Q520" s="7">
        <v>5.976473394E7</v>
      </c>
      <c r="R520" s="7">
        <v>1.523526606E7</v>
      </c>
      <c r="S520" s="1" t="s">
        <v>52</v>
      </c>
    </row>
    <row r="521" ht="15.0" customHeight="1">
      <c r="B521" s="6">
        <f t="shared" si="1"/>
        <v>519</v>
      </c>
      <c r="C521" s="1" t="s">
        <v>863</v>
      </c>
      <c r="D521" s="1" t="s">
        <v>43</v>
      </c>
      <c r="E521" s="1" t="s">
        <v>863</v>
      </c>
      <c r="F521" s="1" t="s">
        <v>245</v>
      </c>
      <c r="G521" s="1" t="s">
        <v>318</v>
      </c>
      <c r="H521" s="6">
        <v>2021.0</v>
      </c>
      <c r="I521" s="1" t="s">
        <v>126</v>
      </c>
      <c r="J521" s="1" t="s">
        <v>126</v>
      </c>
      <c r="K521" s="1" t="s">
        <v>126</v>
      </c>
      <c r="M521" s="7">
        <v>1.5E8</v>
      </c>
      <c r="N521" s="7">
        <v>9.7367899E7</v>
      </c>
      <c r="O521" s="8">
        <v>46112.0</v>
      </c>
      <c r="P521" s="7">
        <v>611142.0</v>
      </c>
      <c r="Q521" s="7">
        <v>9.3186793E7</v>
      </c>
      <c r="R521" s="7">
        <v>5.7424349E7</v>
      </c>
      <c r="S521" s="1" t="s">
        <v>52</v>
      </c>
    </row>
    <row r="522" ht="15.0" customHeight="1">
      <c r="B522" s="6">
        <f t="shared" si="1"/>
        <v>520</v>
      </c>
      <c r="C522" s="1" t="s">
        <v>864</v>
      </c>
      <c r="D522" s="1" t="s">
        <v>43</v>
      </c>
      <c r="E522" s="1" t="s">
        <v>864</v>
      </c>
      <c r="F522" s="1" t="s">
        <v>227</v>
      </c>
      <c r="G522" s="1" t="s">
        <v>318</v>
      </c>
      <c r="H522" s="6">
        <v>2021.0</v>
      </c>
      <c r="I522" s="1" t="s">
        <v>126</v>
      </c>
      <c r="J522" s="1" t="s">
        <v>126</v>
      </c>
      <c r="K522" s="1" t="s">
        <v>126</v>
      </c>
      <c r="M522" s="7">
        <v>7.5E7</v>
      </c>
      <c r="N522" s="7">
        <v>7.855203108E7</v>
      </c>
      <c r="O522" s="8">
        <v>46112.0</v>
      </c>
      <c r="P522" s="7">
        <v>0.0</v>
      </c>
      <c r="Q522" s="7">
        <v>7.209456542E7</v>
      </c>
      <c r="R522" s="7">
        <v>3187500.0</v>
      </c>
      <c r="S522" s="1" t="s">
        <v>52</v>
      </c>
    </row>
    <row r="523" ht="15.0" customHeight="1">
      <c r="B523" s="6">
        <f t="shared" si="1"/>
        <v>521</v>
      </c>
      <c r="C523" s="1" t="s">
        <v>865</v>
      </c>
      <c r="D523" s="1" t="s">
        <v>43</v>
      </c>
      <c r="E523" s="1" t="s">
        <v>865</v>
      </c>
      <c r="F523" s="1" t="s">
        <v>190</v>
      </c>
      <c r="G523" s="1" t="s">
        <v>318</v>
      </c>
      <c r="H523" s="6">
        <v>2022.0</v>
      </c>
      <c r="I523" s="1" t="s">
        <v>121</v>
      </c>
      <c r="J523" s="1" t="s">
        <v>122</v>
      </c>
      <c r="K523" s="1" t="s">
        <v>123</v>
      </c>
      <c r="M523" s="7">
        <v>8.0E7</v>
      </c>
      <c r="N523" s="7">
        <v>3.43387E7</v>
      </c>
      <c r="O523" s="8">
        <v>46112.0</v>
      </c>
      <c r="P523" s="7">
        <v>0.0</v>
      </c>
      <c r="Q523" s="7">
        <v>5.452050761E7</v>
      </c>
      <c r="R523" s="7">
        <v>2.547949239E7</v>
      </c>
      <c r="S523" s="1" t="s">
        <v>52</v>
      </c>
    </row>
    <row r="524" ht="15.0" customHeight="1">
      <c r="B524" s="6">
        <f t="shared" si="1"/>
        <v>522</v>
      </c>
      <c r="C524" s="1" t="s">
        <v>866</v>
      </c>
      <c r="D524" s="1" t="s">
        <v>43</v>
      </c>
      <c r="E524" s="1" t="s">
        <v>866</v>
      </c>
      <c r="F524" s="1" t="s">
        <v>227</v>
      </c>
      <c r="G524" s="1" t="s">
        <v>318</v>
      </c>
      <c r="H524" s="6">
        <v>2021.0</v>
      </c>
      <c r="I524" s="1" t="s">
        <v>121</v>
      </c>
      <c r="J524" s="1" t="s">
        <v>122</v>
      </c>
      <c r="K524" s="1" t="s">
        <v>127</v>
      </c>
      <c r="M524" s="7">
        <v>5.0E7</v>
      </c>
      <c r="N524" s="7">
        <v>5.765779436E7</v>
      </c>
      <c r="O524" s="8">
        <v>46112.0</v>
      </c>
      <c r="P524" s="7">
        <v>0.0</v>
      </c>
      <c r="Q524" s="7">
        <v>4.757678389E7</v>
      </c>
      <c r="R524" s="7">
        <v>2500000.0</v>
      </c>
      <c r="S524" s="1" t="s">
        <v>52</v>
      </c>
    </row>
    <row r="525" ht="15.0" customHeight="1">
      <c r="B525" s="6">
        <f t="shared" si="1"/>
        <v>523</v>
      </c>
      <c r="C525" s="1" t="s">
        <v>867</v>
      </c>
      <c r="D525" s="1" t="s">
        <v>43</v>
      </c>
      <c r="E525" s="1" t="s">
        <v>868</v>
      </c>
      <c r="F525" s="1" t="s">
        <v>88</v>
      </c>
      <c r="G525" s="1" t="s">
        <v>318</v>
      </c>
      <c r="H525" s="6">
        <v>2021.0</v>
      </c>
      <c r="I525" s="1" t="s">
        <v>164</v>
      </c>
      <c r="J525" s="1" t="s">
        <v>164</v>
      </c>
      <c r="K525" s="1" t="s">
        <v>164</v>
      </c>
      <c r="M525" s="7">
        <v>8.5E7</v>
      </c>
      <c r="N525" s="7">
        <v>6.8579317E7</v>
      </c>
      <c r="O525" s="8">
        <v>46112.0</v>
      </c>
      <c r="P525" s="7">
        <v>226536.38</v>
      </c>
      <c r="Q525" s="7">
        <v>7.101432321E7</v>
      </c>
      <c r="R525" s="7">
        <v>1.411817385E7</v>
      </c>
      <c r="S525" s="1" t="s">
        <v>52</v>
      </c>
    </row>
    <row r="526" ht="15.0" customHeight="1">
      <c r="B526" s="6">
        <f t="shared" si="1"/>
        <v>524</v>
      </c>
      <c r="C526" s="1" t="s">
        <v>869</v>
      </c>
      <c r="D526" s="1" t="s">
        <v>43</v>
      </c>
      <c r="E526" s="1" t="s">
        <v>869</v>
      </c>
      <c r="F526" s="1" t="s">
        <v>858</v>
      </c>
      <c r="G526" s="1" t="s">
        <v>318</v>
      </c>
      <c r="H526" s="6">
        <v>2022.0</v>
      </c>
      <c r="I526" s="1" t="s">
        <v>126</v>
      </c>
      <c r="J526" s="1" t="s">
        <v>126</v>
      </c>
      <c r="K526" s="1" t="s">
        <v>126</v>
      </c>
      <c r="M526" s="7">
        <v>1.0E8</v>
      </c>
      <c r="N526" s="7">
        <v>8.8500358E7</v>
      </c>
      <c r="O526" s="8">
        <v>46112.0</v>
      </c>
      <c r="P526" s="7">
        <v>1.4226412E7</v>
      </c>
      <c r="Q526" s="7">
        <v>8.9674874E7</v>
      </c>
      <c r="R526" s="7">
        <v>1.0325004E7</v>
      </c>
      <c r="S526" s="1" t="s">
        <v>52</v>
      </c>
    </row>
    <row r="527" ht="15.0" customHeight="1">
      <c r="B527" s="6">
        <f t="shared" si="1"/>
        <v>525</v>
      </c>
      <c r="C527" s="1" t="s">
        <v>870</v>
      </c>
      <c r="D527" s="1" t="s">
        <v>43</v>
      </c>
      <c r="E527" s="1" t="s">
        <v>870</v>
      </c>
      <c r="F527" s="1" t="s">
        <v>179</v>
      </c>
      <c r="G527" s="1" t="s">
        <v>318</v>
      </c>
      <c r="H527" s="6">
        <v>2022.0</v>
      </c>
      <c r="I527" s="1" t="s">
        <v>121</v>
      </c>
      <c r="J527" s="1" t="s">
        <v>122</v>
      </c>
      <c r="K527" s="1" t="s">
        <v>180</v>
      </c>
      <c r="M527" s="7">
        <v>1.0E8</v>
      </c>
      <c r="N527" s="7">
        <v>6.0612133E7</v>
      </c>
      <c r="O527" s="8">
        <v>46112.0</v>
      </c>
      <c r="P527" s="7">
        <v>0.0</v>
      </c>
      <c r="Q527" s="7">
        <v>5.322467165E7</v>
      </c>
      <c r="R527" s="7">
        <v>4.677532835E7</v>
      </c>
      <c r="S527" s="1" t="s">
        <v>52</v>
      </c>
    </row>
    <row r="528" ht="15.0" customHeight="1">
      <c r="B528" s="6">
        <f t="shared" si="1"/>
        <v>526</v>
      </c>
      <c r="C528" s="1" t="s">
        <v>871</v>
      </c>
      <c r="D528" s="1" t="s">
        <v>43</v>
      </c>
      <c r="E528" s="1" t="s">
        <v>872</v>
      </c>
      <c r="F528" s="1" t="s">
        <v>873</v>
      </c>
      <c r="G528" s="1" t="s">
        <v>318</v>
      </c>
      <c r="H528" s="6">
        <v>2022.0</v>
      </c>
      <c r="I528" s="1" t="s">
        <v>150</v>
      </c>
      <c r="J528" s="1" t="s">
        <v>150</v>
      </c>
      <c r="K528" s="1" t="s">
        <v>470</v>
      </c>
      <c r="M528" s="7">
        <v>5.87245235E7</v>
      </c>
      <c r="N528" s="7">
        <v>1000000.0</v>
      </c>
      <c r="O528" s="8">
        <v>45838.0</v>
      </c>
      <c r="P528" s="7">
        <v>0.0</v>
      </c>
      <c r="Q528" s="7">
        <v>5.910262407E7</v>
      </c>
      <c r="R528" s="7">
        <v>0.0</v>
      </c>
      <c r="S528" s="1" t="s">
        <v>52</v>
      </c>
    </row>
    <row r="529" ht="15.0" hidden="1" customHeight="1">
      <c r="B529" s="6">
        <f t="shared" si="1"/>
        <v>527</v>
      </c>
      <c r="C529" s="1" t="s">
        <v>874</v>
      </c>
      <c r="D529" s="1" t="s">
        <v>43</v>
      </c>
      <c r="E529" s="1" t="s">
        <v>874</v>
      </c>
      <c r="F529" s="1" t="s">
        <v>875</v>
      </c>
      <c r="G529" s="1" t="s">
        <v>318</v>
      </c>
      <c r="H529" s="6">
        <v>2023.0</v>
      </c>
      <c r="I529" s="1" t="s">
        <v>121</v>
      </c>
      <c r="J529" s="1" t="s">
        <v>122</v>
      </c>
      <c r="K529" s="1" t="s">
        <v>180</v>
      </c>
      <c r="M529" s="7">
        <v>9.5E7</v>
      </c>
      <c r="N529" s="7">
        <v>5.37053E7</v>
      </c>
      <c r="O529" s="8">
        <v>46112.0</v>
      </c>
      <c r="P529" s="7">
        <v>0.0</v>
      </c>
      <c r="Q529" s="7">
        <v>5.057952385E7</v>
      </c>
      <c r="R529" s="7">
        <v>4.442047615E7</v>
      </c>
      <c r="S529" s="1" t="s">
        <v>45</v>
      </c>
    </row>
    <row r="530" ht="15.0" customHeight="1">
      <c r="B530" s="6">
        <f t="shared" si="1"/>
        <v>528</v>
      </c>
      <c r="C530" s="1" t="s">
        <v>876</v>
      </c>
      <c r="D530" s="1" t="s">
        <v>43</v>
      </c>
      <c r="E530" s="1" t="s">
        <v>876</v>
      </c>
      <c r="F530" s="1" t="s">
        <v>190</v>
      </c>
      <c r="G530" s="1" t="s">
        <v>318</v>
      </c>
      <c r="H530" s="6">
        <v>2022.0</v>
      </c>
      <c r="I530" s="1" t="s">
        <v>121</v>
      </c>
      <c r="J530" s="1" t="s">
        <v>122</v>
      </c>
      <c r="K530" s="1" t="s">
        <v>127</v>
      </c>
      <c r="M530" s="7">
        <v>1.25E8</v>
      </c>
      <c r="N530" s="7">
        <v>2.1535824E7</v>
      </c>
      <c r="O530" s="8">
        <v>46112.0</v>
      </c>
      <c r="P530" s="7">
        <v>0.0</v>
      </c>
      <c r="Q530" s="7">
        <v>2.340432412E7</v>
      </c>
      <c r="R530" s="7">
        <v>1.0159567588E8</v>
      </c>
      <c r="S530" s="1" t="s">
        <v>52</v>
      </c>
    </row>
    <row r="531" ht="15.0" customHeight="1">
      <c r="B531" s="6">
        <f t="shared" si="1"/>
        <v>529</v>
      </c>
      <c r="C531" s="1" t="s">
        <v>877</v>
      </c>
      <c r="D531" s="1" t="s">
        <v>43</v>
      </c>
      <c r="E531" s="1" t="s">
        <v>877</v>
      </c>
      <c r="F531" s="1" t="s">
        <v>227</v>
      </c>
      <c r="G531" s="1" t="s">
        <v>318</v>
      </c>
      <c r="H531" s="6">
        <v>2022.0</v>
      </c>
      <c r="I531" s="1" t="s">
        <v>150</v>
      </c>
      <c r="J531" s="1" t="s">
        <v>150</v>
      </c>
      <c r="K531" s="1" t="s">
        <v>649</v>
      </c>
      <c r="M531" s="7">
        <v>2.0E7</v>
      </c>
      <c r="N531" s="7">
        <v>5669660.27</v>
      </c>
      <c r="O531" s="8">
        <v>46022.0</v>
      </c>
      <c r="P531" s="7">
        <v>98494.76</v>
      </c>
      <c r="Q531" s="7">
        <v>8301050.32</v>
      </c>
      <c r="R531" s="7">
        <v>1.179484461E7</v>
      </c>
      <c r="S531" s="1" t="s">
        <v>52</v>
      </c>
    </row>
    <row r="532" ht="15.0" customHeight="1">
      <c r="B532" s="6">
        <f t="shared" si="1"/>
        <v>530</v>
      </c>
      <c r="C532" s="1" t="s">
        <v>878</v>
      </c>
      <c r="D532" s="1" t="s">
        <v>43</v>
      </c>
      <c r="E532" s="1" t="s">
        <v>879</v>
      </c>
      <c r="F532" s="1" t="s">
        <v>856</v>
      </c>
      <c r="G532" s="1" t="s">
        <v>318</v>
      </c>
      <c r="H532" s="6">
        <v>2023.0</v>
      </c>
      <c r="I532" s="1" t="s">
        <v>150</v>
      </c>
      <c r="J532" s="1" t="s">
        <v>150</v>
      </c>
      <c r="K532" s="1" t="s">
        <v>470</v>
      </c>
      <c r="M532" s="7">
        <v>1.0E8</v>
      </c>
      <c r="N532" s="7">
        <v>1.19190795E8</v>
      </c>
      <c r="O532" s="8">
        <v>46112.0</v>
      </c>
      <c r="P532" s="7">
        <v>0.0</v>
      </c>
      <c r="Q532" s="7">
        <v>8.8834672E7</v>
      </c>
      <c r="R532" s="7">
        <v>1.1165328E7</v>
      </c>
      <c r="S532" s="1" t="s">
        <v>52</v>
      </c>
    </row>
    <row r="533" ht="15.0" customHeight="1">
      <c r="B533" s="6">
        <f t="shared" si="1"/>
        <v>531</v>
      </c>
      <c r="C533" s="1" t="s">
        <v>880</v>
      </c>
      <c r="D533" s="1" t="s">
        <v>43</v>
      </c>
      <c r="E533" s="1" t="s">
        <v>881</v>
      </c>
      <c r="F533" s="1" t="s">
        <v>882</v>
      </c>
      <c r="G533" s="1" t="s">
        <v>318</v>
      </c>
      <c r="H533" s="6">
        <v>2023.0</v>
      </c>
      <c r="I533" s="1" t="s">
        <v>121</v>
      </c>
      <c r="J533" s="1" t="s">
        <v>122</v>
      </c>
      <c r="K533" s="1" t="s">
        <v>180</v>
      </c>
      <c r="M533" s="7">
        <v>1.0E8</v>
      </c>
      <c r="N533" s="7">
        <v>4.9919698E7</v>
      </c>
      <c r="O533" s="8">
        <v>46112.0</v>
      </c>
      <c r="P533" s="7">
        <v>1.0511046E7</v>
      </c>
      <c r="Q533" s="7">
        <v>5.363487301E7</v>
      </c>
      <c r="R533" s="7">
        <v>5.687617299E7</v>
      </c>
      <c r="S533" s="1" t="s">
        <v>52</v>
      </c>
    </row>
    <row r="534" ht="15.0" customHeight="1">
      <c r="B534" s="6">
        <f t="shared" si="1"/>
        <v>532</v>
      </c>
      <c r="C534" s="1" t="s">
        <v>883</v>
      </c>
      <c r="D534" s="1" t="s">
        <v>43</v>
      </c>
      <c r="E534" s="1" t="s">
        <v>883</v>
      </c>
      <c r="F534" s="1" t="s">
        <v>88</v>
      </c>
      <c r="G534" s="1" t="s">
        <v>318</v>
      </c>
      <c r="H534" s="6">
        <v>2023.0</v>
      </c>
      <c r="I534" s="1" t="s">
        <v>164</v>
      </c>
      <c r="J534" s="1" t="s">
        <v>164</v>
      </c>
      <c r="K534" s="1" t="s">
        <v>164</v>
      </c>
      <c r="M534" s="7">
        <v>1.0E8</v>
      </c>
      <c r="N534" s="7">
        <v>1.8159672E7</v>
      </c>
      <c r="O534" s="8">
        <v>46112.0</v>
      </c>
      <c r="P534" s="7">
        <v>0.0</v>
      </c>
      <c r="Q534" s="7">
        <v>2.64821266E7</v>
      </c>
      <c r="R534" s="7">
        <v>7.34816025E7</v>
      </c>
      <c r="S534" s="1" t="s">
        <v>52</v>
      </c>
    </row>
    <row r="535" ht="15.0" customHeight="1">
      <c r="B535" s="6">
        <f t="shared" si="1"/>
        <v>533</v>
      </c>
      <c r="C535" s="1" t="s">
        <v>884</v>
      </c>
      <c r="D535" s="1" t="s">
        <v>43</v>
      </c>
      <c r="E535" s="1" t="s">
        <v>885</v>
      </c>
      <c r="F535" s="1" t="s">
        <v>886</v>
      </c>
      <c r="G535" s="1" t="s">
        <v>318</v>
      </c>
      <c r="H535" s="6">
        <v>2022.0</v>
      </c>
      <c r="I535" s="1" t="s">
        <v>121</v>
      </c>
      <c r="J535" s="1" t="s">
        <v>122</v>
      </c>
      <c r="K535" s="1" t="s">
        <v>887</v>
      </c>
      <c r="M535" s="7">
        <v>1.0E8</v>
      </c>
      <c r="N535" s="7">
        <v>1.00378423E8</v>
      </c>
      <c r="O535" s="8">
        <v>46112.0</v>
      </c>
      <c r="P535" s="7">
        <v>0.0</v>
      </c>
      <c r="Q535" s="7">
        <v>8.1717432E7</v>
      </c>
      <c r="R535" s="7">
        <v>1.8880716E7</v>
      </c>
      <c r="S535" s="1" t="s">
        <v>52</v>
      </c>
    </row>
    <row r="536" ht="15.0" customHeight="1">
      <c r="B536" s="6">
        <f t="shared" si="1"/>
        <v>534</v>
      </c>
      <c r="C536" s="1" t="s">
        <v>888</v>
      </c>
      <c r="D536" s="1" t="s">
        <v>43</v>
      </c>
      <c r="E536" s="1" t="s">
        <v>888</v>
      </c>
      <c r="F536" s="1" t="s">
        <v>817</v>
      </c>
      <c r="G536" s="1" t="s">
        <v>318</v>
      </c>
      <c r="H536" s="6">
        <v>2024.0</v>
      </c>
      <c r="I536" s="1" t="s">
        <v>121</v>
      </c>
      <c r="J536" s="1" t="s">
        <v>122</v>
      </c>
      <c r="K536" s="1" t="s">
        <v>123</v>
      </c>
      <c r="M536" s="7">
        <v>3.9664882E7</v>
      </c>
      <c r="N536" s="7">
        <v>2.8019383E7</v>
      </c>
      <c r="O536" s="8">
        <v>46112.0</v>
      </c>
      <c r="P536" s="7">
        <v>1.6088477E7</v>
      </c>
      <c r="Q536" s="7">
        <v>3.9438157E7</v>
      </c>
      <c r="R536" s="7">
        <v>226725.0</v>
      </c>
      <c r="S536" s="1" t="s">
        <v>52</v>
      </c>
    </row>
    <row r="537" ht="15.0" customHeight="1">
      <c r="B537" s="6">
        <f t="shared" si="1"/>
        <v>535</v>
      </c>
      <c r="C537" s="1" t="s">
        <v>889</v>
      </c>
      <c r="D537" s="1" t="s">
        <v>43</v>
      </c>
      <c r="E537" s="1" t="s">
        <v>889</v>
      </c>
      <c r="F537" s="1" t="s">
        <v>890</v>
      </c>
      <c r="G537" s="1" t="s">
        <v>318</v>
      </c>
      <c r="H537" s="6">
        <v>2018.0</v>
      </c>
      <c r="I537" s="1" t="s">
        <v>164</v>
      </c>
      <c r="J537" s="1" t="s">
        <v>164</v>
      </c>
      <c r="K537" s="1" t="s">
        <v>891</v>
      </c>
      <c r="M537" s="7">
        <v>1.9E8</v>
      </c>
      <c r="N537" s="7">
        <v>2.0885582912E8</v>
      </c>
      <c r="O537" s="8">
        <v>46173.0</v>
      </c>
      <c r="P537" s="7">
        <v>9.860764937E7</v>
      </c>
      <c r="Q537" s="7">
        <v>2.309433442E8</v>
      </c>
      <c r="R537" s="7">
        <v>-0.2</v>
      </c>
      <c r="S537" s="1" t="s">
        <v>52</v>
      </c>
    </row>
    <row r="538" ht="15.0" customHeight="1">
      <c r="B538" s="6">
        <f t="shared" si="1"/>
        <v>536</v>
      </c>
      <c r="C538" s="1" t="s">
        <v>892</v>
      </c>
      <c r="D538" s="1" t="s">
        <v>43</v>
      </c>
      <c r="E538" s="1" t="s">
        <v>893</v>
      </c>
      <c r="F538" s="1" t="s">
        <v>167</v>
      </c>
      <c r="G538" s="1" t="s">
        <v>318</v>
      </c>
      <c r="H538" s="6">
        <v>2023.0</v>
      </c>
      <c r="I538" s="1" t="s">
        <v>126</v>
      </c>
      <c r="J538" s="1" t="s">
        <v>126</v>
      </c>
      <c r="K538" s="1" t="s">
        <v>126</v>
      </c>
      <c r="M538" s="7">
        <v>1.25E8</v>
      </c>
      <c r="N538" s="7">
        <v>4.3704904E7</v>
      </c>
      <c r="O538" s="8">
        <v>46112.0</v>
      </c>
      <c r="P538" s="7">
        <v>941566.78</v>
      </c>
      <c r="Q538" s="7">
        <v>4.000000001E7</v>
      </c>
      <c r="R538" s="7">
        <v>8.499999999E7</v>
      </c>
      <c r="S538" s="1" t="s">
        <v>52</v>
      </c>
    </row>
    <row r="539" ht="15.0" customHeight="1">
      <c r="B539" s="6">
        <f t="shared" si="1"/>
        <v>537</v>
      </c>
      <c r="C539" s="1" t="s">
        <v>894</v>
      </c>
      <c r="D539" s="1" t="s">
        <v>43</v>
      </c>
      <c r="E539" s="1" t="s">
        <v>894</v>
      </c>
      <c r="F539" s="1" t="s">
        <v>245</v>
      </c>
      <c r="G539" s="1" t="s">
        <v>318</v>
      </c>
      <c r="H539" s="6">
        <v>2024.0</v>
      </c>
      <c r="I539" s="1" t="s">
        <v>126</v>
      </c>
      <c r="J539" s="1" t="s">
        <v>126</v>
      </c>
      <c r="K539" s="1" t="s">
        <v>126</v>
      </c>
      <c r="M539" s="7">
        <v>1.0E8</v>
      </c>
      <c r="N539" s="7"/>
      <c r="O539" s="8"/>
      <c r="P539" s="7">
        <v>0.0</v>
      </c>
      <c r="Q539" s="7">
        <v>0.0</v>
      </c>
      <c r="R539" s="7">
        <v>1.0E8</v>
      </c>
      <c r="S539" s="1" t="s">
        <v>52</v>
      </c>
    </row>
    <row r="540" ht="15.0" customHeight="1">
      <c r="B540" s="6">
        <f t="shared" si="1"/>
        <v>538</v>
      </c>
      <c r="C540" s="1" t="s">
        <v>895</v>
      </c>
      <c r="D540" s="1" t="s">
        <v>43</v>
      </c>
      <c r="E540" s="1" t="s">
        <v>895</v>
      </c>
      <c r="F540" s="1" t="s">
        <v>137</v>
      </c>
      <c r="G540" s="1" t="s">
        <v>318</v>
      </c>
      <c r="H540" s="6">
        <v>2025.0</v>
      </c>
      <c r="I540" s="1" t="s">
        <v>121</v>
      </c>
      <c r="J540" s="1" t="s">
        <v>122</v>
      </c>
      <c r="K540" s="1" t="s">
        <v>132</v>
      </c>
      <c r="M540" s="7">
        <v>1.0719267E7</v>
      </c>
      <c r="N540" s="7">
        <v>0.0</v>
      </c>
      <c r="O540" s="8">
        <v>45835.0</v>
      </c>
      <c r="P540" s="7">
        <v>2118160.11</v>
      </c>
      <c r="Q540" s="7">
        <v>2127450.0</v>
      </c>
      <c r="R540" s="7">
        <v>0.0</v>
      </c>
      <c r="S540" s="1" t="s">
        <v>52</v>
      </c>
    </row>
    <row r="541" ht="15.0" customHeight="1">
      <c r="B541" s="6">
        <f t="shared" si="1"/>
        <v>539</v>
      </c>
      <c r="C541" s="1" t="s">
        <v>896</v>
      </c>
      <c r="D541" s="1" t="s">
        <v>43</v>
      </c>
      <c r="E541" s="1" t="s">
        <v>896</v>
      </c>
      <c r="F541" s="1" t="s">
        <v>232</v>
      </c>
      <c r="G541" s="1" t="s">
        <v>318</v>
      </c>
      <c r="H541" s="6">
        <v>2025.0</v>
      </c>
      <c r="I541" s="1" t="s">
        <v>121</v>
      </c>
      <c r="J541" s="1" t="s">
        <v>122</v>
      </c>
      <c r="K541" s="1" t="s">
        <v>180</v>
      </c>
      <c r="M541" s="7">
        <v>1.4762854E7</v>
      </c>
      <c r="N541" s="7">
        <v>0.0</v>
      </c>
      <c r="O541" s="8">
        <v>45748.0</v>
      </c>
      <c r="P541" s="7">
        <v>1.2837264E7</v>
      </c>
      <c r="Q541" s="7">
        <v>1.2837264E7</v>
      </c>
      <c r="R541" s="7">
        <v>0.0</v>
      </c>
      <c r="S541" s="1" t="s">
        <v>52</v>
      </c>
    </row>
    <row r="542" ht="15.0" customHeight="1">
      <c r="B542" s="6">
        <f t="shared" si="1"/>
        <v>540</v>
      </c>
      <c r="C542" s="1" t="s">
        <v>897</v>
      </c>
      <c r="D542" s="1" t="s">
        <v>43</v>
      </c>
      <c r="E542" s="1" t="s">
        <v>897</v>
      </c>
      <c r="F542" s="1" t="s">
        <v>232</v>
      </c>
      <c r="G542" s="1" t="s">
        <v>318</v>
      </c>
      <c r="H542" s="6">
        <v>2025.0</v>
      </c>
      <c r="I542" s="1" t="s">
        <v>121</v>
      </c>
      <c r="J542" s="1" t="s">
        <v>122</v>
      </c>
      <c r="K542" s="1" t="s">
        <v>180</v>
      </c>
      <c r="M542" s="7">
        <v>4326194.0</v>
      </c>
      <c r="N542" s="7">
        <v>1194954.0</v>
      </c>
      <c r="O542" s="8">
        <v>46112.0</v>
      </c>
      <c r="P542" s="7">
        <v>1585708.2632</v>
      </c>
      <c r="Q542" s="7">
        <v>3771919.0</v>
      </c>
      <c r="R542" s="7">
        <v>316418.8432</v>
      </c>
      <c r="S542" s="1" t="s">
        <v>52</v>
      </c>
    </row>
    <row r="543" ht="15.0" customHeight="1">
      <c r="B543" s="6">
        <f t="shared" si="1"/>
        <v>541</v>
      </c>
      <c r="C543" s="1" t="s">
        <v>898</v>
      </c>
      <c r="D543" s="1" t="s">
        <v>43</v>
      </c>
      <c r="E543" s="1" t="s">
        <v>898</v>
      </c>
      <c r="F543" s="1" t="s">
        <v>137</v>
      </c>
      <c r="G543" s="1" t="s">
        <v>318</v>
      </c>
      <c r="H543" s="6">
        <v>2025.0</v>
      </c>
      <c r="I543" s="1" t="s">
        <v>121</v>
      </c>
      <c r="J543" s="1" t="s">
        <v>122</v>
      </c>
      <c r="K543" s="1" t="s">
        <v>132</v>
      </c>
      <c r="M543" s="7">
        <v>1.3742508E7</v>
      </c>
      <c r="N543" s="7">
        <v>0.0</v>
      </c>
      <c r="O543" s="8">
        <v>45835.0</v>
      </c>
      <c r="P543" s="7">
        <v>1.405922035E7</v>
      </c>
      <c r="Q543" s="7">
        <v>1.3431674E7</v>
      </c>
      <c r="R543" s="7">
        <v>0.0</v>
      </c>
      <c r="S543" s="1" t="s">
        <v>52</v>
      </c>
    </row>
    <row r="544" ht="15.0" customHeight="1">
      <c r="B544" s="6">
        <f t="shared" si="1"/>
        <v>542</v>
      </c>
      <c r="C544" s="1" t="s">
        <v>899</v>
      </c>
      <c r="D544" s="1" t="s">
        <v>43</v>
      </c>
      <c r="E544" s="1" t="s">
        <v>899</v>
      </c>
      <c r="F544" s="1" t="s">
        <v>817</v>
      </c>
      <c r="G544" s="1" t="s">
        <v>318</v>
      </c>
      <c r="H544" s="6">
        <v>2025.0</v>
      </c>
      <c r="I544" s="1" t="s">
        <v>121</v>
      </c>
      <c r="J544" s="1" t="s">
        <v>122</v>
      </c>
      <c r="K544" s="1" t="s">
        <v>127</v>
      </c>
      <c r="M544" s="7">
        <v>1.0E8</v>
      </c>
      <c r="N544" s="7">
        <v>-2535330.0</v>
      </c>
      <c r="O544" s="8">
        <v>46112.0</v>
      </c>
      <c r="P544" s="7">
        <v>0.0</v>
      </c>
      <c r="Q544" s="7">
        <v>5645778.01</v>
      </c>
      <c r="R544" s="7">
        <v>9.435422199E7</v>
      </c>
      <c r="S544" s="1" t="s">
        <v>52</v>
      </c>
    </row>
    <row r="545" ht="15.0" customHeight="1">
      <c r="B545" s="6">
        <f t="shared" si="1"/>
        <v>543</v>
      </c>
      <c r="C545" s="1" t="s">
        <v>900</v>
      </c>
      <c r="D545" s="1" t="s">
        <v>43</v>
      </c>
      <c r="E545" s="1" t="s">
        <v>900</v>
      </c>
      <c r="F545" s="1" t="s">
        <v>901</v>
      </c>
      <c r="G545" s="1" t="s">
        <v>318</v>
      </c>
      <c r="H545" s="6">
        <v>2024.0</v>
      </c>
      <c r="I545" s="1" t="s">
        <v>121</v>
      </c>
      <c r="J545" s="1" t="s">
        <v>122</v>
      </c>
      <c r="K545" s="1" t="s">
        <v>127</v>
      </c>
      <c r="M545" s="7">
        <v>1.0E8</v>
      </c>
      <c r="N545" s="7">
        <v>2.7553645E7</v>
      </c>
      <c r="O545" s="8">
        <v>46112.0</v>
      </c>
      <c r="P545" s="7">
        <v>0.0</v>
      </c>
      <c r="Q545" s="7">
        <v>4.026534201E7</v>
      </c>
      <c r="R545" s="7">
        <v>6.010772599E7</v>
      </c>
      <c r="S545" s="1" t="s">
        <v>52</v>
      </c>
    </row>
    <row r="546" ht="15.0" customHeight="1">
      <c r="B546" s="6">
        <f t="shared" si="1"/>
        <v>544</v>
      </c>
      <c r="C546" s="1" t="s">
        <v>902</v>
      </c>
      <c r="D546" s="1" t="s">
        <v>43</v>
      </c>
      <c r="E546" s="1" t="s">
        <v>902</v>
      </c>
      <c r="F546" s="1" t="s">
        <v>901</v>
      </c>
      <c r="G546" s="1" t="s">
        <v>318</v>
      </c>
      <c r="H546" s="6">
        <v>2025.0</v>
      </c>
      <c r="I546" s="1" t="s">
        <v>121</v>
      </c>
      <c r="J546" s="1" t="s">
        <v>122</v>
      </c>
      <c r="K546" s="1" t="s">
        <v>127</v>
      </c>
      <c r="M546" s="7">
        <v>3.3E7</v>
      </c>
      <c r="N546" s="7">
        <v>6613983.0</v>
      </c>
      <c r="O546" s="8">
        <v>46112.0</v>
      </c>
      <c r="P546" s="7">
        <v>0.0</v>
      </c>
      <c r="Q546" s="7">
        <v>9736023.01</v>
      </c>
      <c r="R546" s="7">
        <v>2.326397699E7</v>
      </c>
      <c r="S546" s="1" t="s">
        <v>52</v>
      </c>
    </row>
    <row r="547" ht="15.0" customHeight="1">
      <c r="B547" s="6">
        <f t="shared" si="1"/>
        <v>545</v>
      </c>
      <c r="C547" s="1" t="s">
        <v>903</v>
      </c>
      <c r="D547" s="1" t="s">
        <v>43</v>
      </c>
      <c r="E547" s="1" t="s">
        <v>903</v>
      </c>
      <c r="F547" s="1" t="s">
        <v>258</v>
      </c>
      <c r="G547" s="1" t="s">
        <v>318</v>
      </c>
      <c r="H547" s="6">
        <v>2025.0</v>
      </c>
      <c r="I547" s="1" t="s">
        <v>121</v>
      </c>
      <c r="J547" s="1" t="s">
        <v>122</v>
      </c>
      <c r="K547" s="1" t="s">
        <v>127</v>
      </c>
      <c r="M547" s="7">
        <v>1.0E8</v>
      </c>
      <c r="N547" s="7">
        <v>533302.0</v>
      </c>
      <c r="O547" s="8">
        <v>46112.0</v>
      </c>
      <c r="P547" s="7">
        <v>1701329.0</v>
      </c>
      <c r="Q547" s="7">
        <v>6117130.01</v>
      </c>
      <c r="R547" s="7">
        <v>9.558364299E7</v>
      </c>
      <c r="S547" s="1" t="s">
        <v>52</v>
      </c>
    </row>
    <row r="548" ht="15.0" hidden="1" customHeight="1">
      <c r="B548" s="6">
        <f t="shared" si="1"/>
        <v>546</v>
      </c>
      <c r="C548" s="1" t="s">
        <v>904</v>
      </c>
      <c r="D548" s="1" t="s">
        <v>43</v>
      </c>
      <c r="E548" s="1" t="s">
        <v>904</v>
      </c>
      <c r="F548" s="1" t="s">
        <v>179</v>
      </c>
      <c r="G548" s="1" t="s">
        <v>318</v>
      </c>
      <c r="H548" s="6">
        <v>2025.0</v>
      </c>
      <c r="I548" s="1" t="s">
        <v>121</v>
      </c>
      <c r="J548" s="1" t="s">
        <v>122</v>
      </c>
      <c r="K548" s="1" t="s">
        <v>123</v>
      </c>
      <c r="M548" s="7">
        <v>2.5E7</v>
      </c>
      <c r="N548" s="7"/>
      <c r="O548" s="8"/>
      <c r="P548" s="7">
        <v>0.0</v>
      </c>
      <c r="Q548" s="7">
        <v>0.0</v>
      </c>
      <c r="R548" s="7">
        <v>2.5E7</v>
      </c>
      <c r="S548" s="1" t="s">
        <v>45</v>
      </c>
    </row>
    <row r="549" ht="15.0" customHeight="1">
      <c r="B549" s="6">
        <f t="shared" si="1"/>
        <v>547</v>
      </c>
      <c r="C549" s="1" t="s">
        <v>905</v>
      </c>
      <c r="D549" s="1" t="s">
        <v>43</v>
      </c>
      <c r="E549" s="1" t="s">
        <v>905</v>
      </c>
      <c r="F549" s="1" t="s">
        <v>179</v>
      </c>
      <c r="G549" s="1" t="s">
        <v>318</v>
      </c>
      <c r="H549" s="6">
        <v>2025.0</v>
      </c>
      <c r="I549" s="1" t="s">
        <v>121</v>
      </c>
      <c r="J549" s="1" t="s">
        <v>122</v>
      </c>
      <c r="K549" s="1" t="s">
        <v>180</v>
      </c>
      <c r="M549" s="7">
        <v>1.0E8</v>
      </c>
      <c r="N549" s="7">
        <v>449925.0</v>
      </c>
      <c r="O549" s="8">
        <v>46112.0</v>
      </c>
      <c r="P549" s="7">
        <v>0.0</v>
      </c>
      <c r="Q549" s="7">
        <v>1666288.43</v>
      </c>
      <c r="R549" s="7">
        <v>9.833371157E7</v>
      </c>
      <c r="S549" s="1" t="s">
        <v>52</v>
      </c>
    </row>
    <row r="550" ht="15.0" hidden="1" customHeight="1">
      <c r="B550" s="6">
        <f t="shared" si="1"/>
        <v>548</v>
      </c>
      <c r="C550" s="1" t="s">
        <v>906</v>
      </c>
      <c r="D550" s="1" t="s">
        <v>43</v>
      </c>
      <c r="E550" s="1" t="s">
        <v>906</v>
      </c>
      <c r="F550" s="1" t="s">
        <v>179</v>
      </c>
      <c r="G550" s="1" t="s">
        <v>318</v>
      </c>
      <c r="H550" s="6">
        <v>2025.0</v>
      </c>
      <c r="I550" s="1" t="s">
        <v>121</v>
      </c>
      <c r="J550" s="1" t="s">
        <v>122</v>
      </c>
      <c r="K550" s="1" t="s">
        <v>127</v>
      </c>
      <c r="M550" s="7">
        <v>7.0E7</v>
      </c>
      <c r="N550" s="7"/>
      <c r="O550" s="8"/>
      <c r="P550" s="7">
        <v>0.0</v>
      </c>
      <c r="Q550" s="7">
        <v>0.0</v>
      </c>
      <c r="R550" s="7">
        <v>7.0E7</v>
      </c>
      <c r="S550" s="1" t="s">
        <v>45</v>
      </c>
    </row>
    <row r="551" ht="15.0" customHeight="1">
      <c r="B551" s="6">
        <f t="shared" si="1"/>
        <v>549</v>
      </c>
      <c r="C551" s="1" t="s">
        <v>907</v>
      </c>
      <c r="D551" s="1" t="s">
        <v>43</v>
      </c>
      <c r="E551" s="1" t="s">
        <v>908</v>
      </c>
      <c r="F551" s="1" t="s">
        <v>776</v>
      </c>
      <c r="G551" s="1" t="s">
        <v>318</v>
      </c>
      <c r="H551" s="6">
        <v>2025.0</v>
      </c>
      <c r="I551" s="1" t="s">
        <v>121</v>
      </c>
      <c r="J551" s="1" t="s">
        <v>122</v>
      </c>
      <c r="K551" s="1" t="s">
        <v>127</v>
      </c>
      <c r="M551" s="7">
        <v>5249651.0</v>
      </c>
      <c r="N551" s="7">
        <v>0.0</v>
      </c>
      <c r="O551" s="8">
        <v>45941.0</v>
      </c>
      <c r="P551" s="7">
        <v>5133456.0</v>
      </c>
      <c r="Q551" s="7">
        <v>5249651.0</v>
      </c>
      <c r="R551" s="7">
        <v>0.0</v>
      </c>
      <c r="S551" s="1" t="s">
        <v>52</v>
      </c>
    </row>
    <row r="552" ht="15.0" customHeight="1">
      <c r="B552" s="6">
        <f t="shared" si="1"/>
        <v>550</v>
      </c>
      <c r="C552" s="1" t="s">
        <v>909</v>
      </c>
      <c r="D552" s="1" t="s">
        <v>43</v>
      </c>
      <c r="E552" s="1" t="s">
        <v>909</v>
      </c>
      <c r="F552" s="1" t="s">
        <v>776</v>
      </c>
      <c r="G552" s="1" t="s">
        <v>318</v>
      </c>
      <c r="H552" s="6">
        <v>2025.0</v>
      </c>
      <c r="I552" s="1" t="s">
        <v>121</v>
      </c>
      <c r="J552" s="1" t="s">
        <v>122</v>
      </c>
      <c r="K552" s="1" t="s">
        <v>127</v>
      </c>
      <c r="M552" s="7">
        <v>4.2961494E7</v>
      </c>
      <c r="N552" s="7">
        <v>0.0</v>
      </c>
      <c r="O552" s="8">
        <v>45941.0</v>
      </c>
      <c r="P552" s="7">
        <v>4.202890646E7</v>
      </c>
      <c r="Q552" s="7">
        <v>4.296149374E7</v>
      </c>
      <c r="R552" s="7">
        <v>0.26</v>
      </c>
      <c r="S552" s="1" t="s">
        <v>52</v>
      </c>
    </row>
    <row r="553" ht="15.0" customHeight="1">
      <c r="B553" s="6">
        <f t="shared" si="1"/>
        <v>551</v>
      </c>
      <c r="C553" s="1" t="s">
        <v>910</v>
      </c>
      <c r="D553" s="1" t="s">
        <v>43</v>
      </c>
      <c r="E553" s="1" t="s">
        <v>910</v>
      </c>
      <c r="F553" s="1" t="s">
        <v>858</v>
      </c>
      <c r="G553" s="1" t="s">
        <v>318</v>
      </c>
      <c r="H553" s="6">
        <v>2025.0</v>
      </c>
      <c r="I553" s="1" t="s">
        <v>126</v>
      </c>
      <c r="J553" s="1" t="s">
        <v>126</v>
      </c>
      <c r="K553" s="1" t="s">
        <v>126</v>
      </c>
      <c r="M553" s="7">
        <v>1.0E8</v>
      </c>
      <c r="N553" s="7">
        <v>-782807.0</v>
      </c>
      <c r="O553" s="8">
        <v>46112.0</v>
      </c>
      <c r="P553" s="7">
        <v>0.0</v>
      </c>
      <c r="Q553" s="7">
        <v>1.808972601E7</v>
      </c>
      <c r="R553" s="7">
        <v>8.191022899E7</v>
      </c>
      <c r="S553" s="1" t="s">
        <v>52</v>
      </c>
    </row>
    <row r="554" ht="15.0" customHeight="1">
      <c r="B554" s="6">
        <f t="shared" si="1"/>
        <v>552</v>
      </c>
      <c r="C554" s="1" t="s">
        <v>911</v>
      </c>
      <c r="D554" s="1" t="s">
        <v>43</v>
      </c>
      <c r="E554" s="1" t="s">
        <v>911</v>
      </c>
      <c r="F554" s="1" t="s">
        <v>886</v>
      </c>
      <c r="G554" s="1" t="s">
        <v>318</v>
      </c>
      <c r="H554" s="6">
        <v>2025.0</v>
      </c>
      <c r="I554" s="1" t="s">
        <v>121</v>
      </c>
      <c r="J554" s="1" t="s">
        <v>122</v>
      </c>
      <c r="K554" s="1" t="s">
        <v>127</v>
      </c>
      <c r="M554" s="7">
        <v>1.5E8</v>
      </c>
      <c r="N554" s="7"/>
      <c r="O554" s="8"/>
      <c r="P554" s="7">
        <v>0.0</v>
      </c>
      <c r="Q554" s="7">
        <v>0.0</v>
      </c>
      <c r="R554" s="7">
        <v>1.5E8</v>
      </c>
      <c r="S554" s="1" t="s">
        <v>52</v>
      </c>
    </row>
    <row r="555" ht="15.0" customHeight="1">
      <c r="B555" s="6">
        <f t="shared" si="1"/>
        <v>553</v>
      </c>
      <c r="C555" s="1" t="s">
        <v>912</v>
      </c>
      <c r="D555" s="1" t="s">
        <v>43</v>
      </c>
      <c r="E555" s="1" t="s">
        <v>913</v>
      </c>
      <c r="F555" s="1" t="s">
        <v>273</v>
      </c>
      <c r="G555" s="1" t="s">
        <v>318</v>
      </c>
      <c r="H555" s="6">
        <v>2026.0</v>
      </c>
      <c r="I555" s="1" t="s">
        <v>121</v>
      </c>
      <c r="J555" s="1" t="s">
        <v>274</v>
      </c>
      <c r="K555" s="1" t="s">
        <v>275</v>
      </c>
      <c r="M555" s="7">
        <v>2.0E8</v>
      </c>
      <c r="N555" s="7"/>
      <c r="O555" s="8"/>
      <c r="P555" s="7">
        <v>0.0</v>
      </c>
      <c r="Q555" s="7">
        <v>9.55E7</v>
      </c>
      <c r="R555" s="7">
        <v>1.045E8</v>
      </c>
      <c r="S555" s="1" t="s">
        <v>52</v>
      </c>
    </row>
    <row r="556" ht="15.0" customHeight="1">
      <c r="B556" s="6">
        <f t="shared" si="1"/>
        <v>554</v>
      </c>
      <c r="C556" s="1" t="s">
        <v>914</v>
      </c>
      <c r="D556" s="1" t="s">
        <v>43</v>
      </c>
      <c r="E556" s="1" t="s">
        <v>915</v>
      </c>
      <c r="F556" s="1" t="s">
        <v>273</v>
      </c>
      <c r="G556" s="1" t="s">
        <v>318</v>
      </c>
      <c r="H556" s="6">
        <v>2026.0</v>
      </c>
      <c r="I556" s="1" t="s">
        <v>121</v>
      </c>
      <c r="J556" s="1" t="s">
        <v>274</v>
      </c>
      <c r="K556" s="1" t="s">
        <v>275</v>
      </c>
      <c r="M556" s="7">
        <v>0.0</v>
      </c>
      <c r="N556" s="7"/>
      <c r="O556" s="8"/>
      <c r="P556" s="7">
        <v>0.0</v>
      </c>
      <c r="Q556" s="7">
        <v>0.0</v>
      </c>
      <c r="R556" s="7">
        <v>0.0</v>
      </c>
      <c r="S556" s="1" t="s">
        <v>52</v>
      </c>
    </row>
    <row r="557" ht="15.0" customHeight="1">
      <c r="B557" s="6">
        <f t="shared" si="1"/>
        <v>555</v>
      </c>
      <c r="C557" s="1" t="s">
        <v>916</v>
      </c>
      <c r="D557" s="1" t="s">
        <v>44</v>
      </c>
      <c r="E557" s="1" t="s">
        <v>916</v>
      </c>
      <c r="F557" s="1" t="s">
        <v>917</v>
      </c>
      <c r="G557" s="1" t="s">
        <v>318</v>
      </c>
      <c r="H557" s="6">
        <v>1997.0</v>
      </c>
      <c r="I557" s="1" t="s">
        <v>918</v>
      </c>
      <c r="J557" s="1" t="s">
        <v>62</v>
      </c>
      <c r="K557" s="1" t="s">
        <v>289</v>
      </c>
      <c r="M557" s="7">
        <v>7.5E7</v>
      </c>
      <c r="N557" s="7">
        <v>0.0</v>
      </c>
      <c r="O557" s="8">
        <v>40189.0</v>
      </c>
      <c r="P557" s="7">
        <v>1.49243645E8</v>
      </c>
      <c r="Q557" s="7">
        <v>7.3781475E7</v>
      </c>
      <c r="R557" s="7">
        <v>0.0</v>
      </c>
      <c r="S557" s="1" t="s">
        <v>52</v>
      </c>
    </row>
    <row r="558" ht="15.0" customHeight="1">
      <c r="B558" s="6">
        <f t="shared" si="1"/>
        <v>556</v>
      </c>
      <c r="C558" s="1" t="s">
        <v>919</v>
      </c>
      <c r="D558" s="1" t="s">
        <v>44</v>
      </c>
      <c r="E558" s="1" t="s">
        <v>919</v>
      </c>
      <c r="F558" s="1" t="s">
        <v>920</v>
      </c>
      <c r="G558" s="1" t="s">
        <v>318</v>
      </c>
      <c r="H558" s="6">
        <v>1996.0</v>
      </c>
      <c r="I558" s="1" t="s">
        <v>918</v>
      </c>
      <c r="J558" s="1" t="s">
        <v>281</v>
      </c>
      <c r="K558" s="1" t="s">
        <v>282</v>
      </c>
      <c r="M558" s="7">
        <v>1.5E8</v>
      </c>
      <c r="N558" s="7">
        <v>0.0</v>
      </c>
      <c r="O558" s="8">
        <v>44714.0</v>
      </c>
      <c r="P558" s="7">
        <v>2.6696740097E8</v>
      </c>
      <c r="Q558" s="7">
        <v>1.5E8</v>
      </c>
      <c r="R558" s="7">
        <v>0.0</v>
      </c>
      <c r="S558" s="1" t="s">
        <v>52</v>
      </c>
    </row>
    <row r="559" ht="15.0" customHeight="1">
      <c r="B559" s="6">
        <f t="shared" si="1"/>
        <v>557</v>
      </c>
      <c r="C559" s="1" t="s">
        <v>921</v>
      </c>
      <c r="D559" s="1" t="s">
        <v>44</v>
      </c>
      <c r="E559" s="1" t="s">
        <v>921</v>
      </c>
      <c r="F559" s="1" t="s">
        <v>920</v>
      </c>
      <c r="G559" s="1" t="s">
        <v>318</v>
      </c>
      <c r="H559" s="6">
        <v>1997.0</v>
      </c>
      <c r="I559" s="1" t="s">
        <v>918</v>
      </c>
      <c r="J559" s="1" t="s">
        <v>281</v>
      </c>
      <c r="K559" s="1" t="s">
        <v>282</v>
      </c>
      <c r="M559" s="7">
        <v>1.5E8</v>
      </c>
      <c r="N559" s="7">
        <v>0.0</v>
      </c>
      <c r="O559" s="8">
        <v>41274.0</v>
      </c>
      <c r="P559" s="7">
        <v>1.7713791646E8</v>
      </c>
      <c r="Q559" s="7">
        <v>1.49999997E8</v>
      </c>
      <c r="R559" s="7">
        <v>3.0</v>
      </c>
      <c r="S559" s="1" t="s">
        <v>52</v>
      </c>
    </row>
    <row r="560" ht="15.0" customHeight="1">
      <c r="B560" s="6">
        <f t="shared" si="1"/>
        <v>558</v>
      </c>
      <c r="C560" s="1" t="s">
        <v>922</v>
      </c>
      <c r="D560" s="1" t="s">
        <v>44</v>
      </c>
      <c r="E560" s="1" t="s">
        <v>923</v>
      </c>
      <c r="F560" s="1" t="s">
        <v>542</v>
      </c>
      <c r="G560" s="1" t="s">
        <v>318</v>
      </c>
      <c r="H560" s="6">
        <v>1995.0</v>
      </c>
      <c r="I560" s="1" t="s">
        <v>918</v>
      </c>
      <c r="J560" s="1" t="s">
        <v>281</v>
      </c>
      <c r="K560" s="1" t="s">
        <v>282</v>
      </c>
      <c r="M560" s="7">
        <v>1.5E8</v>
      </c>
      <c r="N560" s="7">
        <v>0.0</v>
      </c>
      <c r="O560" s="8">
        <v>43038.0</v>
      </c>
      <c r="P560" s="7">
        <v>3.5961726642E8</v>
      </c>
      <c r="Q560" s="7">
        <v>1.56162032E8</v>
      </c>
      <c r="R560" s="7">
        <v>-1.0</v>
      </c>
      <c r="S560" s="1" t="s">
        <v>52</v>
      </c>
    </row>
    <row r="561" ht="15.0" customHeight="1">
      <c r="B561" s="6">
        <f t="shared" si="1"/>
        <v>559</v>
      </c>
      <c r="C561" s="1" t="s">
        <v>924</v>
      </c>
      <c r="D561" s="1" t="s">
        <v>44</v>
      </c>
      <c r="E561" s="1" t="s">
        <v>924</v>
      </c>
      <c r="F561" s="1" t="s">
        <v>925</v>
      </c>
      <c r="G561" s="1" t="s">
        <v>318</v>
      </c>
      <c r="H561" s="6">
        <v>1995.0</v>
      </c>
      <c r="I561" s="1" t="s">
        <v>918</v>
      </c>
      <c r="J561" s="1" t="s">
        <v>281</v>
      </c>
      <c r="K561" s="1" t="s">
        <v>282</v>
      </c>
      <c r="M561" s="7">
        <v>6.35E7</v>
      </c>
      <c r="N561" s="7">
        <v>0.0</v>
      </c>
      <c r="O561" s="8">
        <v>41729.0</v>
      </c>
      <c r="P561" s="7">
        <v>1.49559566E8</v>
      </c>
      <c r="Q561" s="7">
        <v>6.9295047E7</v>
      </c>
      <c r="R561" s="7">
        <v>0.0</v>
      </c>
      <c r="S561" s="1" t="s">
        <v>52</v>
      </c>
    </row>
    <row r="562" ht="15.0" customHeight="1">
      <c r="B562" s="6">
        <f t="shared" si="1"/>
        <v>560</v>
      </c>
      <c r="C562" s="1" t="s">
        <v>926</v>
      </c>
      <c r="D562" s="1" t="s">
        <v>44</v>
      </c>
      <c r="E562" s="1" t="s">
        <v>926</v>
      </c>
      <c r="F562" s="1" t="s">
        <v>927</v>
      </c>
      <c r="G562" s="1" t="s">
        <v>318</v>
      </c>
      <c r="H562" s="6">
        <v>1992.0</v>
      </c>
      <c r="I562" s="1" t="s">
        <v>918</v>
      </c>
      <c r="J562" s="1" t="s">
        <v>281</v>
      </c>
      <c r="K562" s="1" t="s">
        <v>282</v>
      </c>
      <c r="M562" s="7">
        <v>4.0E7</v>
      </c>
      <c r="N562" s="7">
        <v>0.0</v>
      </c>
      <c r="O562" s="8">
        <v>39447.0</v>
      </c>
      <c r="P562" s="7">
        <v>6.815491261E7</v>
      </c>
      <c r="Q562" s="7">
        <v>3.854906758E7</v>
      </c>
      <c r="R562" s="7">
        <v>0.0</v>
      </c>
      <c r="S562" s="1" t="s">
        <v>52</v>
      </c>
    </row>
    <row r="563" ht="15.0" customHeight="1">
      <c r="B563" s="6">
        <f t="shared" si="1"/>
        <v>561</v>
      </c>
      <c r="C563" s="1" t="s">
        <v>928</v>
      </c>
      <c r="D563" s="1" t="s">
        <v>44</v>
      </c>
      <c r="E563" s="1" t="s">
        <v>928</v>
      </c>
      <c r="F563" s="1" t="s">
        <v>927</v>
      </c>
      <c r="G563" s="1" t="s">
        <v>318</v>
      </c>
      <c r="H563" s="6">
        <v>1994.0</v>
      </c>
      <c r="I563" s="1" t="s">
        <v>918</v>
      </c>
      <c r="J563" s="1" t="s">
        <v>281</v>
      </c>
      <c r="K563" s="1" t="s">
        <v>282</v>
      </c>
      <c r="M563" s="7">
        <v>6.0E7</v>
      </c>
      <c r="N563" s="7">
        <v>0.0</v>
      </c>
      <c r="O563" s="8">
        <v>41619.0</v>
      </c>
      <c r="P563" s="7">
        <v>1.3593975723E8</v>
      </c>
      <c r="Q563" s="7">
        <v>5.766824606E7</v>
      </c>
      <c r="R563" s="7">
        <v>-0.06</v>
      </c>
      <c r="S563" s="1" t="s">
        <v>52</v>
      </c>
    </row>
    <row r="564" ht="15.0" customHeight="1">
      <c r="B564" s="6">
        <f t="shared" si="1"/>
        <v>562</v>
      </c>
      <c r="C564" s="1" t="s">
        <v>929</v>
      </c>
      <c r="D564" s="1" t="s">
        <v>44</v>
      </c>
      <c r="E564" s="1" t="s">
        <v>929</v>
      </c>
      <c r="F564" s="1" t="s">
        <v>927</v>
      </c>
      <c r="G564" s="1" t="s">
        <v>318</v>
      </c>
      <c r="H564" s="6">
        <v>1995.0</v>
      </c>
      <c r="I564" s="1" t="s">
        <v>918</v>
      </c>
      <c r="J564" s="1" t="s">
        <v>281</v>
      </c>
      <c r="K564" s="1" t="s">
        <v>282</v>
      </c>
      <c r="M564" s="7">
        <v>1.0272661E7</v>
      </c>
      <c r="N564" s="7">
        <v>0.0</v>
      </c>
      <c r="O564" s="8">
        <v>39447.0</v>
      </c>
      <c r="P564" s="7">
        <v>1.802672279E7</v>
      </c>
      <c r="Q564" s="7">
        <v>1.027266092E7</v>
      </c>
      <c r="R564" s="7">
        <v>0.08</v>
      </c>
      <c r="S564" s="1" t="s">
        <v>52</v>
      </c>
    </row>
    <row r="565" ht="15.0" customHeight="1">
      <c r="B565" s="6">
        <f t="shared" si="1"/>
        <v>563</v>
      </c>
      <c r="C565" s="1" t="s">
        <v>930</v>
      </c>
      <c r="D565" s="1" t="s">
        <v>44</v>
      </c>
      <c r="E565" s="1" t="s">
        <v>930</v>
      </c>
      <c r="F565" s="1" t="s">
        <v>927</v>
      </c>
      <c r="G565" s="1" t="s">
        <v>318</v>
      </c>
      <c r="H565" s="6">
        <v>1996.0</v>
      </c>
      <c r="I565" s="1" t="s">
        <v>918</v>
      </c>
      <c r="J565" s="1" t="s">
        <v>281</v>
      </c>
      <c r="K565" s="1" t="s">
        <v>314</v>
      </c>
      <c r="M565" s="7">
        <v>1.0E8</v>
      </c>
      <c r="N565" s="7">
        <v>0.0</v>
      </c>
      <c r="O565" s="8">
        <v>41816.0</v>
      </c>
      <c r="P565" s="7">
        <v>1.5489249881E8</v>
      </c>
      <c r="Q565" s="7">
        <v>9.609296294E7</v>
      </c>
      <c r="R565" s="7">
        <v>0.06</v>
      </c>
      <c r="S565" s="1" t="s">
        <v>52</v>
      </c>
    </row>
    <row r="566" ht="15.0" customHeight="1">
      <c r="B566" s="6">
        <f t="shared" si="1"/>
        <v>564</v>
      </c>
      <c r="C566" s="1" t="s">
        <v>931</v>
      </c>
      <c r="D566" s="1" t="s">
        <v>44</v>
      </c>
      <c r="E566" s="1" t="s">
        <v>931</v>
      </c>
      <c r="F566" s="1" t="s">
        <v>932</v>
      </c>
      <c r="G566" s="1" t="s">
        <v>318</v>
      </c>
      <c r="H566" s="6">
        <v>1998.0</v>
      </c>
      <c r="I566" s="1" t="s">
        <v>918</v>
      </c>
      <c r="J566" s="1" t="s">
        <v>281</v>
      </c>
      <c r="K566" s="1" t="s">
        <v>282</v>
      </c>
      <c r="M566" s="7">
        <v>5.0E7</v>
      </c>
      <c r="N566" s="7">
        <v>0.0</v>
      </c>
      <c r="O566" s="8">
        <v>42277.0</v>
      </c>
      <c r="P566" s="7">
        <v>7.459147675E7</v>
      </c>
      <c r="Q566" s="7">
        <v>5.038920548E7</v>
      </c>
      <c r="R566" s="7">
        <v>0.0</v>
      </c>
      <c r="S566" s="1" t="s">
        <v>52</v>
      </c>
    </row>
    <row r="567" ht="15.0" customHeight="1">
      <c r="B567" s="6">
        <f t="shared" si="1"/>
        <v>565</v>
      </c>
      <c r="C567" s="1" t="s">
        <v>933</v>
      </c>
      <c r="D567" s="1" t="s">
        <v>44</v>
      </c>
      <c r="E567" s="1" t="s">
        <v>933</v>
      </c>
      <c r="F567" s="1" t="s">
        <v>917</v>
      </c>
      <c r="G567" s="1" t="s">
        <v>318</v>
      </c>
      <c r="H567" s="6">
        <v>1999.0</v>
      </c>
      <c r="I567" s="1" t="s">
        <v>918</v>
      </c>
      <c r="J567" s="1" t="s">
        <v>62</v>
      </c>
      <c r="K567" s="1" t="s">
        <v>289</v>
      </c>
      <c r="M567" s="7">
        <v>5.0E7</v>
      </c>
      <c r="N567" s="7">
        <v>0.0</v>
      </c>
      <c r="O567" s="8">
        <v>43829.0</v>
      </c>
      <c r="P567" s="7">
        <v>8.672035774E7</v>
      </c>
      <c r="Q567" s="7">
        <v>4.7106023E7</v>
      </c>
      <c r="R567" s="7">
        <v>0.0</v>
      </c>
      <c r="S567" s="1" t="s">
        <v>52</v>
      </c>
    </row>
    <row r="568" ht="15.0" customHeight="1">
      <c r="B568" s="6">
        <f t="shared" si="1"/>
        <v>566</v>
      </c>
      <c r="C568" s="1" t="s">
        <v>934</v>
      </c>
      <c r="D568" s="1" t="s">
        <v>44</v>
      </c>
      <c r="E568" s="1" t="s">
        <v>934</v>
      </c>
      <c r="F568" s="1" t="s">
        <v>935</v>
      </c>
      <c r="G568" s="1" t="s">
        <v>318</v>
      </c>
      <c r="H568" s="6">
        <v>1998.0</v>
      </c>
      <c r="I568" s="1" t="s">
        <v>918</v>
      </c>
      <c r="J568" s="1" t="s">
        <v>281</v>
      </c>
      <c r="K568" s="1" t="s">
        <v>314</v>
      </c>
      <c r="M568" s="7">
        <v>1.0E8</v>
      </c>
      <c r="N568" s="7">
        <v>0.0</v>
      </c>
      <c r="O568" s="8">
        <v>45639.0</v>
      </c>
      <c r="P568" s="7">
        <v>1.580032147E8</v>
      </c>
      <c r="Q568" s="7">
        <v>8.903193448E7</v>
      </c>
      <c r="R568" s="7">
        <v>0.0</v>
      </c>
      <c r="S568" s="1" t="s">
        <v>52</v>
      </c>
    </row>
    <row r="569" ht="15.0" customHeight="1">
      <c r="B569" s="6">
        <f t="shared" si="1"/>
        <v>567</v>
      </c>
      <c r="C569" s="1" t="s">
        <v>936</v>
      </c>
      <c r="D569" s="1" t="s">
        <v>44</v>
      </c>
      <c r="E569" s="1" t="s">
        <v>936</v>
      </c>
      <c r="F569" s="1" t="s">
        <v>530</v>
      </c>
      <c r="G569" s="1" t="s">
        <v>318</v>
      </c>
      <c r="H569" s="6">
        <v>1999.0</v>
      </c>
      <c r="I569" s="1" t="s">
        <v>918</v>
      </c>
      <c r="J569" s="1" t="s">
        <v>281</v>
      </c>
      <c r="K569" s="1" t="s">
        <v>282</v>
      </c>
      <c r="M569" s="7">
        <v>2.0E8</v>
      </c>
      <c r="N569" s="7">
        <v>0.0</v>
      </c>
      <c r="O569" s="8">
        <v>44575.0</v>
      </c>
      <c r="P569" s="7">
        <v>3.053239016E8</v>
      </c>
      <c r="Q569" s="7">
        <v>1.8594536242E8</v>
      </c>
      <c r="R569" s="7">
        <v>0.0</v>
      </c>
      <c r="S569" s="1" t="s">
        <v>52</v>
      </c>
    </row>
    <row r="570" ht="15.0" customHeight="1">
      <c r="B570" s="6">
        <f t="shared" si="1"/>
        <v>568</v>
      </c>
      <c r="C570" s="1" t="s">
        <v>937</v>
      </c>
      <c r="D570" s="1" t="s">
        <v>44</v>
      </c>
      <c r="E570" s="1" t="s">
        <v>937</v>
      </c>
      <c r="F570" s="1" t="s">
        <v>938</v>
      </c>
      <c r="G570" s="1" t="s">
        <v>318</v>
      </c>
      <c r="H570" s="6">
        <v>2000.0</v>
      </c>
      <c r="I570" s="1" t="s">
        <v>918</v>
      </c>
      <c r="J570" s="1" t="s">
        <v>281</v>
      </c>
      <c r="K570" s="1" t="s">
        <v>282</v>
      </c>
      <c r="M570" s="7">
        <v>2.0E8</v>
      </c>
      <c r="N570" s="7">
        <v>0.0</v>
      </c>
      <c r="O570" s="8">
        <v>44798.0</v>
      </c>
      <c r="P570" s="7">
        <v>5.3583177378E8</v>
      </c>
      <c r="Q570" s="7">
        <v>1.9544695019E8</v>
      </c>
      <c r="R570" s="7">
        <v>0.23</v>
      </c>
      <c r="S570" s="1" t="s">
        <v>52</v>
      </c>
    </row>
    <row r="571" ht="15.0" customHeight="1">
      <c r="B571" s="6">
        <f t="shared" si="1"/>
        <v>569</v>
      </c>
      <c r="C571" s="1" t="s">
        <v>939</v>
      </c>
      <c r="D571" s="1" t="s">
        <v>44</v>
      </c>
      <c r="E571" s="1" t="s">
        <v>939</v>
      </c>
      <c r="F571" s="1" t="s">
        <v>279</v>
      </c>
      <c r="G571" s="1" t="s">
        <v>318</v>
      </c>
      <c r="H571" s="6">
        <v>2000.0</v>
      </c>
      <c r="I571" s="1" t="s">
        <v>918</v>
      </c>
      <c r="J571" s="1" t="s">
        <v>281</v>
      </c>
      <c r="K571" s="1" t="s">
        <v>282</v>
      </c>
      <c r="M571" s="7">
        <v>4.08465517E8</v>
      </c>
      <c r="N571" s="7">
        <v>7.6856603E8</v>
      </c>
      <c r="O571" s="8">
        <v>46112.0</v>
      </c>
      <c r="P571" s="7">
        <v>6.968274959552E8</v>
      </c>
      <c r="Q571" s="7">
        <v>5.573649289552E8</v>
      </c>
      <c r="R571" s="7">
        <v>8458698.0</v>
      </c>
      <c r="S571" s="1" t="s">
        <v>52</v>
      </c>
    </row>
    <row r="572" ht="15.0" customHeight="1">
      <c r="B572" s="6">
        <f t="shared" si="1"/>
        <v>570</v>
      </c>
      <c r="C572" s="1" t="s">
        <v>940</v>
      </c>
      <c r="D572" s="1" t="s">
        <v>44</v>
      </c>
      <c r="E572" s="1" t="s">
        <v>940</v>
      </c>
      <c r="F572" s="1" t="s">
        <v>941</v>
      </c>
      <c r="G572" s="1" t="s">
        <v>318</v>
      </c>
      <c r="H572" s="6">
        <v>2001.0</v>
      </c>
      <c r="I572" s="1" t="s">
        <v>918</v>
      </c>
      <c r="J572" s="1" t="s">
        <v>281</v>
      </c>
      <c r="K572" s="1" t="s">
        <v>314</v>
      </c>
      <c r="M572" s="7">
        <v>7.66625E7</v>
      </c>
      <c r="N572" s="7">
        <v>0.0</v>
      </c>
      <c r="O572" s="8">
        <v>42277.0</v>
      </c>
      <c r="P572" s="7">
        <v>7.078387811E7</v>
      </c>
      <c r="Q572" s="7">
        <v>7.4788678E7</v>
      </c>
      <c r="R572" s="7">
        <v>0.0</v>
      </c>
      <c r="S572" s="1" t="s">
        <v>52</v>
      </c>
    </row>
    <row r="573" ht="15.0" customHeight="1">
      <c r="B573" s="6">
        <f t="shared" si="1"/>
        <v>571</v>
      </c>
      <c r="C573" s="1" t="s">
        <v>942</v>
      </c>
      <c r="D573" s="1" t="s">
        <v>44</v>
      </c>
      <c r="E573" s="1" t="s">
        <v>942</v>
      </c>
      <c r="F573" s="1" t="s">
        <v>932</v>
      </c>
      <c r="G573" s="1" t="s">
        <v>318</v>
      </c>
      <c r="H573" s="6">
        <v>2001.0</v>
      </c>
      <c r="I573" s="1" t="s">
        <v>918</v>
      </c>
      <c r="J573" s="1" t="s">
        <v>281</v>
      </c>
      <c r="K573" s="1" t="s">
        <v>282</v>
      </c>
      <c r="M573" s="7">
        <v>1.5E8</v>
      </c>
      <c r="N573" s="7">
        <v>0.0</v>
      </c>
      <c r="O573" s="8">
        <v>42277.0</v>
      </c>
      <c r="P573" s="7">
        <v>2.2670812434E8</v>
      </c>
      <c r="Q573" s="7">
        <v>1.5001838186E8</v>
      </c>
      <c r="R573" s="7">
        <v>0.47</v>
      </c>
      <c r="S573" s="1" t="s">
        <v>52</v>
      </c>
    </row>
    <row r="574" ht="15.0" customHeight="1">
      <c r="B574" s="6">
        <f t="shared" si="1"/>
        <v>572</v>
      </c>
      <c r="C574" s="1" t="s">
        <v>943</v>
      </c>
      <c r="D574" s="1" t="s">
        <v>44</v>
      </c>
      <c r="E574" s="1" t="s">
        <v>943</v>
      </c>
      <c r="F574" s="1" t="s">
        <v>97</v>
      </c>
      <c r="G574" s="1" t="s">
        <v>318</v>
      </c>
      <c r="H574" s="6">
        <v>2001.0</v>
      </c>
      <c r="I574" s="1" t="s">
        <v>918</v>
      </c>
      <c r="J574" s="1" t="s">
        <v>281</v>
      </c>
      <c r="K574" s="1" t="s">
        <v>282</v>
      </c>
      <c r="M574" s="7">
        <v>1.41016667E8</v>
      </c>
      <c r="N574" s="7">
        <v>0.0</v>
      </c>
      <c r="O574" s="8">
        <v>44651.0</v>
      </c>
      <c r="P574" s="7">
        <v>3.7934196853E8</v>
      </c>
      <c r="Q574" s="7">
        <v>1.1554874611E8</v>
      </c>
      <c r="R574" s="7">
        <v>0.0</v>
      </c>
      <c r="S574" s="1" t="s">
        <v>52</v>
      </c>
    </row>
    <row r="575" ht="15.0" customHeight="1">
      <c r="B575" s="6">
        <f t="shared" si="1"/>
        <v>573</v>
      </c>
      <c r="C575" s="1" t="s">
        <v>944</v>
      </c>
      <c r="D575" s="1" t="s">
        <v>44</v>
      </c>
      <c r="E575" s="1" t="s">
        <v>944</v>
      </c>
      <c r="F575" s="1" t="s">
        <v>917</v>
      </c>
      <c r="G575" s="1" t="s">
        <v>318</v>
      </c>
      <c r="H575" s="6">
        <v>2001.0</v>
      </c>
      <c r="I575" s="1" t="s">
        <v>918</v>
      </c>
      <c r="J575" s="1" t="s">
        <v>62</v>
      </c>
      <c r="K575" s="1" t="s">
        <v>289</v>
      </c>
      <c r="M575" s="7">
        <v>1.0E8</v>
      </c>
      <c r="N575" s="7">
        <v>0.0</v>
      </c>
      <c r="O575" s="8">
        <v>44196.0</v>
      </c>
      <c r="P575" s="7">
        <v>1.74852999E8</v>
      </c>
      <c r="Q575" s="7">
        <v>6.5703742E7</v>
      </c>
      <c r="R575" s="7">
        <v>0.0</v>
      </c>
      <c r="S575" s="1" t="s">
        <v>52</v>
      </c>
    </row>
    <row r="576" ht="15.0" customHeight="1">
      <c r="B576" s="6">
        <f t="shared" si="1"/>
        <v>574</v>
      </c>
      <c r="C576" s="1" t="s">
        <v>945</v>
      </c>
      <c r="D576" s="1" t="s">
        <v>44</v>
      </c>
      <c r="E576" s="1" t="s">
        <v>945</v>
      </c>
      <c r="F576" s="1" t="s">
        <v>946</v>
      </c>
      <c r="G576" s="1" t="s">
        <v>318</v>
      </c>
      <c r="H576" s="6">
        <v>2001.0</v>
      </c>
      <c r="I576" s="1" t="s">
        <v>918</v>
      </c>
      <c r="J576" s="1" t="s">
        <v>281</v>
      </c>
      <c r="K576" s="1" t="s">
        <v>282</v>
      </c>
      <c r="M576" s="7">
        <v>3.0E8</v>
      </c>
      <c r="N576" s="7">
        <v>0.0</v>
      </c>
      <c r="O576" s="8">
        <v>45194.0</v>
      </c>
      <c r="P576" s="7">
        <v>2.9314179052E8</v>
      </c>
      <c r="Q576" s="7">
        <v>1.3991547839E8</v>
      </c>
      <c r="R576" s="7">
        <v>-0.01</v>
      </c>
      <c r="S576" s="1" t="s">
        <v>52</v>
      </c>
    </row>
    <row r="577" ht="15.0" customHeight="1">
      <c r="B577" s="6">
        <f t="shared" si="1"/>
        <v>575</v>
      </c>
      <c r="C577" s="1" t="s">
        <v>947</v>
      </c>
      <c r="D577" s="1" t="s">
        <v>44</v>
      </c>
      <c r="E577" s="1" t="s">
        <v>947</v>
      </c>
      <c r="F577" s="1" t="s">
        <v>542</v>
      </c>
      <c r="G577" s="1" t="s">
        <v>318</v>
      </c>
      <c r="H577" s="6">
        <v>2000.0</v>
      </c>
      <c r="I577" s="1" t="s">
        <v>918</v>
      </c>
      <c r="J577" s="1" t="s">
        <v>281</v>
      </c>
      <c r="K577" s="1" t="s">
        <v>314</v>
      </c>
      <c r="M577" s="7">
        <v>2.0E8</v>
      </c>
      <c r="N577" s="7">
        <v>0.0</v>
      </c>
      <c r="O577" s="8">
        <v>42277.0</v>
      </c>
      <c r="P577" s="7">
        <v>4.7451767727E8</v>
      </c>
      <c r="Q577" s="7">
        <v>2.16349548E8</v>
      </c>
      <c r="R577" s="7">
        <v>0.0</v>
      </c>
      <c r="S577" s="1" t="s">
        <v>52</v>
      </c>
    </row>
    <row r="578" ht="15.0" customHeight="1">
      <c r="B578" s="6">
        <f t="shared" si="1"/>
        <v>576</v>
      </c>
      <c r="C578" s="1" t="s">
        <v>948</v>
      </c>
      <c r="D578" s="1" t="s">
        <v>44</v>
      </c>
      <c r="E578" s="1" t="s">
        <v>948</v>
      </c>
      <c r="F578" s="1" t="s">
        <v>542</v>
      </c>
      <c r="G578" s="1" t="s">
        <v>318</v>
      </c>
      <c r="H578" s="6">
        <v>2000.0</v>
      </c>
      <c r="I578" s="1" t="s">
        <v>918</v>
      </c>
      <c r="J578" s="1" t="s">
        <v>281</v>
      </c>
      <c r="K578" s="1" t="s">
        <v>282</v>
      </c>
      <c r="M578" s="7">
        <v>1.0E8</v>
      </c>
      <c r="N578" s="7">
        <v>0.0</v>
      </c>
      <c r="O578" s="8">
        <v>42277.0</v>
      </c>
      <c r="P578" s="7">
        <v>1.3159973826E8</v>
      </c>
      <c r="Q578" s="7">
        <v>1.1389877101E8</v>
      </c>
      <c r="R578" s="7">
        <v>-0.01</v>
      </c>
      <c r="S578" s="1" t="s">
        <v>52</v>
      </c>
    </row>
    <row r="579" ht="15.0" customHeight="1">
      <c r="B579" s="6">
        <f t="shared" si="1"/>
        <v>577</v>
      </c>
      <c r="C579" s="1" t="s">
        <v>949</v>
      </c>
      <c r="D579" s="1" t="s">
        <v>44</v>
      </c>
      <c r="E579" s="1" t="s">
        <v>949</v>
      </c>
      <c r="F579" s="1" t="s">
        <v>917</v>
      </c>
      <c r="G579" s="1" t="s">
        <v>318</v>
      </c>
      <c r="H579" s="6">
        <v>2002.0</v>
      </c>
      <c r="I579" s="1" t="s">
        <v>918</v>
      </c>
      <c r="J579" s="1" t="s">
        <v>62</v>
      </c>
      <c r="K579" s="1" t="s">
        <v>289</v>
      </c>
      <c r="M579" s="7">
        <v>8.75E7</v>
      </c>
      <c r="N579" s="7">
        <v>0.0</v>
      </c>
      <c r="O579" s="8">
        <v>42277.0</v>
      </c>
      <c r="P579" s="7">
        <v>1.4668863938E8</v>
      </c>
      <c r="Q579" s="7">
        <v>8.425133901E7</v>
      </c>
      <c r="R579" s="7">
        <v>-0.01</v>
      </c>
      <c r="S579" s="1" t="s">
        <v>52</v>
      </c>
    </row>
    <row r="580" ht="15.0" customHeight="1">
      <c r="B580" s="6">
        <f t="shared" si="1"/>
        <v>578</v>
      </c>
      <c r="C580" s="1" t="s">
        <v>950</v>
      </c>
      <c r="D580" s="1" t="s">
        <v>44</v>
      </c>
      <c r="E580" s="1" t="s">
        <v>950</v>
      </c>
      <c r="F580" s="1" t="s">
        <v>951</v>
      </c>
      <c r="G580" s="1" t="s">
        <v>318</v>
      </c>
      <c r="H580" s="6">
        <v>2002.0</v>
      </c>
      <c r="I580" s="1" t="s">
        <v>918</v>
      </c>
      <c r="J580" s="1" t="s">
        <v>62</v>
      </c>
      <c r="K580" s="1" t="s">
        <v>289</v>
      </c>
      <c r="M580" s="7">
        <v>9.0E7</v>
      </c>
      <c r="N580" s="7">
        <v>0.0</v>
      </c>
      <c r="O580" s="8">
        <v>40359.0</v>
      </c>
      <c r="P580" s="7">
        <v>1.4445671453E8</v>
      </c>
      <c r="Q580" s="7">
        <v>9.0172793E7</v>
      </c>
      <c r="R580" s="7">
        <v>0.0</v>
      </c>
      <c r="S580" s="1" t="s">
        <v>52</v>
      </c>
    </row>
    <row r="581" ht="15.0" customHeight="1">
      <c r="B581" s="6">
        <f t="shared" si="1"/>
        <v>579</v>
      </c>
      <c r="C581" s="1" t="s">
        <v>952</v>
      </c>
      <c r="D581" s="1" t="s">
        <v>44</v>
      </c>
      <c r="E581" s="1" t="s">
        <v>952</v>
      </c>
      <c r="F581" s="1" t="s">
        <v>400</v>
      </c>
      <c r="G581" s="1" t="s">
        <v>318</v>
      </c>
      <c r="H581" s="6">
        <v>2002.0</v>
      </c>
      <c r="I581" s="1" t="s">
        <v>918</v>
      </c>
      <c r="J581" s="1" t="s">
        <v>62</v>
      </c>
      <c r="K581" s="1" t="s">
        <v>289</v>
      </c>
      <c r="M581" s="7">
        <v>5.7640625E7</v>
      </c>
      <c r="N581" s="7">
        <v>0.0</v>
      </c>
      <c r="O581" s="8">
        <v>42117.0</v>
      </c>
      <c r="P581" s="7">
        <v>5.781706719E7</v>
      </c>
      <c r="Q581" s="7">
        <v>5.693499085E7</v>
      </c>
      <c r="R581" s="7">
        <v>0.0</v>
      </c>
      <c r="S581" s="1" t="s">
        <v>52</v>
      </c>
    </row>
    <row r="582" ht="15.0" customHeight="1">
      <c r="B582" s="6">
        <f t="shared" si="1"/>
        <v>580</v>
      </c>
      <c r="C582" s="1" t="s">
        <v>953</v>
      </c>
      <c r="D582" s="1" t="s">
        <v>44</v>
      </c>
      <c r="E582" s="1" t="s">
        <v>953</v>
      </c>
      <c r="F582" s="1" t="s">
        <v>37</v>
      </c>
      <c r="G582" s="1" t="s">
        <v>318</v>
      </c>
      <c r="H582" s="6">
        <v>2002.0</v>
      </c>
      <c r="I582" s="1" t="s">
        <v>918</v>
      </c>
      <c r="J582" s="1" t="s">
        <v>281</v>
      </c>
      <c r="K582" s="1" t="s">
        <v>954</v>
      </c>
      <c r="M582" s="7">
        <v>7.5E7</v>
      </c>
      <c r="N582" s="7">
        <v>0.0</v>
      </c>
      <c r="O582" s="8">
        <v>43640.0</v>
      </c>
      <c r="P582" s="7">
        <v>1.03925357E8</v>
      </c>
      <c r="Q582" s="7">
        <v>6.795136588E7</v>
      </c>
      <c r="R582" s="7">
        <v>0.12</v>
      </c>
      <c r="S582" s="1" t="s">
        <v>52</v>
      </c>
    </row>
    <row r="583" ht="15.0" customHeight="1">
      <c r="B583" s="6">
        <f t="shared" si="1"/>
        <v>581</v>
      </c>
      <c r="C583" s="1" t="s">
        <v>955</v>
      </c>
      <c r="D583" s="1" t="s">
        <v>44</v>
      </c>
      <c r="E583" s="1" t="s">
        <v>955</v>
      </c>
      <c r="F583" s="1" t="s">
        <v>932</v>
      </c>
      <c r="G583" s="1" t="s">
        <v>318</v>
      </c>
      <c r="H583" s="6">
        <v>2004.0</v>
      </c>
      <c r="I583" s="1" t="s">
        <v>918</v>
      </c>
      <c r="J583" s="1" t="s">
        <v>281</v>
      </c>
      <c r="K583" s="1" t="s">
        <v>282</v>
      </c>
      <c r="M583" s="7">
        <v>1.0E8</v>
      </c>
      <c r="N583" s="7">
        <v>0.0</v>
      </c>
      <c r="O583" s="8">
        <v>42277.0</v>
      </c>
      <c r="P583" s="7">
        <v>6.305659326E7</v>
      </c>
      <c r="Q583" s="7">
        <v>9.764630529E7</v>
      </c>
      <c r="R583" s="7">
        <v>0.0</v>
      </c>
      <c r="S583" s="1" t="s">
        <v>52</v>
      </c>
    </row>
    <row r="584" ht="15.0" customHeight="1">
      <c r="B584" s="6">
        <f t="shared" si="1"/>
        <v>582</v>
      </c>
      <c r="C584" s="1" t="s">
        <v>956</v>
      </c>
      <c r="D584" s="1" t="s">
        <v>44</v>
      </c>
      <c r="E584" s="1" t="s">
        <v>956</v>
      </c>
      <c r="F584" s="1" t="s">
        <v>957</v>
      </c>
      <c r="G584" s="1" t="s">
        <v>318</v>
      </c>
      <c r="H584" s="6">
        <v>2003.0</v>
      </c>
      <c r="I584" s="1" t="s">
        <v>918</v>
      </c>
      <c r="J584" s="1" t="s">
        <v>62</v>
      </c>
      <c r="K584" s="1" t="s">
        <v>289</v>
      </c>
      <c r="M584" s="7">
        <v>1.0E8</v>
      </c>
      <c r="N584" s="7">
        <v>0.0</v>
      </c>
      <c r="O584" s="8">
        <v>42726.0</v>
      </c>
      <c r="P584" s="7">
        <v>1.57189721E8</v>
      </c>
      <c r="Q584" s="7">
        <v>1.0431735935E8</v>
      </c>
      <c r="R584" s="7">
        <v>-0.01</v>
      </c>
      <c r="S584" s="1" t="s">
        <v>52</v>
      </c>
    </row>
    <row r="585" ht="15.0" customHeight="1">
      <c r="B585" s="6">
        <f t="shared" si="1"/>
        <v>583</v>
      </c>
      <c r="C585" s="1" t="s">
        <v>958</v>
      </c>
      <c r="D585" s="1" t="s">
        <v>44</v>
      </c>
      <c r="E585" s="1" t="s">
        <v>958</v>
      </c>
      <c r="F585" s="1" t="s">
        <v>951</v>
      </c>
      <c r="G585" s="1" t="s">
        <v>318</v>
      </c>
      <c r="H585" s="6">
        <v>2004.0</v>
      </c>
      <c r="I585" s="1" t="s">
        <v>918</v>
      </c>
      <c r="J585" s="1" t="s">
        <v>62</v>
      </c>
      <c r="K585" s="1" t="s">
        <v>349</v>
      </c>
      <c r="M585" s="7">
        <v>9.0E7</v>
      </c>
      <c r="N585" s="7">
        <v>0.0</v>
      </c>
      <c r="O585" s="8">
        <v>41660.0</v>
      </c>
      <c r="P585" s="7">
        <v>7.178139675E7</v>
      </c>
      <c r="Q585" s="7">
        <v>9.0E7</v>
      </c>
      <c r="R585" s="7">
        <v>0.0</v>
      </c>
      <c r="S585" s="1" t="s">
        <v>52</v>
      </c>
    </row>
    <row r="586" ht="15.0" customHeight="1">
      <c r="B586" s="6">
        <f t="shared" si="1"/>
        <v>584</v>
      </c>
      <c r="C586" s="1" t="s">
        <v>959</v>
      </c>
      <c r="D586" s="1" t="s">
        <v>44</v>
      </c>
      <c r="E586" s="1" t="s">
        <v>959</v>
      </c>
      <c r="F586" s="1" t="s">
        <v>935</v>
      </c>
      <c r="G586" s="1" t="s">
        <v>318</v>
      </c>
      <c r="H586" s="6">
        <v>2004.0</v>
      </c>
      <c r="I586" s="1" t="s">
        <v>918</v>
      </c>
      <c r="J586" s="1" t="s">
        <v>281</v>
      </c>
      <c r="K586" s="1" t="s">
        <v>282</v>
      </c>
      <c r="M586" s="7">
        <v>1.0E8</v>
      </c>
      <c r="N586" s="7">
        <v>0.0</v>
      </c>
      <c r="O586" s="8">
        <v>42551.0</v>
      </c>
      <c r="P586" s="7">
        <v>9.39542519E7</v>
      </c>
      <c r="Q586" s="7">
        <v>1.1211053986E8</v>
      </c>
      <c r="R586" s="7">
        <v>0.08</v>
      </c>
      <c r="S586" s="1" t="s">
        <v>52</v>
      </c>
    </row>
    <row r="587" ht="15.0" customHeight="1">
      <c r="B587" s="6">
        <f t="shared" si="1"/>
        <v>585</v>
      </c>
      <c r="C587" s="1" t="s">
        <v>960</v>
      </c>
      <c r="D587" s="1" t="s">
        <v>44</v>
      </c>
      <c r="E587" s="1" t="s">
        <v>960</v>
      </c>
      <c r="F587" s="1" t="s">
        <v>961</v>
      </c>
      <c r="G587" s="1" t="s">
        <v>318</v>
      </c>
      <c r="H587" s="6">
        <v>2005.0</v>
      </c>
      <c r="I587" s="1" t="s">
        <v>918</v>
      </c>
      <c r="J587" s="1" t="s">
        <v>62</v>
      </c>
      <c r="K587" s="1" t="s">
        <v>289</v>
      </c>
      <c r="M587" s="7">
        <v>7.5E7</v>
      </c>
      <c r="N587" s="7">
        <v>0.0</v>
      </c>
      <c r="O587" s="8">
        <v>42461.0</v>
      </c>
      <c r="P587" s="7">
        <v>9.702805002E7</v>
      </c>
      <c r="Q587" s="7">
        <v>7.5E7</v>
      </c>
      <c r="R587" s="7">
        <v>0.0</v>
      </c>
      <c r="S587" s="1" t="s">
        <v>52</v>
      </c>
    </row>
    <row r="588" ht="15.0" customHeight="1">
      <c r="B588" s="6">
        <f t="shared" si="1"/>
        <v>586</v>
      </c>
      <c r="C588" s="1" t="s">
        <v>962</v>
      </c>
      <c r="D588" s="1" t="s">
        <v>44</v>
      </c>
      <c r="E588" s="1" t="s">
        <v>962</v>
      </c>
      <c r="F588" s="1" t="s">
        <v>530</v>
      </c>
      <c r="G588" s="1" t="s">
        <v>318</v>
      </c>
      <c r="H588" s="6">
        <v>2005.0</v>
      </c>
      <c r="I588" s="1" t="s">
        <v>918</v>
      </c>
      <c r="J588" s="1" t="s">
        <v>281</v>
      </c>
      <c r="K588" s="1" t="s">
        <v>282</v>
      </c>
      <c r="M588" s="7">
        <v>1.5E8</v>
      </c>
      <c r="N588" s="7">
        <v>0.0</v>
      </c>
      <c r="O588" s="8">
        <v>42277.0</v>
      </c>
      <c r="P588" s="7">
        <v>1.5907884501E8</v>
      </c>
      <c r="Q588" s="7">
        <v>1.66612777E8</v>
      </c>
      <c r="R588" s="7">
        <v>0.0</v>
      </c>
      <c r="S588" s="1" t="s">
        <v>52</v>
      </c>
    </row>
    <row r="589" ht="15.0" customHeight="1">
      <c r="B589" s="6">
        <f t="shared" si="1"/>
        <v>587</v>
      </c>
      <c r="C589" s="1" t="s">
        <v>963</v>
      </c>
      <c r="D589" s="1" t="s">
        <v>44</v>
      </c>
      <c r="E589" s="1" t="s">
        <v>963</v>
      </c>
      <c r="F589" s="1" t="s">
        <v>400</v>
      </c>
      <c r="G589" s="1" t="s">
        <v>318</v>
      </c>
      <c r="H589" s="6">
        <v>2005.0</v>
      </c>
      <c r="I589" s="1" t="s">
        <v>918</v>
      </c>
      <c r="J589" s="1" t="s">
        <v>62</v>
      </c>
      <c r="K589" s="1" t="s">
        <v>289</v>
      </c>
      <c r="M589" s="7">
        <v>1.0E8</v>
      </c>
      <c r="N589" s="7">
        <v>0.0</v>
      </c>
      <c r="O589" s="8">
        <v>45880.0</v>
      </c>
      <c r="P589" s="7">
        <v>1.4651245164E8</v>
      </c>
      <c r="Q589" s="7">
        <v>9.739613556E7</v>
      </c>
      <c r="R589" s="7">
        <v>0.0</v>
      </c>
      <c r="S589" s="1" t="s">
        <v>52</v>
      </c>
    </row>
    <row r="590" ht="15.0" customHeight="1">
      <c r="B590" s="6">
        <f t="shared" si="1"/>
        <v>588</v>
      </c>
      <c r="C590" s="1" t="s">
        <v>964</v>
      </c>
      <c r="D590" s="1" t="s">
        <v>44</v>
      </c>
      <c r="E590" s="1" t="s">
        <v>964</v>
      </c>
      <c r="F590" s="1" t="s">
        <v>37</v>
      </c>
      <c r="G590" s="1" t="s">
        <v>318</v>
      </c>
      <c r="H590" s="6">
        <v>2005.0</v>
      </c>
      <c r="I590" s="1" t="s">
        <v>918</v>
      </c>
      <c r="J590" s="1" t="s">
        <v>281</v>
      </c>
      <c r="K590" s="1" t="s">
        <v>954</v>
      </c>
      <c r="M590" s="7">
        <v>7.5E7</v>
      </c>
      <c r="N590" s="7">
        <v>0.0</v>
      </c>
      <c r="O590" s="8">
        <v>45569.0</v>
      </c>
      <c r="P590" s="7">
        <v>5.049278531E7</v>
      </c>
      <c r="Q590" s="7">
        <v>8.0020127E7</v>
      </c>
      <c r="R590" s="7">
        <v>0.0</v>
      </c>
      <c r="S590" s="1" t="s">
        <v>52</v>
      </c>
    </row>
    <row r="591" ht="15.0" customHeight="1">
      <c r="B591" s="6">
        <f t="shared" si="1"/>
        <v>589</v>
      </c>
      <c r="C591" s="1" t="s">
        <v>965</v>
      </c>
      <c r="D591" s="1" t="s">
        <v>44</v>
      </c>
      <c r="E591" s="1" t="s">
        <v>965</v>
      </c>
      <c r="F591" s="1" t="s">
        <v>97</v>
      </c>
      <c r="G591" s="1" t="s">
        <v>318</v>
      </c>
      <c r="H591" s="6">
        <v>2004.0</v>
      </c>
      <c r="I591" s="1" t="s">
        <v>918</v>
      </c>
      <c r="J591" s="1" t="s">
        <v>281</v>
      </c>
      <c r="K591" s="1" t="s">
        <v>282</v>
      </c>
      <c r="M591" s="7">
        <v>1.3E8</v>
      </c>
      <c r="N591" s="7">
        <v>0.0</v>
      </c>
      <c r="O591" s="8">
        <v>44926.0</v>
      </c>
      <c r="P591" s="7">
        <v>2.6350500643E8</v>
      </c>
      <c r="Q591" s="7">
        <v>1.89674261E8</v>
      </c>
      <c r="R591" s="7">
        <v>0.0</v>
      </c>
      <c r="S591" s="1" t="s">
        <v>52</v>
      </c>
    </row>
    <row r="592" ht="15.0" customHeight="1">
      <c r="B592" s="6">
        <f t="shared" si="1"/>
        <v>590</v>
      </c>
      <c r="C592" s="1" t="s">
        <v>966</v>
      </c>
      <c r="D592" s="1" t="s">
        <v>44</v>
      </c>
      <c r="E592" s="1" t="s">
        <v>966</v>
      </c>
      <c r="F592" s="1" t="s">
        <v>946</v>
      </c>
      <c r="G592" s="1" t="s">
        <v>318</v>
      </c>
      <c r="H592" s="6">
        <v>2005.0</v>
      </c>
      <c r="I592" s="1" t="s">
        <v>918</v>
      </c>
      <c r="J592" s="1" t="s">
        <v>281</v>
      </c>
      <c r="K592" s="1" t="s">
        <v>282</v>
      </c>
      <c r="M592" s="7">
        <v>2.0E8</v>
      </c>
      <c r="N592" s="7">
        <v>0.0</v>
      </c>
      <c r="O592" s="8">
        <v>42277.0</v>
      </c>
      <c r="P592" s="7">
        <v>2.2869076275E8</v>
      </c>
      <c r="Q592" s="7">
        <v>2.086030741E8</v>
      </c>
      <c r="R592" s="7">
        <v>-0.09</v>
      </c>
      <c r="S592" s="1" t="s">
        <v>52</v>
      </c>
    </row>
    <row r="593" ht="15.0" customHeight="1">
      <c r="B593" s="6">
        <f t="shared" si="1"/>
        <v>591</v>
      </c>
      <c r="C593" s="1" t="s">
        <v>967</v>
      </c>
      <c r="D593" s="1" t="s">
        <v>44</v>
      </c>
      <c r="E593" s="1" t="s">
        <v>967</v>
      </c>
      <c r="F593" s="1" t="s">
        <v>542</v>
      </c>
      <c r="G593" s="1" t="s">
        <v>318</v>
      </c>
      <c r="H593" s="6">
        <v>2005.0</v>
      </c>
      <c r="I593" s="1" t="s">
        <v>918</v>
      </c>
      <c r="J593" s="1" t="s">
        <v>281</v>
      </c>
      <c r="K593" s="1" t="s">
        <v>314</v>
      </c>
      <c r="M593" s="7">
        <v>2.0E8</v>
      </c>
      <c r="N593" s="7">
        <v>0.0</v>
      </c>
      <c r="O593" s="8">
        <v>42277.0</v>
      </c>
      <c r="P593" s="7">
        <v>2.853112036E8</v>
      </c>
      <c r="Q593" s="7">
        <v>2.3179840601E8</v>
      </c>
      <c r="R593" s="7">
        <v>-0.01</v>
      </c>
      <c r="S593" s="1" t="s">
        <v>52</v>
      </c>
    </row>
    <row r="594" ht="15.0" customHeight="1">
      <c r="B594" s="6">
        <f t="shared" si="1"/>
        <v>592</v>
      </c>
      <c r="C594" s="1" t="s">
        <v>968</v>
      </c>
      <c r="D594" s="1" t="s">
        <v>44</v>
      </c>
      <c r="E594" s="1" t="s">
        <v>968</v>
      </c>
      <c r="F594" s="1" t="s">
        <v>969</v>
      </c>
      <c r="G594" s="1" t="s">
        <v>318</v>
      </c>
      <c r="H594" s="6">
        <v>2006.0</v>
      </c>
      <c r="I594" s="1" t="s">
        <v>918</v>
      </c>
      <c r="J594" s="1" t="s">
        <v>54</v>
      </c>
      <c r="K594" s="1" t="s">
        <v>286</v>
      </c>
      <c r="M594" s="7">
        <v>2.0E8</v>
      </c>
      <c r="N594" s="7">
        <v>0.0</v>
      </c>
      <c r="O594" s="8">
        <v>41955.0</v>
      </c>
      <c r="P594" s="7">
        <v>2.4132890461E8</v>
      </c>
      <c r="Q594" s="7">
        <v>1.966877674E8</v>
      </c>
      <c r="R594" s="7">
        <v>0.0</v>
      </c>
      <c r="S594" s="1" t="s">
        <v>52</v>
      </c>
    </row>
    <row r="595" ht="15.0" customHeight="1">
      <c r="B595" s="6">
        <f t="shared" si="1"/>
        <v>593</v>
      </c>
      <c r="C595" s="1" t="s">
        <v>970</v>
      </c>
      <c r="D595" s="1" t="s">
        <v>44</v>
      </c>
      <c r="E595" s="1" t="s">
        <v>970</v>
      </c>
      <c r="F595" s="1" t="s">
        <v>971</v>
      </c>
      <c r="G595" s="1" t="s">
        <v>318</v>
      </c>
      <c r="H595" s="6">
        <v>2006.0</v>
      </c>
      <c r="I595" s="1" t="s">
        <v>918</v>
      </c>
      <c r="J595" s="1" t="s">
        <v>54</v>
      </c>
      <c r="K595" s="1" t="s">
        <v>286</v>
      </c>
      <c r="M595" s="7">
        <v>1.0E8</v>
      </c>
      <c r="N595" s="7">
        <v>0.0</v>
      </c>
      <c r="O595" s="8">
        <v>43298.0</v>
      </c>
      <c r="P595" s="7">
        <v>1.5747240883E8</v>
      </c>
      <c r="Q595" s="7">
        <v>1.0E8</v>
      </c>
      <c r="R595" s="7">
        <v>0.0</v>
      </c>
      <c r="S595" s="1" t="s">
        <v>52</v>
      </c>
    </row>
    <row r="596" ht="15.0" customHeight="1">
      <c r="B596" s="6">
        <f t="shared" si="1"/>
        <v>594</v>
      </c>
      <c r="C596" s="1" t="s">
        <v>972</v>
      </c>
      <c r="D596" s="1" t="s">
        <v>44</v>
      </c>
      <c r="E596" s="1" t="s">
        <v>972</v>
      </c>
      <c r="F596" s="1" t="s">
        <v>37</v>
      </c>
      <c r="G596" s="1" t="s">
        <v>318</v>
      </c>
      <c r="H596" s="6">
        <v>2005.0</v>
      </c>
      <c r="I596" s="1" t="s">
        <v>918</v>
      </c>
      <c r="J596" s="1" t="s">
        <v>281</v>
      </c>
      <c r="K596" s="1" t="s">
        <v>314</v>
      </c>
      <c r="M596" s="7">
        <v>2.0E8</v>
      </c>
      <c r="N596" s="7">
        <v>315729.0</v>
      </c>
      <c r="O596" s="8">
        <v>46112.0</v>
      </c>
      <c r="P596" s="7">
        <v>4.2668452174E8</v>
      </c>
      <c r="Q596" s="7">
        <v>2.14491119E8</v>
      </c>
      <c r="R596" s="7">
        <v>834809.0</v>
      </c>
      <c r="S596" s="1" t="s">
        <v>52</v>
      </c>
    </row>
    <row r="597" ht="15.0" customHeight="1">
      <c r="B597" s="6">
        <f t="shared" si="1"/>
        <v>595</v>
      </c>
      <c r="C597" s="1" t="s">
        <v>973</v>
      </c>
      <c r="D597" s="1" t="s">
        <v>44</v>
      </c>
      <c r="E597" s="1" t="s">
        <v>973</v>
      </c>
      <c r="F597" s="1" t="s">
        <v>37</v>
      </c>
      <c r="G597" s="1" t="s">
        <v>318</v>
      </c>
      <c r="H597" s="6">
        <v>2005.0</v>
      </c>
      <c r="I597" s="1" t="s">
        <v>918</v>
      </c>
      <c r="J597" s="1" t="s">
        <v>62</v>
      </c>
      <c r="K597" s="1" t="s">
        <v>289</v>
      </c>
      <c r="M597" s="7">
        <v>5.5E7</v>
      </c>
      <c r="N597" s="7">
        <v>0.0</v>
      </c>
      <c r="O597" s="8">
        <v>42277.0</v>
      </c>
      <c r="P597" s="7">
        <v>5.398790593E7</v>
      </c>
      <c r="Q597" s="7">
        <v>5.4978609E7</v>
      </c>
      <c r="R597" s="7">
        <v>0.0</v>
      </c>
      <c r="S597" s="1" t="s">
        <v>52</v>
      </c>
    </row>
    <row r="598" ht="15.0" customHeight="1">
      <c r="B598" s="6">
        <f t="shared" si="1"/>
        <v>596</v>
      </c>
      <c r="C598" s="1" t="s">
        <v>974</v>
      </c>
      <c r="D598" s="1" t="s">
        <v>44</v>
      </c>
      <c r="E598" s="1" t="s">
        <v>975</v>
      </c>
      <c r="F598" s="1" t="s">
        <v>951</v>
      </c>
      <c r="G598" s="1" t="s">
        <v>318</v>
      </c>
      <c r="H598" s="6">
        <v>2005.0</v>
      </c>
      <c r="I598" s="1" t="s">
        <v>918</v>
      </c>
      <c r="J598" s="1" t="s">
        <v>62</v>
      </c>
      <c r="K598" s="1" t="s">
        <v>349</v>
      </c>
      <c r="M598" s="7">
        <v>1.33875E8</v>
      </c>
      <c r="N598" s="7">
        <v>0.0</v>
      </c>
      <c r="O598" s="8">
        <v>42277.0</v>
      </c>
      <c r="P598" s="7">
        <v>3.72802624E7</v>
      </c>
      <c r="Q598" s="7">
        <v>1.33627886E8</v>
      </c>
      <c r="R598" s="7">
        <v>0.0</v>
      </c>
      <c r="S598" s="1" t="s">
        <v>52</v>
      </c>
    </row>
    <row r="599" ht="15.0" customHeight="1">
      <c r="B599" s="6">
        <f t="shared" si="1"/>
        <v>597</v>
      </c>
      <c r="C599" s="1" t="s">
        <v>976</v>
      </c>
      <c r="D599" s="1" t="s">
        <v>44</v>
      </c>
      <c r="E599" s="1" t="s">
        <v>976</v>
      </c>
      <c r="F599" s="1" t="s">
        <v>938</v>
      </c>
      <c r="G599" s="1" t="s">
        <v>318</v>
      </c>
      <c r="H599" s="6">
        <v>2006.0</v>
      </c>
      <c r="I599" s="1" t="s">
        <v>918</v>
      </c>
      <c r="J599" s="1" t="s">
        <v>281</v>
      </c>
      <c r="K599" s="1" t="s">
        <v>282</v>
      </c>
      <c r="M599" s="7">
        <v>1.0E8</v>
      </c>
      <c r="N599" s="7">
        <v>395320.0</v>
      </c>
      <c r="O599" s="8">
        <v>46022.0</v>
      </c>
      <c r="P599" s="7">
        <v>8.160360328E7</v>
      </c>
      <c r="Q599" s="7">
        <v>1.0097680478E8</v>
      </c>
      <c r="R599" s="7">
        <v>1312881.27</v>
      </c>
      <c r="S599" s="1" t="s">
        <v>52</v>
      </c>
    </row>
    <row r="600" ht="15.0" customHeight="1">
      <c r="B600" s="6">
        <f t="shared" si="1"/>
        <v>598</v>
      </c>
      <c r="C600" s="1" t="s">
        <v>977</v>
      </c>
      <c r="D600" s="1" t="s">
        <v>44</v>
      </c>
      <c r="E600" s="1" t="s">
        <v>977</v>
      </c>
      <c r="F600" s="1" t="s">
        <v>932</v>
      </c>
      <c r="G600" s="1" t="s">
        <v>318</v>
      </c>
      <c r="H600" s="6">
        <v>2006.0</v>
      </c>
      <c r="I600" s="1" t="s">
        <v>918</v>
      </c>
      <c r="J600" s="1" t="s">
        <v>281</v>
      </c>
      <c r="K600" s="1" t="s">
        <v>282</v>
      </c>
      <c r="M600" s="7">
        <v>1.0E8</v>
      </c>
      <c r="N600" s="7">
        <v>0.0</v>
      </c>
      <c r="O600" s="8">
        <v>42277.0</v>
      </c>
      <c r="P600" s="7">
        <v>3.936612769E7</v>
      </c>
      <c r="Q600" s="7">
        <v>9.374300907E7</v>
      </c>
      <c r="R600" s="7">
        <v>0.42</v>
      </c>
      <c r="S600" s="1" t="s">
        <v>52</v>
      </c>
    </row>
    <row r="601" ht="15.0" customHeight="1">
      <c r="B601" s="6">
        <f t="shared" si="1"/>
        <v>599</v>
      </c>
      <c r="C601" s="1" t="s">
        <v>978</v>
      </c>
      <c r="D601" s="1" t="s">
        <v>44</v>
      </c>
      <c r="E601" s="1" t="s">
        <v>978</v>
      </c>
      <c r="F601" s="1" t="s">
        <v>979</v>
      </c>
      <c r="G601" s="1" t="s">
        <v>318</v>
      </c>
      <c r="H601" s="6">
        <v>2006.0</v>
      </c>
      <c r="I601" s="1" t="s">
        <v>918</v>
      </c>
      <c r="J601" s="1" t="s">
        <v>54</v>
      </c>
      <c r="K601" s="1" t="s">
        <v>286</v>
      </c>
      <c r="M601" s="7">
        <v>1.0E8</v>
      </c>
      <c r="N601" s="7">
        <v>1.575917913E7</v>
      </c>
      <c r="O601" s="8">
        <v>46112.0</v>
      </c>
      <c r="P601" s="7">
        <v>1.0991241637E8</v>
      </c>
      <c r="Q601" s="7">
        <v>7.5E7</v>
      </c>
      <c r="R601" s="7">
        <v>0.0</v>
      </c>
      <c r="S601" s="1" t="s">
        <v>52</v>
      </c>
    </row>
    <row r="602" ht="15.0" customHeight="1">
      <c r="B602" s="6">
        <f t="shared" si="1"/>
        <v>600</v>
      </c>
      <c r="C602" s="1" t="s">
        <v>980</v>
      </c>
      <c r="D602" s="1" t="s">
        <v>44</v>
      </c>
      <c r="E602" s="1" t="s">
        <v>980</v>
      </c>
      <c r="F602" s="1" t="s">
        <v>981</v>
      </c>
      <c r="G602" s="1" t="s">
        <v>318</v>
      </c>
      <c r="H602" s="6">
        <v>2007.0</v>
      </c>
      <c r="I602" s="1" t="s">
        <v>918</v>
      </c>
      <c r="J602" s="1" t="s">
        <v>62</v>
      </c>
      <c r="K602" s="1" t="s">
        <v>289</v>
      </c>
      <c r="M602" s="7">
        <v>7.5E7</v>
      </c>
      <c r="N602" s="7">
        <v>0.0</v>
      </c>
      <c r="O602" s="8">
        <v>43830.0</v>
      </c>
      <c r="P602" s="7">
        <v>7.079722833E7</v>
      </c>
      <c r="Q602" s="7">
        <v>6.0E7</v>
      </c>
      <c r="R602" s="7">
        <v>0.0</v>
      </c>
      <c r="S602" s="1" t="s">
        <v>52</v>
      </c>
    </row>
    <row r="603" ht="15.0" customHeight="1">
      <c r="B603" s="6">
        <f t="shared" si="1"/>
        <v>601</v>
      </c>
      <c r="C603" s="1" t="s">
        <v>982</v>
      </c>
      <c r="D603" s="1" t="s">
        <v>44</v>
      </c>
      <c r="E603" s="1" t="s">
        <v>982</v>
      </c>
      <c r="F603" s="1" t="s">
        <v>983</v>
      </c>
      <c r="G603" s="1" t="s">
        <v>318</v>
      </c>
      <c r="H603" s="6">
        <v>2006.0</v>
      </c>
      <c r="I603" s="1" t="s">
        <v>918</v>
      </c>
      <c r="J603" s="1" t="s">
        <v>54</v>
      </c>
      <c r="K603" s="1" t="s">
        <v>286</v>
      </c>
      <c r="M603" s="7">
        <v>1.0E8</v>
      </c>
      <c r="N603" s="7">
        <v>0.0</v>
      </c>
      <c r="O603" s="8">
        <v>40953.0</v>
      </c>
      <c r="P603" s="7">
        <v>2.864507734E7</v>
      </c>
      <c r="Q603" s="7">
        <v>2.791458904E7</v>
      </c>
      <c r="R603" s="7">
        <v>0.0</v>
      </c>
      <c r="S603" s="1" t="s">
        <v>52</v>
      </c>
    </row>
    <row r="604" ht="15.0" customHeight="1">
      <c r="B604" s="6">
        <f t="shared" si="1"/>
        <v>602</v>
      </c>
      <c r="C604" s="1" t="s">
        <v>984</v>
      </c>
      <c r="D604" s="1" t="s">
        <v>44</v>
      </c>
      <c r="E604" s="1" t="s">
        <v>984</v>
      </c>
      <c r="F604" s="1" t="s">
        <v>279</v>
      </c>
      <c r="G604" s="1" t="s">
        <v>318</v>
      </c>
      <c r="H604" s="6">
        <v>2005.0</v>
      </c>
      <c r="I604" s="1" t="s">
        <v>918</v>
      </c>
      <c r="J604" s="1" t="s">
        <v>281</v>
      </c>
      <c r="K604" s="1" t="s">
        <v>282</v>
      </c>
      <c r="M604" s="7">
        <v>1.625E8</v>
      </c>
      <c r="N604" s="7">
        <v>0.0</v>
      </c>
      <c r="O604" s="8">
        <v>46011.0</v>
      </c>
      <c r="P604" s="7">
        <v>8.573397E7</v>
      </c>
      <c r="Q604" s="7">
        <v>1.625E8</v>
      </c>
      <c r="R604" s="7">
        <v>0.0</v>
      </c>
      <c r="S604" s="1" t="s">
        <v>52</v>
      </c>
    </row>
    <row r="605" ht="15.0" customHeight="1">
      <c r="B605" s="6">
        <f t="shared" si="1"/>
        <v>603</v>
      </c>
      <c r="C605" s="1" t="s">
        <v>985</v>
      </c>
      <c r="D605" s="1" t="s">
        <v>44</v>
      </c>
      <c r="E605" s="1" t="s">
        <v>985</v>
      </c>
      <c r="F605" s="1" t="s">
        <v>542</v>
      </c>
      <c r="G605" s="1" t="s">
        <v>318</v>
      </c>
      <c r="H605" s="6">
        <v>2005.0</v>
      </c>
      <c r="I605" s="1" t="s">
        <v>918</v>
      </c>
      <c r="J605" s="1" t="s">
        <v>281</v>
      </c>
      <c r="K605" s="1" t="s">
        <v>282</v>
      </c>
      <c r="M605" s="7">
        <v>1.5E8</v>
      </c>
      <c r="N605" s="7">
        <v>0.0</v>
      </c>
      <c r="O605" s="8">
        <v>42277.0</v>
      </c>
      <c r="P605" s="7">
        <v>6.070019486E7</v>
      </c>
      <c r="Q605" s="7">
        <v>1.8996617333E8</v>
      </c>
      <c r="R605" s="7">
        <v>-0.42</v>
      </c>
      <c r="S605" s="1" t="s">
        <v>52</v>
      </c>
    </row>
    <row r="606" ht="15.0" customHeight="1">
      <c r="B606" s="6">
        <f t="shared" si="1"/>
        <v>604</v>
      </c>
      <c r="C606" s="1" t="s">
        <v>986</v>
      </c>
      <c r="D606" s="1" t="s">
        <v>44</v>
      </c>
      <c r="E606" s="1" t="s">
        <v>987</v>
      </c>
      <c r="F606" s="1" t="s">
        <v>542</v>
      </c>
      <c r="G606" s="1" t="s">
        <v>318</v>
      </c>
      <c r="H606" s="6">
        <v>2006.0</v>
      </c>
      <c r="I606" s="1" t="s">
        <v>918</v>
      </c>
      <c r="J606" s="1" t="s">
        <v>54</v>
      </c>
      <c r="K606" s="1" t="s">
        <v>286</v>
      </c>
      <c r="M606" s="7">
        <v>1.0E8</v>
      </c>
      <c r="N606" s="7">
        <v>0.0</v>
      </c>
      <c r="O606" s="8">
        <v>40917.0</v>
      </c>
      <c r="P606" s="7">
        <v>5.013085086E7</v>
      </c>
      <c r="Q606" s="7">
        <v>5.0E7</v>
      </c>
      <c r="R606" s="7">
        <v>0.0</v>
      </c>
      <c r="S606" s="1" t="s">
        <v>52</v>
      </c>
    </row>
    <row r="607" ht="15.0" customHeight="1">
      <c r="B607" s="6">
        <f t="shared" si="1"/>
        <v>605</v>
      </c>
      <c r="C607" s="1" t="s">
        <v>988</v>
      </c>
      <c r="D607" s="1" t="s">
        <v>44</v>
      </c>
      <c r="E607" s="1" t="s">
        <v>988</v>
      </c>
      <c r="F607" s="1" t="s">
        <v>989</v>
      </c>
      <c r="G607" s="1" t="s">
        <v>318</v>
      </c>
      <c r="H607" s="6">
        <v>2006.0</v>
      </c>
      <c r="I607" s="1" t="s">
        <v>918</v>
      </c>
      <c r="J607" s="1" t="s">
        <v>62</v>
      </c>
      <c r="K607" s="1" t="s">
        <v>289</v>
      </c>
      <c r="M607" s="7">
        <v>1.25E8</v>
      </c>
      <c r="N607" s="7">
        <v>0.0</v>
      </c>
      <c r="O607" s="8">
        <v>42369.0</v>
      </c>
      <c r="P607" s="7">
        <v>4.225078492E7</v>
      </c>
      <c r="Q607" s="7">
        <v>1.2405727634E8</v>
      </c>
      <c r="R607" s="7">
        <v>0.0</v>
      </c>
      <c r="S607" s="1" t="s">
        <v>52</v>
      </c>
    </row>
    <row r="608" ht="15.0" customHeight="1">
      <c r="B608" s="6">
        <f t="shared" si="1"/>
        <v>606</v>
      </c>
      <c r="C608" s="1" t="s">
        <v>990</v>
      </c>
      <c r="D608" s="1" t="s">
        <v>44</v>
      </c>
      <c r="E608" s="1" t="s">
        <v>990</v>
      </c>
      <c r="F608" s="1" t="s">
        <v>383</v>
      </c>
      <c r="G608" s="1" t="s">
        <v>318</v>
      </c>
      <c r="H608" s="6">
        <v>2006.0</v>
      </c>
      <c r="I608" s="1" t="s">
        <v>918</v>
      </c>
      <c r="J608" s="1" t="s">
        <v>281</v>
      </c>
      <c r="K608" s="1" t="s">
        <v>282</v>
      </c>
      <c r="M608" s="7">
        <v>1.0E8</v>
      </c>
      <c r="N608" s="7">
        <v>0.0</v>
      </c>
      <c r="O608" s="8">
        <v>46107.0</v>
      </c>
      <c r="P608" s="7">
        <v>4.8320078E7</v>
      </c>
      <c r="Q608" s="7">
        <v>9.7210287E7</v>
      </c>
      <c r="R608" s="7">
        <v>0.0</v>
      </c>
      <c r="S608" s="1" t="s">
        <v>52</v>
      </c>
    </row>
    <row r="609" ht="15.0" customHeight="1">
      <c r="B609" s="6">
        <f t="shared" si="1"/>
        <v>607</v>
      </c>
      <c r="C609" s="1" t="s">
        <v>991</v>
      </c>
      <c r="D609" s="1" t="s">
        <v>44</v>
      </c>
      <c r="E609" s="1" t="s">
        <v>991</v>
      </c>
      <c r="F609" s="1" t="s">
        <v>37</v>
      </c>
      <c r="G609" s="1" t="s">
        <v>318</v>
      </c>
      <c r="H609" s="6">
        <v>2007.0</v>
      </c>
      <c r="I609" s="1" t="s">
        <v>918</v>
      </c>
      <c r="J609" s="1" t="s">
        <v>281</v>
      </c>
      <c r="K609" s="1" t="s">
        <v>314</v>
      </c>
      <c r="M609" s="7">
        <v>4.0E8</v>
      </c>
      <c r="N609" s="7">
        <v>174958.0</v>
      </c>
      <c r="O609" s="8">
        <v>46112.0</v>
      </c>
      <c r="P609" s="7">
        <v>8.9020362161E8</v>
      </c>
      <c r="Q609" s="7">
        <v>4.3601626814E8</v>
      </c>
      <c r="R609" s="7">
        <v>2928110.86</v>
      </c>
      <c r="S609" s="1" t="s">
        <v>52</v>
      </c>
    </row>
    <row r="610" ht="15.0" customHeight="1">
      <c r="B610" s="6">
        <f t="shared" si="1"/>
        <v>608</v>
      </c>
      <c r="C610" s="1" t="s">
        <v>992</v>
      </c>
      <c r="D610" s="1" t="s">
        <v>44</v>
      </c>
      <c r="E610" s="1" t="s">
        <v>992</v>
      </c>
      <c r="F610" s="1" t="s">
        <v>413</v>
      </c>
      <c r="G610" s="1" t="s">
        <v>318</v>
      </c>
      <c r="H610" s="6">
        <v>2006.0</v>
      </c>
      <c r="I610" s="1" t="s">
        <v>918</v>
      </c>
      <c r="J610" s="1" t="s">
        <v>62</v>
      </c>
      <c r="K610" s="1" t="s">
        <v>993</v>
      </c>
      <c r="M610" s="7">
        <v>1.5E8</v>
      </c>
      <c r="N610" s="7">
        <v>0.0</v>
      </c>
      <c r="O610" s="8">
        <v>43819.0</v>
      </c>
      <c r="P610" s="7">
        <v>1.40017279E8</v>
      </c>
      <c r="Q610" s="7">
        <v>1.50183055E8</v>
      </c>
      <c r="R610" s="7">
        <v>0.0</v>
      </c>
      <c r="S610" s="1" t="s">
        <v>52</v>
      </c>
    </row>
    <row r="611" ht="15.0" customHeight="1">
      <c r="B611" s="6">
        <f t="shared" si="1"/>
        <v>609</v>
      </c>
      <c r="C611" s="1" t="s">
        <v>994</v>
      </c>
      <c r="D611" s="1" t="s">
        <v>44</v>
      </c>
      <c r="E611" s="1" t="s">
        <v>994</v>
      </c>
      <c r="F611" s="1" t="s">
        <v>97</v>
      </c>
      <c r="G611" s="1" t="s">
        <v>318</v>
      </c>
      <c r="H611" s="6">
        <v>2007.0</v>
      </c>
      <c r="I611" s="1" t="s">
        <v>918</v>
      </c>
      <c r="J611" s="1" t="s">
        <v>281</v>
      </c>
      <c r="K611" s="1" t="s">
        <v>282</v>
      </c>
      <c r="M611" s="7">
        <v>3.0E8</v>
      </c>
      <c r="N611" s="7">
        <v>0.0</v>
      </c>
      <c r="O611" s="8">
        <v>45382.0</v>
      </c>
      <c r="P611" s="7">
        <v>5.6363236417E8</v>
      </c>
      <c r="Q611" s="7">
        <v>3.6909058774E8</v>
      </c>
      <c r="R611" s="7">
        <v>-7.0E-4</v>
      </c>
      <c r="S611" s="1" t="s">
        <v>52</v>
      </c>
    </row>
    <row r="612" ht="15.0" customHeight="1">
      <c r="B612" s="6">
        <f t="shared" si="1"/>
        <v>610</v>
      </c>
      <c r="C612" s="1" t="s">
        <v>995</v>
      </c>
      <c r="D612" s="1" t="s">
        <v>44</v>
      </c>
      <c r="E612" s="1" t="s">
        <v>995</v>
      </c>
      <c r="F612" s="1" t="s">
        <v>989</v>
      </c>
      <c r="G612" s="1" t="s">
        <v>318</v>
      </c>
      <c r="H612" s="6">
        <v>2007.0</v>
      </c>
      <c r="I612" s="1" t="s">
        <v>918</v>
      </c>
      <c r="J612" s="1" t="s">
        <v>62</v>
      </c>
      <c r="K612" s="1" t="s">
        <v>289</v>
      </c>
      <c r="M612" s="7">
        <v>1.661825E8</v>
      </c>
      <c r="N612" s="7">
        <v>0.0</v>
      </c>
      <c r="O612" s="8">
        <v>42369.0</v>
      </c>
      <c r="P612" s="7">
        <v>2.606238153E7</v>
      </c>
      <c r="Q612" s="7">
        <v>1.6715322765E8</v>
      </c>
      <c r="R612" s="7">
        <v>0.0</v>
      </c>
      <c r="S612" s="1" t="s">
        <v>52</v>
      </c>
    </row>
    <row r="613" ht="15.0" customHeight="1">
      <c r="B613" s="6">
        <f t="shared" si="1"/>
        <v>611</v>
      </c>
      <c r="C613" s="1" t="s">
        <v>996</v>
      </c>
      <c r="D613" s="1" t="s">
        <v>44</v>
      </c>
      <c r="E613" s="1" t="s">
        <v>996</v>
      </c>
      <c r="F613" s="1" t="s">
        <v>997</v>
      </c>
      <c r="G613" s="1" t="s">
        <v>318</v>
      </c>
      <c r="H613" s="6">
        <v>2007.0</v>
      </c>
      <c r="I613" s="1" t="s">
        <v>918</v>
      </c>
      <c r="J613" s="1" t="s">
        <v>62</v>
      </c>
      <c r="K613" s="1" t="s">
        <v>289</v>
      </c>
      <c r="M613" s="7">
        <v>1.0E8</v>
      </c>
      <c r="N613" s="7">
        <v>0.0</v>
      </c>
      <c r="O613" s="8">
        <v>42277.0</v>
      </c>
      <c r="P613" s="7">
        <v>8.914405049E7</v>
      </c>
      <c r="Q613" s="7">
        <v>9.7157748E7</v>
      </c>
      <c r="R613" s="7">
        <v>0.0</v>
      </c>
      <c r="S613" s="1" t="s">
        <v>52</v>
      </c>
    </row>
    <row r="614" ht="15.0" customHeight="1">
      <c r="B614" s="6">
        <f t="shared" si="1"/>
        <v>612</v>
      </c>
      <c r="C614" s="1" t="s">
        <v>998</v>
      </c>
      <c r="D614" s="1" t="s">
        <v>44</v>
      </c>
      <c r="E614" s="1" t="s">
        <v>998</v>
      </c>
      <c r="F614" s="1" t="s">
        <v>293</v>
      </c>
      <c r="G614" s="1" t="s">
        <v>318</v>
      </c>
      <c r="H614" s="6">
        <v>2007.0</v>
      </c>
      <c r="I614" s="1" t="s">
        <v>918</v>
      </c>
      <c r="J614" s="1" t="s">
        <v>62</v>
      </c>
      <c r="K614" s="1" t="s">
        <v>301</v>
      </c>
      <c r="M614" s="7">
        <v>1.25E8</v>
      </c>
      <c r="N614" s="7">
        <v>0.0</v>
      </c>
      <c r="O614" s="8">
        <v>45030.0</v>
      </c>
      <c r="P614" s="7">
        <v>1.22884671E8</v>
      </c>
      <c r="Q614" s="7">
        <v>8.990630623E7</v>
      </c>
      <c r="R614" s="7">
        <v>0.0</v>
      </c>
      <c r="S614" s="1" t="s">
        <v>52</v>
      </c>
    </row>
    <row r="615" ht="15.0" customHeight="1">
      <c r="B615" s="6">
        <f t="shared" si="1"/>
        <v>613</v>
      </c>
      <c r="C615" s="1" t="s">
        <v>999</v>
      </c>
      <c r="D615" s="1" t="s">
        <v>44</v>
      </c>
      <c r="E615" s="1" t="s">
        <v>1000</v>
      </c>
      <c r="F615" s="1" t="s">
        <v>938</v>
      </c>
      <c r="G615" s="1" t="s">
        <v>318</v>
      </c>
      <c r="H615" s="6">
        <v>2007.0</v>
      </c>
      <c r="I615" s="1" t="s">
        <v>918</v>
      </c>
      <c r="J615" s="1" t="s">
        <v>281</v>
      </c>
      <c r="K615" s="1" t="s">
        <v>282</v>
      </c>
      <c r="M615" s="7">
        <v>2.0E8</v>
      </c>
      <c r="N615" s="7">
        <v>2.2016829E7</v>
      </c>
      <c r="O615" s="8">
        <v>46022.0</v>
      </c>
      <c r="P615" s="7">
        <v>2.1206530769E8</v>
      </c>
      <c r="Q615" s="7">
        <v>1.9553197193E8</v>
      </c>
      <c r="R615" s="7">
        <v>4398966.12</v>
      </c>
      <c r="S615" s="1" t="s">
        <v>52</v>
      </c>
    </row>
    <row r="616" ht="15.0" customHeight="1">
      <c r="B616" s="6">
        <f t="shared" si="1"/>
        <v>614</v>
      </c>
      <c r="C616" s="1" t="s">
        <v>1001</v>
      </c>
      <c r="D616" s="1" t="s">
        <v>44</v>
      </c>
      <c r="E616" s="1" t="s">
        <v>1001</v>
      </c>
      <c r="F616" s="1" t="s">
        <v>542</v>
      </c>
      <c r="G616" s="1" t="s">
        <v>318</v>
      </c>
      <c r="H616" s="6">
        <v>2006.0</v>
      </c>
      <c r="I616" s="1" t="s">
        <v>918</v>
      </c>
      <c r="J616" s="1" t="s">
        <v>281</v>
      </c>
      <c r="K616" s="1" t="s">
        <v>314</v>
      </c>
      <c r="M616" s="7">
        <v>4.0E8</v>
      </c>
      <c r="N616" s="7">
        <v>0.0</v>
      </c>
      <c r="O616" s="8">
        <v>42277.0</v>
      </c>
      <c r="P616" s="7">
        <v>1.4739468735E8</v>
      </c>
      <c r="Q616" s="7">
        <v>4.63896384E8</v>
      </c>
      <c r="R616" s="7">
        <v>0.0</v>
      </c>
      <c r="S616" s="1" t="s">
        <v>52</v>
      </c>
    </row>
    <row r="617" ht="15.0" customHeight="1">
      <c r="B617" s="6">
        <f t="shared" si="1"/>
        <v>615</v>
      </c>
      <c r="C617" s="1" t="s">
        <v>1002</v>
      </c>
      <c r="D617" s="1" t="s">
        <v>44</v>
      </c>
      <c r="E617" s="1" t="s">
        <v>1002</v>
      </c>
      <c r="F617" s="1" t="s">
        <v>1003</v>
      </c>
      <c r="G617" s="1" t="s">
        <v>318</v>
      </c>
      <c r="H617" s="6">
        <v>2006.0</v>
      </c>
      <c r="I617" s="1" t="s">
        <v>918</v>
      </c>
      <c r="J617" s="1" t="s">
        <v>62</v>
      </c>
      <c r="K617" s="1" t="s">
        <v>301</v>
      </c>
      <c r="M617" s="7">
        <v>2.0E8</v>
      </c>
      <c r="N617" s="7">
        <v>0.0</v>
      </c>
      <c r="O617" s="8">
        <v>42277.0</v>
      </c>
      <c r="P617" s="7">
        <v>1.1472383233E8</v>
      </c>
      <c r="Q617" s="7">
        <v>1.8E8</v>
      </c>
      <c r="R617" s="7">
        <v>0.0</v>
      </c>
      <c r="S617" s="1" t="s">
        <v>52</v>
      </c>
    </row>
    <row r="618" ht="15.0" customHeight="1">
      <c r="B618" s="6">
        <f t="shared" si="1"/>
        <v>616</v>
      </c>
      <c r="C618" s="1" t="s">
        <v>1004</v>
      </c>
      <c r="D618" s="1" t="s">
        <v>44</v>
      </c>
      <c r="E618" s="1" t="s">
        <v>1004</v>
      </c>
      <c r="F618" s="1" t="s">
        <v>1005</v>
      </c>
      <c r="G618" s="1" t="s">
        <v>318</v>
      </c>
      <c r="H618" s="6">
        <v>2007.0</v>
      </c>
      <c r="I618" s="1" t="s">
        <v>918</v>
      </c>
      <c r="J618" s="1" t="s">
        <v>54</v>
      </c>
      <c r="K618" s="1" t="s">
        <v>286</v>
      </c>
      <c r="M618" s="7">
        <v>1.0E8</v>
      </c>
      <c r="N618" s="7">
        <v>0.0</v>
      </c>
      <c r="O618" s="8">
        <v>44834.0</v>
      </c>
      <c r="P618" s="7">
        <v>3.671009836E7</v>
      </c>
      <c r="Q618" s="7">
        <v>2.507157039E7</v>
      </c>
      <c r="R618" s="7">
        <v>-0.06</v>
      </c>
      <c r="S618" s="1" t="s">
        <v>52</v>
      </c>
    </row>
    <row r="619" ht="15.0" customHeight="1">
      <c r="B619" s="6">
        <f t="shared" si="1"/>
        <v>617</v>
      </c>
      <c r="C619" s="1" t="s">
        <v>1006</v>
      </c>
      <c r="D619" s="1" t="s">
        <v>44</v>
      </c>
      <c r="E619" s="1" t="s">
        <v>1006</v>
      </c>
      <c r="F619" s="1" t="s">
        <v>935</v>
      </c>
      <c r="G619" s="1" t="s">
        <v>318</v>
      </c>
      <c r="H619" s="6">
        <v>2007.0</v>
      </c>
      <c r="I619" s="1" t="s">
        <v>918</v>
      </c>
      <c r="J619" s="1" t="s">
        <v>281</v>
      </c>
      <c r="K619" s="1" t="s">
        <v>282</v>
      </c>
      <c r="M619" s="7">
        <v>1.32142857E8</v>
      </c>
      <c r="N619" s="7">
        <v>0.0</v>
      </c>
      <c r="O619" s="8">
        <v>42551.0</v>
      </c>
      <c r="P619" s="7">
        <v>1.0891781076E8</v>
      </c>
      <c r="Q619" s="7">
        <v>1.33689297E8</v>
      </c>
      <c r="R619" s="7">
        <v>0.0</v>
      </c>
      <c r="S619" s="1" t="s">
        <v>52</v>
      </c>
    </row>
    <row r="620" ht="15.0" customHeight="1">
      <c r="B620" s="6">
        <f t="shared" si="1"/>
        <v>618</v>
      </c>
      <c r="C620" s="1" t="s">
        <v>1007</v>
      </c>
      <c r="D620" s="1" t="s">
        <v>44</v>
      </c>
      <c r="E620" s="1" t="s">
        <v>1007</v>
      </c>
      <c r="F620" s="1" t="s">
        <v>951</v>
      </c>
      <c r="G620" s="1" t="s">
        <v>318</v>
      </c>
      <c r="H620" s="6">
        <v>2007.0</v>
      </c>
      <c r="I620" s="1" t="s">
        <v>918</v>
      </c>
      <c r="J620" s="1" t="s">
        <v>62</v>
      </c>
      <c r="K620" s="1" t="s">
        <v>349</v>
      </c>
      <c r="M620" s="7">
        <v>1.46E8</v>
      </c>
      <c r="N620" s="7">
        <v>0.0</v>
      </c>
      <c r="O620" s="8">
        <v>41088.0</v>
      </c>
      <c r="P620" s="7">
        <v>0.0</v>
      </c>
      <c r="Q620" s="7">
        <v>1.465260486E8</v>
      </c>
      <c r="R620" s="7">
        <v>0.0</v>
      </c>
      <c r="S620" s="1" t="s">
        <v>52</v>
      </c>
    </row>
    <row r="621" ht="15.0" hidden="1" customHeight="1">
      <c r="B621" s="6">
        <f t="shared" si="1"/>
        <v>619</v>
      </c>
      <c r="C621" s="1" t="s">
        <v>1008</v>
      </c>
      <c r="D621" s="1" t="s">
        <v>44</v>
      </c>
      <c r="E621" s="1" t="s">
        <v>1008</v>
      </c>
      <c r="F621" s="1" t="s">
        <v>97</v>
      </c>
      <c r="G621" s="1" t="s">
        <v>318</v>
      </c>
      <c r="H621" s="6">
        <v>2007.0</v>
      </c>
      <c r="I621" s="1" t="s">
        <v>918</v>
      </c>
      <c r="J621" s="1" t="s">
        <v>281</v>
      </c>
      <c r="K621" s="1" t="s">
        <v>1009</v>
      </c>
      <c r="M621" s="7">
        <v>2.0E8</v>
      </c>
      <c r="N621" s="7">
        <v>0.0</v>
      </c>
      <c r="O621" s="8">
        <v>42324.0</v>
      </c>
      <c r="P621" s="7">
        <v>1.8033883056E8</v>
      </c>
      <c r="Q621" s="7">
        <v>2.0267192057E8</v>
      </c>
      <c r="R621" s="7">
        <v>-0.2339</v>
      </c>
      <c r="S621" s="1" t="s">
        <v>45</v>
      </c>
    </row>
    <row r="622" ht="15.0" customHeight="1">
      <c r="B622" s="6">
        <f t="shared" si="1"/>
        <v>620</v>
      </c>
      <c r="C622" s="1" t="s">
        <v>1010</v>
      </c>
      <c r="D622" s="1" t="s">
        <v>44</v>
      </c>
      <c r="E622" s="1" t="s">
        <v>1010</v>
      </c>
      <c r="F622" s="1" t="s">
        <v>1011</v>
      </c>
      <c r="G622" s="1" t="s">
        <v>318</v>
      </c>
      <c r="H622" s="6">
        <v>2008.0</v>
      </c>
      <c r="I622" s="1" t="s">
        <v>918</v>
      </c>
      <c r="J622" s="1" t="s">
        <v>54</v>
      </c>
      <c r="K622" s="1" t="s">
        <v>286</v>
      </c>
      <c r="M622" s="7">
        <v>1.0E8</v>
      </c>
      <c r="N622" s="7">
        <v>0.0</v>
      </c>
      <c r="O622" s="8">
        <v>40961.0</v>
      </c>
      <c r="P622" s="7">
        <v>8.452876096E7</v>
      </c>
      <c r="Q622" s="7">
        <v>1.0E8</v>
      </c>
      <c r="R622" s="7">
        <v>0.0</v>
      </c>
      <c r="S622" s="1" t="s">
        <v>52</v>
      </c>
    </row>
    <row r="623" ht="15.0" customHeight="1">
      <c r="B623" s="6">
        <f t="shared" si="1"/>
        <v>621</v>
      </c>
      <c r="C623" s="1" t="s">
        <v>1012</v>
      </c>
      <c r="D623" s="1" t="s">
        <v>44</v>
      </c>
      <c r="E623" s="1" t="s">
        <v>1012</v>
      </c>
      <c r="F623" s="1" t="s">
        <v>305</v>
      </c>
      <c r="G623" s="1" t="s">
        <v>318</v>
      </c>
      <c r="H623" s="6">
        <v>2007.0</v>
      </c>
      <c r="I623" s="1" t="s">
        <v>918</v>
      </c>
      <c r="J623" s="1" t="s">
        <v>62</v>
      </c>
      <c r="K623" s="1" t="s">
        <v>289</v>
      </c>
      <c r="M623" s="7">
        <v>1.0E8</v>
      </c>
      <c r="N623" s="7">
        <v>0.0</v>
      </c>
      <c r="O623" s="8">
        <v>45961.0</v>
      </c>
      <c r="P623" s="7">
        <v>1.519840571E8</v>
      </c>
      <c r="Q623" s="7">
        <v>9.872532435E7</v>
      </c>
      <c r="R623" s="7">
        <v>0.15</v>
      </c>
      <c r="S623" s="1" t="s">
        <v>52</v>
      </c>
    </row>
    <row r="624" ht="15.0" customHeight="1">
      <c r="B624" s="6">
        <f t="shared" si="1"/>
        <v>622</v>
      </c>
      <c r="C624" s="1" t="s">
        <v>1013</v>
      </c>
      <c r="D624" s="1" t="s">
        <v>44</v>
      </c>
      <c r="E624" s="1" t="s">
        <v>1013</v>
      </c>
      <c r="F624" s="1" t="s">
        <v>530</v>
      </c>
      <c r="G624" s="1" t="s">
        <v>318</v>
      </c>
      <c r="H624" s="6">
        <v>2007.0</v>
      </c>
      <c r="I624" s="1" t="s">
        <v>918</v>
      </c>
      <c r="J624" s="1" t="s">
        <v>281</v>
      </c>
      <c r="K624" s="1" t="s">
        <v>314</v>
      </c>
      <c r="M624" s="7">
        <v>2.5E8</v>
      </c>
      <c r="N624" s="7">
        <v>0.0</v>
      </c>
      <c r="O624" s="8">
        <v>43203.0</v>
      </c>
      <c r="P624" s="7">
        <v>2.9357789208E8</v>
      </c>
      <c r="Q624" s="7">
        <v>2.7825821E8</v>
      </c>
      <c r="R624" s="7">
        <v>0.0</v>
      </c>
      <c r="S624" s="1" t="s">
        <v>52</v>
      </c>
    </row>
    <row r="625" ht="15.0" customHeight="1">
      <c r="B625" s="6">
        <f t="shared" si="1"/>
        <v>623</v>
      </c>
      <c r="C625" s="1" t="s">
        <v>1014</v>
      </c>
      <c r="D625" s="1" t="s">
        <v>44</v>
      </c>
      <c r="E625" s="1" t="s">
        <v>1014</v>
      </c>
      <c r="F625" s="1" t="s">
        <v>297</v>
      </c>
      <c r="G625" s="1" t="s">
        <v>318</v>
      </c>
      <c r="H625" s="6">
        <v>2007.0</v>
      </c>
      <c r="I625" s="1" t="s">
        <v>918</v>
      </c>
      <c r="J625" s="1" t="s">
        <v>62</v>
      </c>
      <c r="K625" s="1" t="s">
        <v>289</v>
      </c>
      <c r="M625" s="7">
        <v>1.482E8</v>
      </c>
      <c r="N625" s="7">
        <v>0.0</v>
      </c>
      <c r="O625" s="8">
        <v>44560.0</v>
      </c>
      <c r="P625" s="7">
        <v>1.6448468929E8</v>
      </c>
      <c r="Q625" s="7">
        <v>9.738569372E7</v>
      </c>
      <c r="R625" s="7">
        <v>0.28</v>
      </c>
      <c r="S625" s="1" t="s">
        <v>52</v>
      </c>
    </row>
    <row r="626" ht="15.0" customHeight="1">
      <c r="B626" s="6">
        <f t="shared" si="1"/>
        <v>624</v>
      </c>
      <c r="C626" s="1" t="s">
        <v>1015</v>
      </c>
      <c r="D626" s="1" t="s">
        <v>44</v>
      </c>
      <c r="E626" s="1" t="s">
        <v>1015</v>
      </c>
      <c r="F626" s="1" t="s">
        <v>951</v>
      </c>
      <c r="G626" s="1" t="s">
        <v>318</v>
      </c>
      <c r="H626" s="6">
        <v>2010.0</v>
      </c>
      <c r="I626" s="1" t="s">
        <v>918</v>
      </c>
      <c r="J626" s="1" t="s">
        <v>62</v>
      </c>
      <c r="K626" s="1" t="s">
        <v>301</v>
      </c>
      <c r="M626" s="7">
        <v>9.0E7</v>
      </c>
      <c r="N626" s="7">
        <v>47589.0</v>
      </c>
      <c r="O626" s="8">
        <v>46022.0</v>
      </c>
      <c r="P626" s="7">
        <v>4.758575749E7</v>
      </c>
      <c r="Q626" s="7">
        <v>9.0E7</v>
      </c>
      <c r="R626" s="7">
        <v>0.0</v>
      </c>
      <c r="S626" s="1" t="s">
        <v>52</v>
      </c>
    </row>
    <row r="627" ht="15.0" hidden="1" customHeight="1">
      <c r="B627" s="6">
        <f t="shared" si="1"/>
        <v>625</v>
      </c>
      <c r="C627" s="1" t="s">
        <v>1016</v>
      </c>
      <c r="D627" s="1" t="s">
        <v>44</v>
      </c>
      <c r="E627" s="1" t="s">
        <v>1016</v>
      </c>
      <c r="F627" s="1" t="s">
        <v>413</v>
      </c>
      <c r="G627" s="1" t="s">
        <v>318</v>
      </c>
      <c r="H627" s="6">
        <v>2007.0</v>
      </c>
      <c r="I627" s="1" t="s">
        <v>918</v>
      </c>
      <c r="J627" s="1" t="s">
        <v>281</v>
      </c>
      <c r="K627" s="1" t="s">
        <v>1009</v>
      </c>
      <c r="M627" s="7">
        <v>1.0E8</v>
      </c>
      <c r="N627" s="7">
        <v>0.0</v>
      </c>
      <c r="O627" s="8">
        <v>45291.0</v>
      </c>
      <c r="P627" s="7">
        <v>1.14267287E8</v>
      </c>
      <c r="Q627" s="7">
        <v>9.81039957625E7</v>
      </c>
      <c r="R627" s="7">
        <v>0.0</v>
      </c>
      <c r="S627" s="1" t="s">
        <v>45</v>
      </c>
    </row>
    <row r="628" ht="15.0" customHeight="1">
      <c r="B628" s="6">
        <f t="shared" si="1"/>
        <v>626</v>
      </c>
      <c r="C628" s="1" t="s">
        <v>1017</v>
      </c>
      <c r="D628" s="1" t="s">
        <v>44</v>
      </c>
      <c r="E628" s="1" t="s">
        <v>1017</v>
      </c>
      <c r="F628" s="1" t="s">
        <v>413</v>
      </c>
      <c r="G628" s="1" t="s">
        <v>318</v>
      </c>
      <c r="H628" s="6">
        <v>2008.0</v>
      </c>
      <c r="I628" s="1" t="s">
        <v>918</v>
      </c>
      <c r="J628" s="1" t="s">
        <v>62</v>
      </c>
      <c r="K628" s="1" t="s">
        <v>289</v>
      </c>
      <c r="M628" s="7">
        <v>1.5E8</v>
      </c>
      <c r="N628" s="7">
        <v>0.0</v>
      </c>
      <c r="O628" s="8">
        <v>45276.0</v>
      </c>
      <c r="P628" s="7">
        <v>2.3630166477E8</v>
      </c>
      <c r="Q628" s="7">
        <v>1.4621295622E8</v>
      </c>
      <c r="R628" s="7">
        <v>0.0</v>
      </c>
      <c r="S628" s="1" t="s">
        <v>52</v>
      </c>
    </row>
    <row r="629" ht="15.0" customHeight="1">
      <c r="B629" s="6">
        <f t="shared" si="1"/>
        <v>627</v>
      </c>
      <c r="C629" s="1" t="s">
        <v>1018</v>
      </c>
      <c r="D629" s="1" t="s">
        <v>44</v>
      </c>
      <c r="E629" s="1" t="s">
        <v>1018</v>
      </c>
      <c r="F629" s="1" t="s">
        <v>946</v>
      </c>
      <c r="G629" s="1" t="s">
        <v>318</v>
      </c>
      <c r="H629" s="6">
        <v>2008.0</v>
      </c>
      <c r="I629" s="1" t="s">
        <v>918</v>
      </c>
      <c r="J629" s="1" t="s">
        <v>281</v>
      </c>
      <c r="K629" s="1" t="s">
        <v>282</v>
      </c>
      <c r="M629" s="7">
        <v>3.0E8</v>
      </c>
      <c r="N629" s="7">
        <v>0.0</v>
      </c>
      <c r="O629" s="8">
        <v>42277.0</v>
      </c>
      <c r="P629" s="7">
        <v>5.262793807E7</v>
      </c>
      <c r="Q629" s="7">
        <v>1.38727879E8</v>
      </c>
      <c r="R629" s="7">
        <v>0.0</v>
      </c>
      <c r="S629" s="1" t="s">
        <v>52</v>
      </c>
    </row>
    <row r="630" ht="15.0" customHeight="1">
      <c r="B630" s="6">
        <f t="shared" si="1"/>
        <v>628</v>
      </c>
      <c r="C630" s="1" t="s">
        <v>1019</v>
      </c>
      <c r="D630" s="1" t="s">
        <v>44</v>
      </c>
      <c r="E630" s="1" t="s">
        <v>1019</v>
      </c>
      <c r="F630" s="1" t="s">
        <v>1020</v>
      </c>
      <c r="G630" s="1" t="s">
        <v>318</v>
      </c>
      <c r="H630" s="6">
        <v>2007.0</v>
      </c>
      <c r="I630" s="1" t="s">
        <v>918</v>
      </c>
      <c r="J630" s="1" t="s">
        <v>62</v>
      </c>
      <c r="K630" s="1" t="s">
        <v>349</v>
      </c>
      <c r="M630" s="7">
        <v>1.0E8</v>
      </c>
      <c r="N630" s="7">
        <v>0.0</v>
      </c>
      <c r="O630" s="8">
        <v>42277.0</v>
      </c>
      <c r="P630" s="7">
        <v>1.0078891809E8</v>
      </c>
      <c r="Q630" s="7">
        <v>9.780778556E7</v>
      </c>
      <c r="R630" s="7">
        <v>0.44</v>
      </c>
      <c r="S630" s="1" t="s">
        <v>52</v>
      </c>
    </row>
    <row r="631" ht="15.0" hidden="1" customHeight="1">
      <c r="B631" s="6">
        <f t="shared" si="1"/>
        <v>629</v>
      </c>
      <c r="C631" s="1" t="s">
        <v>1021</v>
      </c>
      <c r="D631" s="1" t="s">
        <v>44</v>
      </c>
      <c r="E631" s="1" t="s">
        <v>1021</v>
      </c>
      <c r="F631" s="1" t="s">
        <v>348</v>
      </c>
      <c r="G631" s="1" t="s">
        <v>318</v>
      </c>
      <c r="H631" s="6">
        <v>2007.0</v>
      </c>
      <c r="I631" s="1" t="s">
        <v>918</v>
      </c>
      <c r="J631" s="1" t="s">
        <v>281</v>
      </c>
      <c r="K631" s="1" t="s">
        <v>1009</v>
      </c>
      <c r="M631" s="7">
        <v>1.0E8</v>
      </c>
      <c r="N631" s="7">
        <v>0.0</v>
      </c>
      <c r="O631" s="8">
        <v>46022.0</v>
      </c>
      <c r="P631" s="7">
        <v>1.2120971086E8</v>
      </c>
      <c r="Q631" s="7">
        <v>9.088410915E7</v>
      </c>
      <c r="R631" s="7">
        <v>0.16</v>
      </c>
      <c r="S631" s="1" t="s">
        <v>45</v>
      </c>
    </row>
    <row r="632" ht="15.0" customHeight="1">
      <c r="B632" s="6">
        <f t="shared" si="1"/>
        <v>630</v>
      </c>
      <c r="C632" s="1" t="s">
        <v>1022</v>
      </c>
      <c r="D632" s="1" t="s">
        <v>44</v>
      </c>
      <c r="E632" s="1" t="s">
        <v>1022</v>
      </c>
      <c r="F632" s="1" t="s">
        <v>413</v>
      </c>
      <c r="G632" s="1" t="s">
        <v>318</v>
      </c>
      <c r="H632" s="6">
        <v>2008.0</v>
      </c>
      <c r="I632" s="1" t="s">
        <v>918</v>
      </c>
      <c r="J632" s="1" t="s">
        <v>62</v>
      </c>
      <c r="K632" s="1" t="s">
        <v>349</v>
      </c>
      <c r="M632" s="7">
        <v>8.3E7</v>
      </c>
      <c r="N632" s="7">
        <v>0.0</v>
      </c>
      <c r="O632" s="8">
        <v>42734.0</v>
      </c>
      <c r="P632" s="7">
        <v>9.7050942E7</v>
      </c>
      <c r="Q632" s="7">
        <v>6.9192E7</v>
      </c>
      <c r="R632" s="7">
        <v>0.0</v>
      </c>
      <c r="S632" s="1" t="s">
        <v>52</v>
      </c>
    </row>
    <row r="633" ht="15.0" customHeight="1">
      <c r="B633" s="6">
        <f t="shared" si="1"/>
        <v>631</v>
      </c>
      <c r="C633" s="1" t="s">
        <v>1023</v>
      </c>
      <c r="D633" s="1" t="s">
        <v>44</v>
      </c>
      <c r="E633" s="1" t="s">
        <v>1023</v>
      </c>
      <c r="F633" s="1" t="s">
        <v>932</v>
      </c>
      <c r="G633" s="1" t="s">
        <v>318</v>
      </c>
      <c r="H633" s="6">
        <v>2007.0</v>
      </c>
      <c r="I633" s="1" t="s">
        <v>918</v>
      </c>
      <c r="J633" s="1" t="s">
        <v>281</v>
      </c>
      <c r="K633" s="1" t="s">
        <v>282</v>
      </c>
      <c r="M633" s="7">
        <v>1.5E8</v>
      </c>
      <c r="N633" s="7">
        <v>0.0</v>
      </c>
      <c r="O633" s="8">
        <v>42277.0</v>
      </c>
      <c r="P633" s="7">
        <v>1.4265213288E8</v>
      </c>
      <c r="Q633" s="7">
        <v>1.4291350678E8</v>
      </c>
      <c r="R633" s="7">
        <v>-0.22</v>
      </c>
      <c r="S633" s="1" t="s">
        <v>52</v>
      </c>
    </row>
    <row r="634" ht="15.0" customHeight="1">
      <c r="B634" s="6">
        <f t="shared" si="1"/>
        <v>632</v>
      </c>
      <c r="C634" s="1" t="s">
        <v>1024</v>
      </c>
      <c r="D634" s="1" t="s">
        <v>44</v>
      </c>
      <c r="E634" s="1" t="s">
        <v>1024</v>
      </c>
      <c r="F634" s="1" t="s">
        <v>37</v>
      </c>
      <c r="G634" s="1" t="s">
        <v>318</v>
      </c>
      <c r="H634" s="6">
        <v>2008.0</v>
      </c>
      <c r="I634" s="1" t="s">
        <v>918</v>
      </c>
      <c r="J634" s="1" t="s">
        <v>281</v>
      </c>
      <c r="K634" s="1" t="s">
        <v>954</v>
      </c>
      <c r="M634" s="7">
        <v>7.5E7</v>
      </c>
      <c r="N634" s="7">
        <v>0.0</v>
      </c>
      <c r="O634" s="8">
        <v>45647.0</v>
      </c>
      <c r="P634" s="7">
        <v>7.743438113E7</v>
      </c>
      <c r="Q634" s="7">
        <v>7.751226318E7</v>
      </c>
      <c r="R634" s="7">
        <v>0.14</v>
      </c>
      <c r="S634" s="1" t="s">
        <v>52</v>
      </c>
    </row>
    <row r="635" ht="15.0" customHeight="1">
      <c r="B635" s="6">
        <f t="shared" si="1"/>
        <v>633</v>
      </c>
      <c r="C635" s="1" t="s">
        <v>1025</v>
      </c>
      <c r="D635" s="1" t="s">
        <v>44</v>
      </c>
      <c r="E635" s="1" t="s">
        <v>1025</v>
      </c>
      <c r="F635" s="1" t="s">
        <v>279</v>
      </c>
      <c r="G635" s="1" t="s">
        <v>318</v>
      </c>
      <c r="H635" s="6">
        <v>2007.0</v>
      </c>
      <c r="I635" s="1" t="s">
        <v>918</v>
      </c>
      <c r="J635" s="1" t="s">
        <v>281</v>
      </c>
      <c r="K635" s="1" t="s">
        <v>282</v>
      </c>
      <c r="M635" s="7">
        <v>1.8E8</v>
      </c>
      <c r="N635" s="7">
        <v>9.6417556E7</v>
      </c>
      <c r="O635" s="8">
        <v>46112.0</v>
      </c>
      <c r="P635" s="7">
        <v>1.12198355E8</v>
      </c>
      <c r="Q635" s="7">
        <v>1.79987642E8</v>
      </c>
      <c r="R635" s="7">
        <v>0.0</v>
      </c>
      <c r="S635" s="1" t="s">
        <v>52</v>
      </c>
    </row>
    <row r="636" ht="15.0" customHeight="1">
      <c r="B636" s="6">
        <f t="shared" si="1"/>
        <v>634</v>
      </c>
      <c r="C636" s="1" t="s">
        <v>1026</v>
      </c>
      <c r="D636" s="1" t="s">
        <v>44</v>
      </c>
      <c r="E636" s="1" t="s">
        <v>1026</v>
      </c>
      <c r="F636" s="1" t="s">
        <v>348</v>
      </c>
      <c r="G636" s="1" t="s">
        <v>318</v>
      </c>
      <c r="H636" s="6">
        <v>2007.0</v>
      </c>
      <c r="I636" s="1" t="s">
        <v>918</v>
      </c>
      <c r="J636" s="1" t="s">
        <v>281</v>
      </c>
      <c r="K636" s="1" t="s">
        <v>1027</v>
      </c>
      <c r="M636" s="7">
        <v>1.74293186E8</v>
      </c>
      <c r="N636" s="7">
        <v>0.0</v>
      </c>
      <c r="O636" s="8">
        <v>43646.0</v>
      </c>
      <c r="P636" s="7">
        <v>1.6000241762E8</v>
      </c>
      <c r="Q636" s="7">
        <v>1.3498369836E8</v>
      </c>
      <c r="R636" s="7">
        <v>0.0</v>
      </c>
      <c r="S636" s="1" t="s">
        <v>52</v>
      </c>
    </row>
    <row r="637" ht="15.0" hidden="1" customHeight="1">
      <c r="B637" s="6">
        <f t="shared" si="1"/>
        <v>635</v>
      </c>
      <c r="C637" s="1" t="s">
        <v>1028</v>
      </c>
      <c r="D637" s="1" t="s">
        <v>44</v>
      </c>
      <c r="E637" s="1" t="s">
        <v>1028</v>
      </c>
      <c r="F637" s="1" t="s">
        <v>37</v>
      </c>
      <c r="G637" s="1" t="s">
        <v>318</v>
      </c>
      <c r="H637" s="6">
        <v>2008.0</v>
      </c>
      <c r="I637" s="1" t="s">
        <v>918</v>
      </c>
      <c r="J637" s="1" t="s">
        <v>281</v>
      </c>
      <c r="K637" s="1" t="s">
        <v>1009</v>
      </c>
      <c r="M637" s="7">
        <v>2.0E8</v>
      </c>
      <c r="N637" s="7">
        <v>2974287.0</v>
      </c>
      <c r="O637" s="8">
        <v>46112.0</v>
      </c>
      <c r="P637" s="7">
        <v>3.3548839811E8</v>
      </c>
      <c r="Q637" s="7">
        <v>2.081688769301E8</v>
      </c>
      <c r="R637" s="7">
        <v>5109992.66</v>
      </c>
      <c r="S637" s="1" t="s">
        <v>45</v>
      </c>
    </row>
    <row r="638" ht="15.0" customHeight="1">
      <c r="B638" s="6">
        <f t="shared" si="1"/>
        <v>636</v>
      </c>
      <c r="C638" s="1" t="s">
        <v>1029</v>
      </c>
      <c r="D638" s="1" t="s">
        <v>44</v>
      </c>
      <c r="E638" s="1" t="s">
        <v>1029</v>
      </c>
      <c r="F638" s="1" t="s">
        <v>293</v>
      </c>
      <c r="G638" s="1" t="s">
        <v>318</v>
      </c>
      <c r="H638" s="6">
        <v>2008.0</v>
      </c>
      <c r="I638" s="1" t="s">
        <v>918</v>
      </c>
      <c r="J638" s="1" t="s">
        <v>62</v>
      </c>
      <c r="K638" s="1" t="s">
        <v>294</v>
      </c>
      <c r="M638" s="7">
        <v>1.75E8</v>
      </c>
      <c r="N638" s="7">
        <v>0.0</v>
      </c>
      <c r="O638" s="8">
        <v>45356.0</v>
      </c>
      <c r="P638" s="7">
        <v>2.41500769E8</v>
      </c>
      <c r="Q638" s="7">
        <v>1.99271514E8</v>
      </c>
      <c r="R638" s="7">
        <v>0.0</v>
      </c>
      <c r="S638" s="1" t="s">
        <v>52</v>
      </c>
    </row>
    <row r="639" ht="15.0" customHeight="1">
      <c r="B639" s="6">
        <f t="shared" si="1"/>
        <v>637</v>
      </c>
      <c r="C639" s="1" t="s">
        <v>1030</v>
      </c>
      <c r="D639" s="1" t="s">
        <v>44</v>
      </c>
      <c r="E639" s="1" t="s">
        <v>1030</v>
      </c>
      <c r="F639" s="1" t="s">
        <v>941</v>
      </c>
      <c r="G639" s="1" t="s">
        <v>318</v>
      </c>
      <c r="H639" s="6">
        <v>2008.0</v>
      </c>
      <c r="I639" s="1" t="s">
        <v>918</v>
      </c>
      <c r="J639" s="1" t="s">
        <v>281</v>
      </c>
      <c r="K639" s="1" t="s">
        <v>1031</v>
      </c>
      <c r="M639" s="7">
        <v>1.1358333333E8</v>
      </c>
      <c r="N639" s="7">
        <v>0.0</v>
      </c>
      <c r="O639" s="8">
        <v>42277.0</v>
      </c>
      <c r="P639" s="7">
        <v>7.128522241E7</v>
      </c>
      <c r="Q639" s="7">
        <v>1.11853114E8</v>
      </c>
      <c r="R639" s="7">
        <v>0.33</v>
      </c>
      <c r="S639" s="1" t="s">
        <v>52</v>
      </c>
    </row>
    <row r="640" ht="15.0" customHeight="1">
      <c r="B640" s="6">
        <f t="shared" si="1"/>
        <v>638</v>
      </c>
      <c r="C640" s="1" t="s">
        <v>1032</v>
      </c>
      <c r="D640" s="1" t="s">
        <v>44</v>
      </c>
      <c r="E640" s="1" t="s">
        <v>1032</v>
      </c>
      <c r="F640" s="1" t="s">
        <v>1033</v>
      </c>
      <c r="G640" s="1" t="s">
        <v>318</v>
      </c>
      <c r="H640" s="6">
        <v>2008.0</v>
      </c>
      <c r="I640" s="1" t="s">
        <v>918</v>
      </c>
      <c r="J640" s="1" t="s">
        <v>62</v>
      </c>
      <c r="K640" s="1" t="s">
        <v>289</v>
      </c>
      <c r="M640" s="7">
        <v>1.0E8</v>
      </c>
      <c r="N640" s="7">
        <v>0.0</v>
      </c>
      <c r="O640" s="8">
        <v>42352.0</v>
      </c>
      <c r="P640" s="7">
        <v>1.2322889493E8</v>
      </c>
      <c r="Q640" s="7">
        <v>8.16715E7</v>
      </c>
      <c r="R640" s="7">
        <v>0.0</v>
      </c>
      <c r="S640" s="1" t="s">
        <v>52</v>
      </c>
    </row>
    <row r="641" ht="15.0" customHeight="1">
      <c r="B641" s="6">
        <f t="shared" si="1"/>
        <v>639</v>
      </c>
      <c r="C641" s="1" t="s">
        <v>1034</v>
      </c>
      <c r="D641" s="1" t="s">
        <v>44</v>
      </c>
      <c r="E641" s="1" t="s">
        <v>1034</v>
      </c>
      <c r="F641" s="1" t="s">
        <v>542</v>
      </c>
      <c r="G641" s="1" t="s">
        <v>318</v>
      </c>
      <c r="H641" s="6">
        <v>2007.0</v>
      </c>
      <c r="I641" s="1" t="s">
        <v>918</v>
      </c>
      <c r="J641" s="1" t="s">
        <v>281</v>
      </c>
      <c r="K641" s="1" t="s">
        <v>314</v>
      </c>
      <c r="M641" s="7">
        <v>3.09636E8</v>
      </c>
      <c r="N641" s="7">
        <v>0.0</v>
      </c>
      <c r="O641" s="8">
        <v>42277.0</v>
      </c>
      <c r="P641" s="7">
        <v>3.7648484286E8</v>
      </c>
      <c r="Q641" s="7">
        <v>2.99075048E8</v>
      </c>
      <c r="R641" s="7">
        <v>0.0</v>
      </c>
      <c r="S641" s="1" t="s">
        <v>52</v>
      </c>
    </row>
    <row r="642" ht="15.0" customHeight="1">
      <c r="B642" s="6">
        <f t="shared" si="1"/>
        <v>640</v>
      </c>
      <c r="C642" s="1" t="s">
        <v>1035</v>
      </c>
      <c r="D642" s="1" t="s">
        <v>44</v>
      </c>
      <c r="E642" s="1" t="s">
        <v>1035</v>
      </c>
      <c r="F642" s="1" t="s">
        <v>961</v>
      </c>
      <c r="G642" s="1" t="s">
        <v>318</v>
      </c>
      <c r="H642" s="6">
        <v>2009.0</v>
      </c>
      <c r="I642" s="1" t="s">
        <v>918</v>
      </c>
      <c r="J642" s="1" t="s">
        <v>62</v>
      </c>
      <c r="K642" s="1" t="s">
        <v>289</v>
      </c>
      <c r="M642" s="7">
        <v>1.0E8</v>
      </c>
      <c r="N642" s="7">
        <v>0.0</v>
      </c>
      <c r="O642" s="8">
        <v>42277.0</v>
      </c>
      <c r="P642" s="7">
        <v>1.4274132043E8</v>
      </c>
      <c r="Q642" s="7">
        <v>8.91E7</v>
      </c>
      <c r="R642" s="7">
        <v>0.0</v>
      </c>
      <c r="S642" s="1" t="s">
        <v>52</v>
      </c>
    </row>
    <row r="643" ht="15.0" customHeight="1">
      <c r="B643" s="6">
        <f t="shared" si="1"/>
        <v>641</v>
      </c>
      <c r="C643" s="1" t="s">
        <v>1036</v>
      </c>
      <c r="D643" s="1" t="s">
        <v>44</v>
      </c>
      <c r="E643" s="1" t="s">
        <v>1036</v>
      </c>
      <c r="F643" s="1" t="s">
        <v>279</v>
      </c>
      <c r="G643" s="1" t="s">
        <v>318</v>
      </c>
      <c r="H643" s="6">
        <v>2005.0</v>
      </c>
      <c r="I643" s="1" t="s">
        <v>918</v>
      </c>
      <c r="J643" s="1" t="s">
        <v>281</v>
      </c>
      <c r="K643" s="1" t="s">
        <v>282</v>
      </c>
      <c r="M643" s="7">
        <v>2.03125E7</v>
      </c>
      <c r="N643" s="7">
        <v>0.0</v>
      </c>
      <c r="O643" s="8">
        <v>41904.0</v>
      </c>
      <c r="P643" s="7">
        <v>4.062499997E7</v>
      </c>
      <c r="Q643" s="7">
        <v>2.03125E7</v>
      </c>
      <c r="R643" s="7">
        <v>0.0</v>
      </c>
      <c r="S643" s="1" t="s">
        <v>52</v>
      </c>
    </row>
    <row r="644" ht="15.0" customHeight="1">
      <c r="B644" s="6">
        <f t="shared" si="1"/>
        <v>642</v>
      </c>
      <c r="C644" s="1" t="s">
        <v>1037</v>
      </c>
      <c r="D644" s="1" t="s">
        <v>44</v>
      </c>
      <c r="E644" s="1" t="s">
        <v>1037</v>
      </c>
      <c r="F644" s="1" t="s">
        <v>297</v>
      </c>
      <c r="G644" s="1" t="s">
        <v>318</v>
      </c>
      <c r="H644" s="6">
        <v>2011.0</v>
      </c>
      <c r="I644" s="1" t="s">
        <v>918</v>
      </c>
      <c r="J644" s="1" t="s">
        <v>62</v>
      </c>
      <c r="K644" s="1" t="s">
        <v>289</v>
      </c>
      <c r="M644" s="7">
        <v>1.0E8</v>
      </c>
      <c r="N644" s="7">
        <v>0.0</v>
      </c>
      <c r="O644" s="8">
        <v>45761.0</v>
      </c>
      <c r="P644" s="7">
        <v>2.4452148739E8</v>
      </c>
      <c r="Q644" s="7">
        <v>1.0656000001E8</v>
      </c>
      <c r="R644" s="7">
        <v>-0.01</v>
      </c>
      <c r="S644" s="1" t="s">
        <v>52</v>
      </c>
    </row>
    <row r="645" ht="15.0" customHeight="1">
      <c r="B645" s="6">
        <f t="shared" si="1"/>
        <v>643</v>
      </c>
      <c r="C645" s="1" t="s">
        <v>1038</v>
      </c>
      <c r="D645" s="1" t="s">
        <v>44</v>
      </c>
      <c r="E645" s="1" t="s">
        <v>1038</v>
      </c>
      <c r="F645" s="1" t="s">
        <v>37</v>
      </c>
      <c r="G645" s="1" t="s">
        <v>318</v>
      </c>
      <c r="H645" s="6">
        <v>2011.0</v>
      </c>
      <c r="I645" s="1" t="s">
        <v>918</v>
      </c>
      <c r="J645" s="1" t="s">
        <v>281</v>
      </c>
      <c r="K645" s="1" t="s">
        <v>314</v>
      </c>
      <c r="M645" s="7">
        <v>3.0E8</v>
      </c>
      <c r="N645" s="7">
        <v>2.2694448E7</v>
      </c>
      <c r="O645" s="8">
        <v>46112.0</v>
      </c>
      <c r="P645" s="7">
        <v>6.2352470132E8</v>
      </c>
      <c r="Q645" s="7">
        <v>3.9746999219E8</v>
      </c>
      <c r="R645" s="7">
        <v>1.893591945E7</v>
      </c>
      <c r="S645" s="1" t="s">
        <v>52</v>
      </c>
    </row>
    <row r="646" ht="15.0" customHeight="1">
      <c r="B646" s="6">
        <f t="shared" si="1"/>
        <v>644</v>
      </c>
      <c r="C646" s="1" t="s">
        <v>1039</v>
      </c>
      <c r="D646" s="1" t="s">
        <v>44</v>
      </c>
      <c r="E646" s="1" t="s">
        <v>1039</v>
      </c>
      <c r="F646" s="1" t="s">
        <v>97</v>
      </c>
      <c r="G646" s="1" t="s">
        <v>318</v>
      </c>
      <c r="H646" s="6">
        <v>2010.0</v>
      </c>
      <c r="I646" s="1" t="s">
        <v>918</v>
      </c>
      <c r="J646" s="1" t="s">
        <v>281</v>
      </c>
      <c r="K646" s="1" t="s">
        <v>282</v>
      </c>
      <c r="M646" s="7">
        <v>2.0E8</v>
      </c>
      <c r="N646" s="7">
        <v>1.3700591E7</v>
      </c>
      <c r="O646" s="8">
        <v>46112.0</v>
      </c>
      <c r="P646" s="7">
        <v>2.9187662403E8</v>
      </c>
      <c r="Q646" s="7">
        <v>1.951111013E8</v>
      </c>
      <c r="R646" s="7">
        <v>8547008.74</v>
      </c>
      <c r="S646" s="1" t="s">
        <v>52</v>
      </c>
    </row>
    <row r="647" ht="15.0" customHeight="1">
      <c r="B647" s="6">
        <f t="shared" si="1"/>
        <v>645</v>
      </c>
      <c r="C647" s="1" t="s">
        <v>1040</v>
      </c>
      <c r="D647" s="1" t="s">
        <v>44</v>
      </c>
      <c r="E647" s="1" t="s">
        <v>1040</v>
      </c>
      <c r="F647" s="1" t="s">
        <v>305</v>
      </c>
      <c r="G647" s="1" t="s">
        <v>318</v>
      </c>
      <c r="H647" s="6">
        <v>2012.0</v>
      </c>
      <c r="I647" s="1" t="s">
        <v>918</v>
      </c>
      <c r="J647" s="1" t="s">
        <v>62</v>
      </c>
      <c r="K647" s="1" t="s">
        <v>289</v>
      </c>
      <c r="M647" s="7">
        <v>1.0E8</v>
      </c>
      <c r="N647" s="7">
        <v>7621222.0</v>
      </c>
      <c r="O647" s="8">
        <v>46112.0</v>
      </c>
      <c r="P647" s="7">
        <v>6.8738241E7</v>
      </c>
      <c r="Q647" s="7">
        <v>6.172663329E7</v>
      </c>
      <c r="R647" s="7">
        <v>0.0</v>
      </c>
      <c r="S647" s="1" t="s">
        <v>52</v>
      </c>
    </row>
    <row r="648" ht="15.0" customHeight="1">
      <c r="B648" s="6">
        <f t="shared" si="1"/>
        <v>646</v>
      </c>
      <c r="C648" s="1" t="s">
        <v>1041</v>
      </c>
      <c r="D648" s="1" t="s">
        <v>44</v>
      </c>
      <c r="E648" s="1" t="s">
        <v>1041</v>
      </c>
      <c r="F648" s="1" t="s">
        <v>971</v>
      </c>
      <c r="G648" s="1" t="s">
        <v>318</v>
      </c>
      <c r="H648" s="6">
        <v>2011.0</v>
      </c>
      <c r="I648" s="1" t="s">
        <v>918</v>
      </c>
      <c r="J648" s="1" t="s">
        <v>62</v>
      </c>
      <c r="K648" s="1" t="s">
        <v>289</v>
      </c>
      <c r="M648" s="7">
        <v>1.0E8</v>
      </c>
      <c r="N648" s="7">
        <v>0.0</v>
      </c>
      <c r="O648" s="8">
        <v>44554.0</v>
      </c>
      <c r="P648" s="7">
        <v>1.5764047162E8</v>
      </c>
      <c r="Q648" s="7">
        <v>8.838080242E7</v>
      </c>
      <c r="R648" s="7">
        <v>-0.13</v>
      </c>
      <c r="S648" s="1" t="s">
        <v>52</v>
      </c>
    </row>
    <row r="649" ht="15.0" customHeight="1">
      <c r="B649" s="6">
        <f t="shared" si="1"/>
        <v>647</v>
      </c>
      <c r="C649" s="1" t="s">
        <v>1042</v>
      </c>
      <c r="D649" s="1" t="s">
        <v>44</v>
      </c>
      <c r="E649" s="1" t="s">
        <v>1042</v>
      </c>
      <c r="F649" s="1" t="s">
        <v>332</v>
      </c>
      <c r="G649" s="1" t="s">
        <v>318</v>
      </c>
      <c r="H649" s="6">
        <v>2012.0</v>
      </c>
      <c r="I649" s="1" t="s">
        <v>918</v>
      </c>
      <c r="J649" s="1" t="s">
        <v>54</v>
      </c>
      <c r="K649" s="1" t="s">
        <v>286</v>
      </c>
      <c r="M649" s="7">
        <v>7.5E7</v>
      </c>
      <c r="N649" s="7">
        <v>0.0</v>
      </c>
      <c r="O649" s="8">
        <v>45611.0</v>
      </c>
      <c r="P649" s="7">
        <v>1.15331979E8</v>
      </c>
      <c r="Q649" s="7">
        <v>6.9702797E7</v>
      </c>
      <c r="R649" s="7">
        <v>0.0</v>
      </c>
      <c r="S649" s="1" t="s">
        <v>52</v>
      </c>
    </row>
    <row r="650" ht="15.0" customHeight="1">
      <c r="B650" s="6">
        <f t="shared" si="1"/>
        <v>648</v>
      </c>
      <c r="C650" s="1" t="s">
        <v>1043</v>
      </c>
      <c r="D650" s="1" t="s">
        <v>44</v>
      </c>
      <c r="E650" s="1" t="s">
        <v>1043</v>
      </c>
      <c r="F650" s="1" t="s">
        <v>185</v>
      </c>
      <c r="G650" s="1" t="s">
        <v>318</v>
      </c>
      <c r="H650" s="6">
        <v>2012.0</v>
      </c>
      <c r="I650" s="1" t="s">
        <v>918</v>
      </c>
      <c r="J650" s="1" t="s">
        <v>62</v>
      </c>
      <c r="K650" s="1" t="s">
        <v>289</v>
      </c>
      <c r="M650" s="7">
        <v>7.5E7</v>
      </c>
      <c r="N650" s="7">
        <v>0.0</v>
      </c>
      <c r="O650" s="8">
        <v>44926.0</v>
      </c>
      <c r="P650" s="7">
        <v>1.5131107458E8</v>
      </c>
      <c r="Q650" s="7">
        <v>7.353935549E7</v>
      </c>
      <c r="R650" s="7">
        <v>0.0</v>
      </c>
      <c r="S650" s="1" t="s">
        <v>52</v>
      </c>
    </row>
    <row r="651" ht="15.0" customHeight="1">
      <c r="B651" s="6">
        <f t="shared" si="1"/>
        <v>649</v>
      </c>
      <c r="C651" s="1" t="s">
        <v>1044</v>
      </c>
      <c r="D651" s="1" t="s">
        <v>44</v>
      </c>
      <c r="E651" s="1" t="s">
        <v>1044</v>
      </c>
      <c r="F651" s="1" t="s">
        <v>291</v>
      </c>
      <c r="G651" s="1" t="s">
        <v>318</v>
      </c>
      <c r="H651" s="6">
        <v>2011.0</v>
      </c>
      <c r="I651" s="1" t="s">
        <v>918</v>
      </c>
      <c r="J651" s="1" t="s">
        <v>62</v>
      </c>
      <c r="K651" s="1" t="s">
        <v>289</v>
      </c>
      <c r="M651" s="7">
        <v>7.5E7</v>
      </c>
      <c r="N651" s="7">
        <v>0.0</v>
      </c>
      <c r="O651" s="8">
        <v>44736.0</v>
      </c>
      <c r="P651" s="7">
        <v>1.4093630577E8</v>
      </c>
      <c r="Q651" s="7">
        <v>7.271062754E7</v>
      </c>
      <c r="R651" s="7">
        <v>0.0</v>
      </c>
      <c r="S651" s="1" t="s">
        <v>52</v>
      </c>
    </row>
    <row r="652" ht="15.0" customHeight="1">
      <c r="B652" s="6">
        <f t="shared" si="1"/>
        <v>650</v>
      </c>
      <c r="C652" s="1" t="s">
        <v>1045</v>
      </c>
      <c r="D652" s="1" t="s">
        <v>44</v>
      </c>
      <c r="E652" s="1" t="s">
        <v>1045</v>
      </c>
      <c r="F652" s="1" t="s">
        <v>64</v>
      </c>
      <c r="G652" s="1" t="s">
        <v>318</v>
      </c>
      <c r="H652" s="6">
        <v>2012.0</v>
      </c>
      <c r="I652" s="1" t="s">
        <v>918</v>
      </c>
      <c r="J652" s="1" t="s">
        <v>281</v>
      </c>
      <c r="K652" s="1" t="s">
        <v>314</v>
      </c>
      <c r="M652" s="7">
        <v>2.0E8</v>
      </c>
      <c r="N652" s="7">
        <v>990453.0</v>
      </c>
      <c r="O652" s="8">
        <v>46112.0</v>
      </c>
      <c r="P652" s="7">
        <v>4.53008333E8</v>
      </c>
      <c r="Q652" s="7">
        <v>2.4365418E8</v>
      </c>
      <c r="R652" s="7">
        <v>1.940957E7</v>
      </c>
      <c r="S652" s="1" t="s">
        <v>52</v>
      </c>
    </row>
    <row r="653" ht="15.0" customHeight="1">
      <c r="B653" s="6">
        <f t="shared" si="1"/>
        <v>651</v>
      </c>
      <c r="C653" s="1" t="s">
        <v>1046</v>
      </c>
      <c r="D653" s="1" t="s">
        <v>44</v>
      </c>
      <c r="E653" s="1" t="s">
        <v>1046</v>
      </c>
      <c r="F653" s="1" t="s">
        <v>400</v>
      </c>
      <c r="G653" s="1" t="s">
        <v>318</v>
      </c>
      <c r="H653" s="6">
        <v>2013.0</v>
      </c>
      <c r="I653" s="1" t="s">
        <v>918</v>
      </c>
      <c r="J653" s="1" t="s">
        <v>62</v>
      </c>
      <c r="K653" s="1" t="s">
        <v>401</v>
      </c>
      <c r="M653" s="7">
        <v>7.5E7</v>
      </c>
      <c r="N653" s="7">
        <v>0.0</v>
      </c>
      <c r="O653" s="8">
        <v>45565.0</v>
      </c>
      <c r="P653" s="7">
        <v>1.0787700556E8</v>
      </c>
      <c r="Q653" s="7">
        <v>6.934573317E7</v>
      </c>
      <c r="R653" s="7">
        <v>0.0</v>
      </c>
      <c r="S653" s="1" t="s">
        <v>52</v>
      </c>
    </row>
    <row r="654" ht="15.0" customHeight="1">
      <c r="B654" s="6">
        <f t="shared" si="1"/>
        <v>652</v>
      </c>
      <c r="C654" s="1" t="s">
        <v>1047</v>
      </c>
      <c r="D654" s="1" t="s">
        <v>44</v>
      </c>
      <c r="E654" s="1" t="s">
        <v>1047</v>
      </c>
      <c r="F654" s="1" t="s">
        <v>293</v>
      </c>
      <c r="G654" s="1" t="s">
        <v>318</v>
      </c>
      <c r="H654" s="6">
        <v>2013.0</v>
      </c>
      <c r="I654" s="1" t="s">
        <v>918</v>
      </c>
      <c r="J654" s="1" t="s">
        <v>62</v>
      </c>
      <c r="K654" s="1" t="s">
        <v>294</v>
      </c>
      <c r="M654" s="7">
        <v>7.5E7</v>
      </c>
      <c r="N654" s="7">
        <v>0.0</v>
      </c>
      <c r="O654" s="8">
        <v>44196.0</v>
      </c>
      <c r="P654" s="7">
        <v>8.4312251E7</v>
      </c>
      <c r="Q654" s="7">
        <v>5.7313036E7</v>
      </c>
      <c r="R654" s="7">
        <v>0.0</v>
      </c>
      <c r="S654" s="1" t="s">
        <v>52</v>
      </c>
    </row>
    <row r="655" ht="15.0" customHeight="1">
      <c r="B655" s="6">
        <f t="shared" si="1"/>
        <v>653</v>
      </c>
      <c r="C655" s="1" t="s">
        <v>1048</v>
      </c>
      <c r="D655" s="1" t="s">
        <v>44</v>
      </c>
      <c r="E655" s="1" t="s">
        <v>1048</v>
      </c>
      <c r="F655" s="1" t="s">
        <v>279</v>
      </c>
      <c r="G655" s="1" t="s">
        <v>318</v>
      </c>
      <c r="H655" s="6">
        <v>2013.0</v>
      </c>
      <c r="I655" s="1" t="s">
        <v>918</v>
      </c>
      <c r="J655" s="1" t="s">
        <v>281</v>
      </c>
      <c r="K655" s="1" t="s">
        <v>282</v>
      </c>
      <c r="M655" s="7">
        <v>4.987E7</v>
      </c>
      <c r="N655" s="7">
        <v>0.0</v>
      </c>
      <c r="O655" s="8">
        <v>42598.0</v>
      </c>
      <c r="P655" s="7">
        <v>9.446607609E7</v>
      </c>
      <c r="Q655" s="7">
        <v>4.987E7</v>
      </c>
      <c r="R655" s="7">
        <v>0.0</v>
      </c>
      <c r="S655" s="1" t="s">
        <v>52</v>
      </c>
    </row>
    <row r="656" ht="15.0" customHeight="1">
      <c r="B656" s="6">
        <f t="shared" si="1"/>
        <v>654</v>
      </c>
      <c r="C656" s="1" t="s">
        <v>1049</v>
      </c>
      <c r="D656" s="1" t="s">
        <v>44</v>
      </c>
      <c r="E656" s="1" t="s">
        <v>1049</v>
      </c>
      <c r="F656" s="1" t="s">
        <v>981</v>
      </c>
      <c r="G656" s="1" t="s">
        <v>318</v>
      </c>
      <c r="H656" s="6">
        <v>2012.0</v>
      </c>
      <c r="I656" s="1" t="s">
        <v>918</v>
      </c>
      <c r="J656" s="1" t="s">
        <v>62</v>
      </c>
      <c r="K656" s="1" t="s">
        <v>289</v>
      </c>
      <c r="M656" s="7">
        <v>7.5E7</v>
      </c>
      <c r="N656" s="7">
        <v>0.0</v>
      </c>
      <c r="O656" s="8">
        <v>44104.0</v>
      </c>
      <c r="P656" s="7">
        <v>1.4408256894E8</v>
      </c>
      <c r="Q656" s="7">
        <v>7.5E7</v>
      </c>
      <c r="R656" s="7">
        <v>0.0</v>
      </c>
      <c r="S656" s="1" t="s">
        <v>52</v>
      </c>
    </row>
    <row r="657" ht="15.0" customHeight="1">
      <c r="B657" s="6">
        <f t="shared" si="1"/>
        <v>655</v>
      </c>
      <c r="C657" s="1" t="s">
        <v>1050</v>
      </c>
      <c r="D657" s="1" t="s">
        <v>44</v>
      </c>
      <c r="E657" s="1" t="s">
        <v>1050</v>
      </c>
      <c r="F657" s="1" t="s">
        <v>37</v>
      </c>
      <c r="G657" s="1" t="s">
        <v>318</v>
      </c>
      <c r="H657" s="6">
        <v>2013.0</v>
      </c>
      <c r="I657" s="1" t="s">
        <v>918</v>
      </c>
      <c r="J657" s="1" t="s">
        <v>62</v>
      </c>
      <c r="K657" s="1" t="s">
        <v>401</v>
      </c>
      <c r="M657" s="7">
        <v>1.0E8</v>
      </c>
      <c r="N657" s="7">
        <v>0.0</v>
      </c>
      <c r="O657" s="8">
        <v>45808.0</v>
      </c>
      <c r="P657" s="7">
        <v>1.1922297058E8</v>
      </c>
      <c r="Q657" s="7">
        <v>1.0158364484E8</v>
      </c>
      <c r="R657" s="7">
        <v>0.16</v>
      </c>
      <c r="S657" s="1" t="s">
        <v>52</v>
      </c>
    </row>
    <row r="658" ht="15.0" customHeight="1">
      <c r="B658" s="6">
        <f t="shared" si="1"/>
        <v>656</v>
      </c>
      <c r="C658" s="1" t="s">
        <v>1051</v>
      </c>
      <c r="D658" s="1" t="s">
        <v>44</v>
      </c>
      <c r="E658" s="1" t="s">
        <v>1051</v>
      </c>
      <c r="F658" s="1" t="s">
        <v>1033</v>
      </c>
      <c r="G658" s="1" t="s">
        <v>318</v>
      </c>
      <c r="H658" s="6">
        <v>2013.0</v>
      </c>
      <c r="I658" s="1" t="s">
        <v>918</v>
      </c>
      <c r="J658" s="1" t="s">
        <v>62</v>
      </c>
      <c r="K658" s="1" t="s">
        <v>289</v>
      </c>
      <c r="M658" s="7">
        <v>7.5E7</v>
      </c>
      <c r="N658" s="7">
        <v>0.0</v>
      </c>
      <c r="O658" s="8">
        <v>43813.0</v>
      </c>
      <c r="P658" s="7">
        <v>1.1704785518E8</v>
      </c>
      <c r="Q658" s="7">
        <v>7.26825E7</v>
      </c>
      <c r="R658" s="7">
        <v>0.0</v>
      </c>
      <c r="S658" s="1" t="s">
        <v>52</v>
      </c>
    </row>
    <row r="659" ht="15.0" customHeight="1">
      <c r="B659" s="6">
        <f t="shared" si="1"/>
        <v>657</v>
      </c>
      <c r="C659" s="1" t="s">
        <v>1052</v>
      </c>
      <c r="D659" s="1" t="s">
        <v>44</v>
      </c>
      <c r="E659" s="1" t="s">
        <v>1052</v>
      </c>
      <c r="F659" s="1" t="s">
        <v>288</v>
      </c>
      <c r="G659" s="1" t="s">
        <v>318</v>
      </c>
      <c r="H659" s="6">
        <v>2013.0</v>
      </c>
      <c r="I659" s="1" t="s">
        <v>918</v>
      </c>
      <c r="J659" s="1" t="s">
        <v>62</v>
      </c>
      <c r="K659" s="1" t="s">
        <v>289</v>
      </c>
      <c r="M659" s="7">
        <v>1.0E8</v>
      </c>
      <c r="N659" s="7">
        <v>172155.0</v>
      </c>
      <c r="O659" s="8">
        <v>46112.0</v>
      </c>
      <c r="P659" s="7">
        <v>5.346164448E7</v>
      </c>
      <c r="Q659" s="7">
        <v>4.805192014E7</v>
      </c>
      <c r="R659" s="7">
        <v>-0.13</v>
      </c>
      <c r="S659" s="1" t="s">
        <v>52</v>
      </c>
    </row>
    <row r="660" ht="15.0" customHeight="1">
      <c r="B660" s="6">
        <f t="shared" si="1"/>
        <v>658</v>
      </c>
      <c r="C660" s="1" t="s">
        <v>1053</v>
      </c>
      <c r="D660" s="1" t="s">
        <v>44</v>
      </c>
      <c r="E660" s="1" t="s">
        <v>1053</v>
      </c>
      <c r="F660" s="1" t="s">
        <v>413</v>
      </c>
      <c r="G660" s="1" t="s">
        <v>318</v>
      </c>
      <c r="H660" s="6">
        <v>2013.0</v>
      </c>
      <c r="I660" s="1" t="s">
        <v>918</v>
      </c>
      <c r="J660" s="1" t="s">
        <v>62</v>
      </c>
      <c r="K660" s="1" t="s">
        <v>289</v>
      </c>
      <c r="M660" s="7">
        <v>7.5E7</v>
      </c>
      <c r="N660" s="7">
        <v>2472175.0</v>
      </c>
      <c r="O660" s="8">
        <v>46112.0</v>
      </c>
      <c r="P660" s="7">
        <v>1.21830617E8</v>
      </c>
      <c r="Q660" s="7">
        <v>7.096070755E7</v>
      </c>
      <c r="R660" s="7">
        <v>3680367.0</v>
      </c>
      <c r="S660" s="1" t="s">
        <v>52</v>
      </c>
    </row>
    <row r="661" ht="15.0" customHeight="1">
      <c r="B661" s="6">
        <f t="shared" si="1"/>
        <v>659</v>
      </c>
      <c r="C661" s="1" t="s">
        <v>1054</v>
      </c>
      <c r="D661" s="1" t="s">
        <v>44</v>
      </c>
      <c r="E661" s="1" t="s">
        <v>1054</v>
      </c>
      <c r="F661" s="1" t="s">
        <v>291</v>
      </c>
      <c r="G661" s="1" t="s">
        <v>318</v>
      </c>
      <c r="H661" s="6">
        <v>2013.0</v>
      </c>
      <c r="I661" s="1" t="s">
        <v>918</v>
      </c>
      <c r="J661" s="1" t="s">
        <v>62</v>
      </c>
      <c r="K661" s="1" t="s">
        <v>289</v>
      </c>
      <c r="M661" s="7">
        <v>7.5E7</v>
      </c>
      <c r="N661" s="7">
        <v>0.0</v>
      </c>
      <c r="O661" s="8">
        <v>45104.0</v>
      </c>
      <c r="P661" s="7">
        <v>1.600871948E8</v>
      </c>
      <c r="Q661" s="7">
        <v>7.237817878E7</v>
      </c>
      <c r="R661" s="7">
        <v>0.0</v>
      </c>
      <c r="S661" s="1" t="s">
        <v>52</v>
      </c>
    </row>
    <row r="662" ht="15.0" customHeight="1">
      <c r="B662" s="6">
        <f t="shared" si="1"/>
        <v>660</v>
      </c>
      <c r="C662" s="1" t="s">
        <v>1055</v>
      </c>
      <c r="D662" s="1" t="s">
        <v>44</v>
      </c>
      <c r="E662" s="1" t="s">
        <v>1055</v>
      </c>
      <c r="F662" s="1" t="s">
        <v>185</v>
      </c>
      <c r="G662" s="1" t="s">
        <v>318</v>
      </c>
      <c r="H662" s="6">
        <v>2014.0</v>
      </c>
      <c r="I662" s="1" t="s">
        <v>918</v>
      </c>
      <c r="J662" s="1" t="s">
        <v>62</v>
      </c>
      <c r="K662" s="1" t="s">
        <v>289</v>
      </c>
      <c r="M662" s="7">
        <v>7.5E7</v>
      </c>
      <c r="N662" s="7">
        <v>0.0</v>
      </c>
      <c r="O662" s="8">
        <v>45382.0</v>
      </c>
      <c r="P662" s="7">
        <v>1.6112800062E8</v>
      </c>
      <c r="Q662" s="7">
        <v>7.274863554E7</v>
      </c>
      <c r="R662" s="7">
        <v>0.0</v>
      </c>
      <c r="S662" s="1" t="s">
        <v>52</v>
      </c>
    </row>
    <row r="663" ht="15.0" customHeight="1">
      <c r="B663" s="6">
        <f t="shared" si="1"/>
        <v>661</v>
      </c>
      <c r="C663" s="1" t="s">
        <v>1056</v>
      </c>
      <c r="D663" s="1" t="s">
        <v>44</v>
      </c>
      <c r="E663" s="1" t="s">
        <v>1056</v>
      </c>
      <c r="F663" s="1" t="s">
        <v>297</v>
      </c>
      <c r="G663" s="1" t="s">
        <v>318</v>
      </c>
      <c r="H663" s="6">
        <v>2013.0</v>
      </c>
      <c r="I663" s="1" t="s">
        <v>918</v>
      </c>
      <c r="J663" s="1" t="s">
        <v>62</v>
      </c>
      <c r="K663" s="1" t="s">
        <v>289</v>
      </c>
      <c r="M663" s="7">
        <v>1.0E8</v>
      </c>
      <c r="N663" s="7">
        <v>3389050.0</v>
      </c>
      <c r="O663" s="8">
        <v>46112.0</v>
      </c>
      <c r="P663" s="7">
        <v>1.15933088E8</v>
      </c>
      <c r="Q663" s="7">
        <v>1.03504281E8</v>
      </c>
      <c r="R663" s="7">
        <v>2074074.0</v>
      </c>
      <c r="S663" s="1" t="s">
        <v>52</v>
      </c>
    </row>
    <row r="664" ht="15.0" customHeight="1">
      <c r="B664" s="6">
        <f t="shared" si="1"/>
        <v>662</v>
      </c>
      <c r="C664" s="1" t="s">
        <v>1057</v>
      </c>
      <c r="D664" s="1" t="s">
        <v>44</v>
      </c>
      <c r="E664" s="1" t="s">
        <v>1057</v>
      </c>
      <c r="F664" s="1" t="s">
        <v>37</v>
      </c>
      <c r="G664" s="1" t="s">
        <v>318</v>
      </c>
      <c r="H664" s="6">
        <v>2013.0</v>
      </c>
      <c r="I664" s="1" t="s">
        <v>918</v>
      </c>
      <c r="J664" s="1" t="s">
        <v>281</v>
      </c>
      <c r="K664" s="1" t="s">
        <v>1009</v>
      </c>
      <c r="M664" s="7">
        <v>1.0E8</v>
      </c>
      <c r="N664" s="7">
        <v>1.0824124E7</v>
      </c>
      <c r="O664" s="8">
        <v>46112.0</v>
      </c>
      <c r="P664" s="7">
        <v>1.3017933758E8</v>
      </c>
      <c r="Q664" s="7">
        <v>1.0271023997E8</v>
      </c>
      <c r="R664" s="7">
        <v>8288228.91</v>
      </c>
      <c r="S664" s="1" t="s">
        <v>52</v>
      </c>
    </row>
    <row r="665" ht="15.0" customHeight="1">
      <c r="B665" s="6">
        <f t="shared" si="1"/>
        <v>663</v>
      </c>
      <c r="C665" s="1" t="s">
        <v>1058</v>
      </c>
      <c r="D665" s="1" t="s">
        <v>44</v>
      </c>
      <c r="E665" s="1" t="s">
        <v>1058</v>
      </c>
      <c r="F665" s="1" t="s">
        <v>97</v>
      </c>
      <c r="G665" s="1" t="s">
        <v>318</v>
      </c>
      <c r="H665" s="6">
        <v>2014.0</v>
      </c>
      <c r="I665" s="1" t="s">
        <v>918</v>
      </c>
      <c r="J665" s="1" t="s">
        <v>281</v>
      </c>
      <c r="K665" s="1" t="s">
        <v>282</v>
      </c>
      <c r="M665" s="7">
        <v>1.0E8</v>
      </c>
      <c r="N665" s="7">
        <v>1.4458245E7</v>
      </c>
      <c r="O665" s="8">
        <v>46112.0</v>
      </c>
      <c r="P665" s="7">
        <v>1.16441084E8</v>
      </c>
      <c r="Q665" s="7">
        <v>9.728827201E7</v>
      </c>
      <c r="R665" s="7">
        <v>2.883493799E7</v>
      </c>
      <c r="S665" s="1" t="s">
        <v>52</v>
      </c>
    </row>
    <row r="666" ht="15.0" customHeight="1">
      <c r="B666" s="6">
        <f t="shared" si="1"/>
        <v>664</v>
      </c>
      <c r="C666" s="1" t="s">
        <v>1059</v>
      </c>
      <c r="D666" s="1" t="s">
        <v>44</v>
      </c>
      <c r="E666" s="1" t="s">
        <v>1059</v>
      </c>
      <c r="F666" s="1" t="s">
        <v>413</v>
      </c>
      <c r="G666" s="1" t="s">
        <v>318</v>
      </c>
      <c r="H666" s="6">
        <v>2013.0</v>
      </c>
      <c r="I666" s="1" t="s">
        <v>918</v>
      </c>
      <c r="J666" s="1" t="s">
        <v>281</v>
      </c>
      <c r="K666" s="1" t="s">
        <v>1009</v>
      </c>
      <c r="M666" s="7">
        <v>1.0E8</v>
      </c>
      <c r="N666" s="7">
        <v>4022980.0</v>
      </c>
      <c r="O666" s="8">
        <v>46112.0</v>
      </c>
      <c r="P666" s="7">
        <v>1.3071560004E8</v>
      </c>
      <c r="Q666" s="7">
        <v>9.819352569E7</v>
      </c>
      <c r="R666" s="7">
        <v>8023358.26</v>
      </c>
      <c r="S666" s="1" t="s">
        <v>52</v>
      </c>
    </row>
    <row r="667" ht="15.0" customHeight="1">
      <c r="B667" s="6">
        <f t="shared" si="1"/>
        <v>665</v>
      </c>
      <c r="C667" s="1" t="s">
        <v>1060</v>
      </c>
      <c r="D667" s="1" t="s">
        <v>44</v>
      </c>
      <c r="E667" s="1" t="s">
        <v>1060</v>
      </c>
      <c r="F667" s="1" t="s">
        <v>305</v>
      </c>
      <c r="G667" s="1" t="s">
        <v>318</v>
      </c>
      <c r="H667" s="6">
        <v>2015.0</v>
      </c>
      <c r="I667" s="1" t="s">
        <v>918</v>
      </c>
      <c r="J667" s="1" t="s">
        <v>62</v>
      </c>
      <c r="K667" s="1" t="s">
        <v>289</v>
      </c>
      <c r="M667" s="7">
        <v>1.0E8</v>
      </c>
      <c r="N667" s="7">
        <v>5.583066E7</v>
      </c>
      <c r="O667" s="8">
        <v>46112.0</v>
      </c>
      <c r="P667" s="7">
        <v>1.2661278E8</v>
      </c>
      <c r="Q667" s="7">
        <v>9.813715559E7</v>
      </c>
      <c r="R667" s="7">
        <v>1.3504042E7</v>
      </c>
      <c r="S667" s="1" t="s">
        <v>52</v>
      </c>
    </row>
    <row r="668" ht="15.0" customHeight="1">
      <c r="B668" s="6">
        <f t="shared" si="1"/>
        <v>666</v>
      </c>
      <c r="C668" s="1" t="s">
        <v>1061</v>
      </c>
      <c r="D668" s="1" t="s">
        <v>44</v>
      </c>
      <c r="E668" s="1" t="s">
        <v>1061</v>
      </c>
      <c r="F668" s="1" t="s">
        <v>332</v>
      </c>
      <c r="G668" s="1" t="s">
        <v>318</v>
      </c>
      <c r="H668" s="6">
        <v>2014.0</v>
      </c>
      <c r="I668" s="1" t="s">
        <v>918</v>
      </c>
      <c r="J668" s="1" t="s">
        <v>54</v>
      </c>
      <c r="K668" s="1" t="s">
        <v>286</v>
      </c>
      <c r="M668" s="7">
        <v>1.0E8</v>
      </c>
      <c r="N668" s="7">
        <v>2.3911371E7</v>
      </c>
      <c r="O668" s="8">
        <v>46112.0</v>
      </c>
      <c r="P668" s="7">
        <v>8.4937397E7</v>
      </c>
      <c r="Q668" s="7">
        <v>9.4906362E7</v>
      </c>
      <c r="R668" s="7">
        <v>8732500.0</v>
      </c>
      <c r="S668" s="1" t="s">
        <v>52</v>
      </c>
    </row>
    <row r="669" ht="15.0" customHeight="1">
      <c r="B669" s="6">
        <f t="shared" si="1"/>
        <v>667</v>
      </c>
      <c r="C669" s="1" t="s">
        <v>1062</v>
      </c>
      <c r="D669" s="1" t="s">
        <v>44</v>
      </c>
      <c r="E669" s="1" t="s">
        <v>1062</v>
      </c>
      <c r="F669" s="1" t="s">
        <v>971</v>
      </c>
      <c r="G669" s="1" t="s">
        <v>318</v>
      </c>
      <c r="H669" s="6">
        <v>2015.0</v>
      </c>
      <c r="I669" s="1" t="s">
        <v>918</v>
      </c>
      <c r="J669" s="1" t="s">
        <v>62</v>
      </c>
      <c r="K669" s="1" t="s">
        <v>289</v>
      </c>
      <c r="M669" s="7">
        <v>1.0E8</v>
      </c>
      <c r="N669" s="7">
        <v>5.498937692E7</v>
      </c>
      <c r="O669" s="8">
        <v>46112.0</v>
      </c>
      <c r="P669" s="7">
        <v>5.91159168E7</v>
      </c>
      <c r="Q669" s="7">
        <v>8.266534321E7</v>
      </c>
      <c r="R669" s="7">
        <v>9180383.38</v>
      </c>
      <c r="S669" s="1" t="s">
        <v>52</v>
      </c>
    </row>
    <row r="670" ht="15.0" customHeight="1">
      <c r="B670" s="6">
        <f t="shared" si="1"/>
        <v>668</v>
      </c>
      <c r="C670" s="1" t="s">
        <v>1063</v>
      </c>
      <c r="D670" s="1" t="s">
        <v>44</v>
      </c>
      <c r="E670" s="1" t="s">
        <v>1063</v>
      </c>
      <c r="F670" s="1" t="s">
        <v>1033</v>
      </c>
      <c r="G670" s="1" t="s">
        <v>318</v>
      </c>
      <c r="H670" s="6">
        <v>2014.0</v>
      </c>
      <c r="I670" s="1" t="s">
        <v>918</v>
      </c>
      <c r="J670" s="1" t="s">
        <v>54</v>
      </c>
      <c r="K670" s="1" t="s">
        <v>286</v>
      </c>
      <c r="M670" s="7">
        <v>1.5E8</v>
      </c>
      <c r="N670" s="7">
        <v>0.0</v>
      </c>
      <c r="O670" s="8">
        <v>44547.0</v>
      </c>
      <c r="P670" s="7">
        <v>2.4320969295E8</v>
      </c>
      <c r="Q670" s="7">
        <v>1.47291E8</v>
      </c>
      <c r="R670" s="7">
        <v>0.0</v>
      </c>
      <c r="S670" s="1" t="s">
        <v>52</v>
      </c>
    </row>
    <row r="671" ht="15.0" customHeight="1">
      <c r="B671" s="6">
        <f t="shared" si="1"/>
        <v>669</v>
      </c>
      <c r="C671" s="1" t="s">
        <v>1064</v>
      </c>
      <c r="D671" s="1" t="s">
        <v>44</v>
      </c>
      <c r="E671" s="1" t="s">
        <v>1064</v>
      </c>
      <c r="F671" s="1" t="s">
        <v>37</v>
      </c>
      <c r="G671" s="1" t="s">
        <v>318</v>
      </c>
      <c r="H671" s="6">
        <v>2015.0</v>
      </c>
      <c r="I671" s="1" t="s">
        <v>918</v>
      </c>
      <c r="J671" s="1" t="s">
        <v>281</v>
      </c>
      <c r="K671" s="1" t="s">
        <v>314</v>
      </c>
      <c r="M671" s="7">
        <v>3.0E8</v>
      </c>
      <c r="N671" s="7">
        <v>1.51721828E8</v>
      </c>
      <c r="O671" s="8">
        <v>46112.0</v>
      </c>
      <c r="P671" s="7">
        <v>4.1085748475E8</v>
      </c>
      <c r="Q671" s="7">
        <v>3.6756934159E8</v>
      </c>
      <c r="R671" s="7">
        <v>2.463528091E7</v>
      </c>
      <c r="S671" s="1" t="s">
        <v>52</v>
      </c>
    </row>
    <row r="672" ht="15.0" customHeight="1">
      <c r="B672" s="6">
        <f t="shared" si="1"/>
        <v>670</v>
      </c>
      <c r="C672" s="1" t="s">
        <v>1065</v>
      </c>
      <c r="D672" s="1" t="s">
        <v>44</v>
      </c>
      <c r="E672" s="1" t="s">
        <v>1065</v>
      </c>
      <c r="F672" s="1" t="s">
        <v>981</v>
      </c>
      <c r="G672" s="1" t="s">
        <v>318</v>
      </c>
      <c r="H672" s="6">
        <v>2015.0</v>
      </c>
      <c r="I672" s="1" t="s">
        <v>918</v>
      </c>
      <c r="J672" s="1" t="s">
        <v>62</v>
      </c>
      <c r="K672" s="1" t="s">
        <v>289</v>
      </c>
      <c r="M672" s="7">
        <v>7.5E7</v>
      </c>
      <c r="N672" s="7">
        <v>0.0</v>
      </c>
      <c r="O672" s="8">
        <v>45602.0</v>
      </c>
      <c r="P672" s="7">
        <v>1.4122253405E8</v>
      </c>
      <c r="Q672" s="7">
        <v>7.5E7</v>
      </c>
      <c r="R672" s="7">
        <v>0.0</v>
      </c>
      <c r="S672" s="1" t="s">
        <v>52</v>
      </c>
    </row>
    <row r="673" ht="15.0" customHeight="1">
      <c r="B673" s="6">
        <f t="shared" si="1"/>
        <v>671</v>
      </c>
      <c r="C673" s="1" t="s">
        <v>1066</v>
      </c>
      <c r="D673" s="1" t="s">
        <v>44</v>
      </c>
      <c r="E673" s="1" t="s">
        <v>1066</v>
      </c>
      <c r="F673" s="1" t="s">
        <v>37</v>
      </c>
      <c r="G673" s="1" t="s">
        <v>318</v>
      </c>
      <c r="H673" s="6">
        <v>2016.0</v>
      </c>
      <c r="I673" s="1" t="s">
        <v>918</v>
      </c>
      <c r="J673" s="1" t="s">
        <v>62</v>
      </c>
      <c r="K673" s="1" t="s">
        <v>401</v>
      </c>
      <c r="M673" s="7">
        <v>1.0E8</v>
      </c>
      <c r="N673" s="7">
        <v>6788510.0</v>
      </c>
      <c r="O673" s="8">
        <v>46112.0</v>
      </c>
      <c r="P673" s="7">
        <v>1.2054333127E8</v>
      </c>
      <c r="Q673" s="7">
        <v>1.1128219557E8</v>
      </c>
      <c r="R673" s="7">
        <v>2.472219768E7</v>
      </c>
      <c r="S673" s="1" t="s">
        <v>52</v>
      </c>
    </row>
    <row r="674" ht="15.0" customHeight="1">
      <c r="B674" s="6">
        <f t="shared" si="1"/>
        <v>672</v>
      </c>
      <c r="C674" s="1" t="s">
        <v>1067</v>
      </c>
      <c r="D674" s="1" t="s">
        <v>44</v>
      </c>
      <c r="E674" s="1" t="s">
        <v>1067</v>
      </c>
      <c r="F674" s="1" t="s">
        <v>185</v>
      </c>
      <c r="G674" s="1" t="s">
        <v>318</v>
      </c>
      <c r="H674" s="6">
        <v>2016.0</v>
      </c>
      <c r="I674" s="1" t="s">
        <v>918</v>
      </c>
      <c r="J674" s="1" t="s">
        <v>54</v>
      </c>
      <c r="K674" s="1" t="s">
        <v>286</v>
      </c>
      <c r="M674" s="7">
        <v>1.0E8</v>
      </c>
      <c r="N674" s="7">
        <v>5.411129571E7</v>
      </c>
      <c r="O674" s="8">
        <v>46112.0</v>
      </c>
      <c r="P674" s="7">
        <v>1.933369821E8</v>
      </c>
      <c r="Q674" s="7">
        <v>9.729882023E7</v>
      </c>
      <c r="R674" s="7">
        <v>2605263.16</v>
      </c>
      <c r="S674" s="1" t="s">
        <v>52</v>
      </c>
    </row>
    <row r="675" ht="15.0" customHeight="1">
      <c r="B675" s="6">
        <f t="shared" si="1"/>
        <v>673</v>
      </c>
      <c r="C675" s="1" t="s">
        <v>1068</v>
      </c>
      <c r="D675" s="1" t="s">
        <v>44</v>
      </c>
      <c r="E675" s="1" t="s">
        <v>1068</v>
      </c>
      <c r="F675" s="1" t="s">
        <v>64</v>
      </c>
      <c r="G675" s="1" t="s">
        <v>318</v>
      </c>
      <c r="H675" s="6">
        <v>2015.0</v>
      </c>
      <c r="I675" s="1" t="s">
        <v>918</v>
      </c>
      <c r="J675" s="1" t="s">
        <v>281</v>
      </c>
      <c r="K675" s="1" t="s">
        <v>314</v>
      </c>
      <c r="M675" s="7">
        <v>2.0E8</v>
      </c>
      <c r="N675" s="7">
        <v>8.362576E7</v>
      </c>
      <c r="O675" s="8">
        <v>46112.0</v>
      </c>
      <c r="P675" s="7">
        <v>3.0372237993E8</v>
      </c>
      <c r="Q675" s="7">
        <v>2.5566741407E8</v>
      </c>
      <c r="R675" s="7">
        <v>4.359975601E7</v>
      </c>
      <c r="S675" s="1" t="s">
        <v>52</v>
      </c>
    </row>
    <row r="676" ht="15.0" hidden="1" customHeight="1">
      <c r="B676" s="6">
        <f t="shared" si="1"/>
        <v>674</v>
      </c>
      <c r="C676" s="1" t="s">
        <v>1069</v>
      </c>
      <c r="D676" s="1" t="s">
        <v>44</v>
      </c>
      <c r="E676" s="1" t="s">
        <v>1069</v>
      </c>
      <c r="F676" s="1" t="s">
        <v>971</v>
      </c>
      <c r="G676" s="1" t="s">
        <v>318</v>
      </c>
      <c r="H676" s="6">
        <v>2015.0</v>
      </c>
      <c r="I676" s="1" t="s">
        <v>918</v>
      </c>
      <c r="J676" s="1" t="s">
        <v>62</v>
      </c>
      <c r="K676" s="1" t="s">
        <v>1070</v>
      </c>
      <c r="M676" s="7">
        <v>7.5E7</v>
      </c>
      <c r="N676" s="7">
        <v>1.373712625E7</v>
      </c>
      <c r="O676" s="8">
        <v>46112.0</v>
      </c>
      <c r="P676" s="7">
        <v>6.5344047E7</v>
      </c>
      <c r="Q676" s="7">
        <v>7.9965121E7</v>
      </c>
      <c r="R676" s="7">
        <v>5859152.0</v>
      </c>
      <c r="S676" s="1" t="s">
        <v>106</v>
      </c>
    </row>
    <row r="677" ht="15.0" customHeight="1">
      <c r="B677" s="6">
        <f t="shared" si="1"/>
        <v>675</v>
      </c>
      <c r="C677" s="1" t="s">
        <v>1071</v>
      </c>
      <c r="D677" s="1" t="s">
        <v>44</v>
      </c>
      <c r="E677" s="1" t="s">
        <v>1071</v>
      </c>
      <c r="F677" s="1" t="s">
        <v>297</v>
      </c>
      <c r="G677" s="1" t="s">
        <v>318</v>
      </c>
      <c r="H677" s="6">
        <v>2016.0</v>
      </c>
      <c r="I677" s="1" t="s">
        <v>918</v>
      </c>
      <c r="J677" s="1" t="s">
        <v>62</v>
      </c>
      <c r="K677" s="1" t="s">
        <v>289</v>
      </c>
      <c r="M677" s="7">
        <v>1.0E8</v>
      </c>
      <c r="N677" s="7">
        <v>2.0672752E7</v>
      </c>
      <c r="O677" s="8">
        <v>46112.0</v>
      </c>
      <c r="P677" s="7">
        <v>1.38650871E8</v>
      </c>
      <c r="Q677" s="7">
        <v>1.0131002801E8</v>
      </c>
      <c r="R677" s="7">
        <v>-0.01</v>
      </c>
      <c r="S677" s="1" t="s">
        <v>52</v>
      </c>
    </row>
    <row r="678" ht="15.0" customHeight="1">
      <c r="B678" s="6">
        <f t="shared" si="1"/>
        <v>676</v>
      </c>
      <c r="C678" s="1" t="s">
        <v>1072</v>
      </c>
      <c r="D678" s="1" t="s">
        <v>44</v>
      </c>
      <c r="E678" s="1" t="s">
        <v>1072</v>
      </c>
      <c r="F678" s="1" t="s">
        <v>185</v>
      </c>
      <c r="G678" s="1" t="s">
        <v>318</v>
      </c>
      <c r="H678" s="6">
        <v>2016.0</v>
      </c>
      <c r="I678" s="1" t="s">
        <v>918</v>
      </c>
      <c r="J678" s="1" t="s">
        <v>62</v>
      </c>
      <c r="K678" s="1" t="s">
        <v>289</v>
      </c>
      <c r="M678" s="7">
        <v>1.0E8</v>
      </c>
      <c r="N678" s="7">
        <v>7885190.59</v>
      </c>
      <c r="O678" s="8">
        <v>46112.0</v>
      </c>
      <c r="P678" s="7">
        <v>1.9943796895E8</v>
      </c>
      <c r="Q678" s="7">
        <v>9.443137255E7</v>
      </c>
      <c r="R678" s="7">
        <v>5568627.45</v>
      </c>
      <c r="S678" s="1" t="s">
        <v>52</v>
      </c>
    </row>
    <row r="679" ht="15.0" customHeight="1">
      <c r="B679" s="6">
        <f t="shared" si="1"/>
        <v>677</v>
      </c>
      <c r="C679" s="1" t="s">
        <v>1073</v>
      </c>
      <c r="D679" s="1" t="s">
        <v>44</v>
      </c>
      <c r="E679" s="1" t="s">
        <v>1073</v>
      </c>
      <c r="F679" s="1" t="s">
        <v>291</v>
      </c>
      <c r="G679" s="1" t="s">
        <v>318</v>
      </c>
      <c r="H679" s="6">
        <v>2016.0</v>
      </c>
      <c r="I679" s="1" t="s">
        <v>918</v>
      </c>
      <c r="J679" s="1" t="s">
        <v>62</v>
      </c>
      <c r="K679" s="1" t="s">
        <v>289</v>
      </c>
      <c r="M679" s="7">
        <v>7.5E7</v>
      </c>
      <c r="N679" s="7">
        <v>5.922664283E7</v>
      </c>
      <c r="O679" s="8">
        <v>46112.0</v>
      </c>
      <c r="P679" s="7">
        <v>6.044760866E7</v>
      </c>
      <c r="Q679" s="7">
        <v>7.015139872E7</v>
      </c>
      <c r="R679" s="7">
        <v>3317097.0</v>
      </c>
      <c r="S679" s="1" t="s">
        <v>52</v>
      </c>
    </row>
    <row r="680" ht="15.0" customHeight="1">
      <c r="B680" s="6">
        <f t="shared" si="1"/>
        <v>678</v>
      </c>
      <c r="C680" s="1" t="s">
        <v>1074</v>
      </c>
      <c r="D680" s="1" t="s">
        <v>44</v>
      </c>
      <c r="E680" s="1" t="s">
        <v>1074</v>
      </c>
      <c r="F680" s="1" t="s">
        <v>293</v>
      </c>
      <c r="G680" s="1" t="s">
        <v>318</v>
      </c>
      <c r="H680" s="6">
        <v>2017.0</v>
      </c>
      <c r="I680" s="1" t="s">
        <v>918</v>
      </c>
      <c r="J680" s="1" t="s">
        <v>62</v>
      </c>
      <c r="K680" s="1" t="s">
        <v>294</v>
      </c>
      <c r="M680" s="7">
        <v>7.5E7</v>
      </c>
      <c r="N680" s="7">
        <v>1.124244E7</v>
      </c>
      <c r="O680" s="8">
        <v>46112.0</v>
      </c>
      <c r="P680" s="7">
        <v>5.4753135E7</v>
      </c>
      <c r="Q680" s="7">
        <v>5.2314272E7</v>
      </c>
      <c r="R680" s="7">
        <v>5.3449107E7</v>
      </c>
      <c r="S680" s="1" t="s">
        <v>52</v>
      </c>
    </row>
    <row r="681" ht="15.0" customHeight="1">
      <c r="B681" s="6">
        <f t="shared" si="1"/>
        <v>679</v>
      </c>
      <c r="C681" s="1" t="s">
        <v>1075</v>
      </c>
      <c r="D681" s="1" t="s">
        <v>44</v>
      </c>
      <c r="E681" s="1" t="s">
        <v>1075</v>
      </c>
      <c r="F681" s="1" t="s">
        <v>1033</v>
      </c>
      <c r="G681" s="1" t="s">
        <v>318</v>
      </c>
      <c r="H681" s="6">
        <v>2016.0</v>
      </c>
      <c r="I681" s="1" t="s">
        <v>918</v>
      </c>
      <c r="J681" s="1" t="s">
        <v>62</v>
      </c>
      <c r="K681" s="1" t="s">
        <v>289</v>
      </c>
      <c r="M681" s="7">
        <v>1.0E8</v>
      </c>
      <c r="N681" s="7">
        <v>0.0</v>
      </c>
      <c r="O681" s="8">
        <v>45681.0</v>
      </c>
      <c r="P681" s="7">
        <v>2.1853340481E8</v>
      </c>
      <c r="Q681" s="7">
        <v>9.6774E7</v>
      </c>
      <c r="R681" s="7">
        <v>0.0</v>
      </c>
      <c r="S681" s="1" t="s">
        <v>52</v>
      </c>
    </row>
    <row r="682" ht="15.0" customHeight="1">
      <c r="B682" s="6">
        <f t="shared" si="1"/>
        <v>680</v>
      </c>
      <c r="C682" s="1" t="s">
        <v>1076</v>
      </c>
      <c r="D682" s="1" t="s">
        <v>44</v>
      </c>
      <c r="E682" s="1" t="s">
        <v>1076</v>
      </c>
      <c r="F682" s="1" t="s">
        <v>97</v>
      </c>
      <c r="G682" s="1" t="s">
        <v>318</v>
      </c>
      <c r="H682" s="6">
        <v>2017.0</v>
      </c>
      <c r="I682" s="1" t="s">
        <v>918</v>
      </c>
      <c r="J682" s="1" t="s">
        <v>281</v>
      </c>
      <c r="K682" s="1" t="s">
        <v>282</v>
      </c>
      <c r="M682" s="7">
        <v>2.0E8</v>
      </c>
      <c r="N682" s="7">
        <v>5.3632484E7</v>
      </c>
      <c r="O682" s="8">
        <v>46112.0</v>
      </c>
      <c r="P682" s="7">
        <v>2.0267403E8</v>
      </c>
      <c r="Q682" s="7">
        <v>1.796065E8</v>
      </c>
      <c r="R682" s="7">
        <v>1.28266581E8</v>
      </c>
      <c r="S682" s="1" t="s">
        <v>52</v>
      </c>
    </row>
    <row r="683" ht="15.0" customHeight="1">
      <c r="B683" s="6">
        <f t="shared" si="1"/>
        <v>681</v>
      </c>
      <c r="C683" s="1" t="s">
        <v>1077</v>
      </c>
      <c r="D683" s="1" t="s">
        <v>44</v>
      </c>
      <c r="E683" s="1" t="s">
        <v>1077</v>
      </c>
      <c r="F683" s="1" t="s">
        <v>413</v>
      </c>
      <c r="G683" s="1" t="s">
        <v>318</v>
      </c>
      <c r="H683" s="6">
        <v>2017.0</v>
      </c>
      <c r="I683" s="1" t="s">
        <v>918</v>
      </c>
      <c r="J683" s="1" t="s">
        <v>62</v>
      </c>
      <c r="K683" s="1" t="s">
        <v>289</v>
      </c>
      <c r="M683" s="7">
        <v>1.0E8</v>
      </c>
      <c r="N683" s="7">
        <v>3.1027056E7</v>
      </c>
      <c r="O683" s="8">
        <v>46112.0</v>
      </c>
      <c r="P683" s="7">
        <v>1.19013164E8</v>
      </c>
      <c r="Q683" s="7">
        <v>9.3982752E7</v>
      </c>
      <c r="R683" s="7">
        <v>6768345.0</v>
      </c>
      <c r="S683" s="1" t="s">
        <v>52</v>
      </c>
    </row>
    <row r="684" ht="15.0" customHeight="1">
      <c r="B684" s="6">
        <f t="shared" si="1"/>
        <v>682</v>
      </c>
      <c r="C684" s="1" t="s">
        <v>1078</v>
      </c>
      <c r="D684" s="1" t="s">
        <v>44</v>
      </c>
      <c r="E684" s="1" t="s">
        <v>1078</v>
      </c>
      <c r="F684" s="1" t="s">
        <v>332</v>
      </c>
      <c r="G684" s="1" t="s">
        <v>318</v>
      </c>
      <c r="H684" s="6">
        <v>2017.0</v>
      </c>
      <c r="I684" s="1" t="s">
        <v>918</v>
      </c>
      <c r="J684" s="1" t="s">
        <v>62</v>
      </c>
      <c r="K684" s="1" t="s">
        <v>993</v>
      </c>
      <c r="M684" s="7">
        <v>1.0E8</v>
      </c>
      <c r="N684" s="7">
        <v>5.2299919E7</v>
      </c>
      <c r="O684" s="8">
        <v>46112.0</v>
      </c>
      <c r="P684" s="7">
        <v>6.3210231E7</v>
      </c>
      <c r="Q684" s="7">
        <v>9.2953637E7</v>
      </c>
      <c r="R684" s="7">
        <v>1.7025E7</v>
      </c>
      <c r="S684" s="1" t="s">
        <v>52</v>
      </c>
    </row>
    <row r="685" ht="15.0" customHeight="1">
      <c r="B685" s="6">
        <f t="shared" si="1"/>
        <v>683</v>
      </c>
      <c r="C685" s="1" t="s">
        <v>1079</v>
      </c>
      <c r="D685" s="1" t="s">
        <v>44</v>
      </c>
      <c r="E685" s="1" t="s">
        <v>1079</v>
      </c>
      <c r="F685" s="1" t="s">
        <v>305</v>
      </c>
      <c r="G685" s="1" t="s">
        <v>318</v>
      </c>
      <c r="H685" s="6">
        <v>2018.0</v>
      </c>
      <c r="I685" s="1" t="s">
        <v>918</v>
      </c>
      <c r="J685" s="1" t="s">
        <v>62</v>
      </c>
      <c r="K685" s="1" t="s">
        <v>289</v>
      </c>
      <c r="M685" s="7">
        <v>1.5E8</v>
      </c>
      <c r="N685" s="7">
        <v>1.23927904E8</v>
      </c>
      <c r="O685" s="8">
        <v>46112.0</v>
      </c>
      <c r="P685" s="7">
        <v>4.8213288E7</v>
      </c>
      <c r="Q685" s="7">
        <v>1.31025607E8</v>
      </c>
      <c r="R685" s="7">
        <v>2.6792242E7</v>
      </c>
      <c r="S685" s="1" t="s">
        <v>52</v>
      </c>
    </row>
    <row r="686" ht="15.0" customHeight="1">
      <c r="B686" s="6">
        <f t="shared" si="1"/>
        <v>684</v>
      </c>
      <c r="C686" s="1" t="s">
        <v>1080</v>
      </c>
      <c r="D686" s="1" t="s">
        <v>44</v>
      </c>
      <c r="E686" s="1" t="s">
        <v>1080</v>
      </c>
      <c r="F686" s="1" t="s">
        <v>1033</v>
      </c>
      <c r="G686" s="1" t="s">
        <v>318</v>
      </c>
      <c r="H686" s="6">
        <v>2017.0</v>
      </c>
      <c r="I686" s="1" t="s">
        <v>918</v>
      </c>
      <c r="J686" s="1" t="s">
        <v>54</v>
      </c>
      <c r="K686" s="1" t="s">
        <v>286</v>
      </c>
      <c r="M686" s="7">
        <v>1.0E8</v>
      </c>
      <c r="N686" s="7">
        <v>1.12541549E8</v>
      </c>
      <c r="O686" s="8">
        <v>46112.0</v>
      </c>
      <c r="P686" s="7">
        <v>4.359198248E7</v>
      </c>
      <c r="Q686" s="7">
        <v>9.9848098E7</v>
      </c>
      <c r="R686" s="7">
        <v>0.0</v>
      </c>
      <c r="S686" s="1" t="s">
        <v>52</v>
      </c>
    </row>
    <row r="687" ht="15.0" customHeight="1">
      <c r="B687" s="6">
        <f t="shared" si="1"/>
        <v>685</v>
      </c>
      <c r="C687" s="1" t="s">
        <v>1081</v>
      </c>
      <c r="D687" s="1" t="s">
        <v>44</v>
      </c>
      <c r="E687" s="1" t="s">
        <v>1081</v>
      </c>
      <c r="F687" s="1" t="s">
        <v>981</v>
      </c>
      <c r="G687" s="1" t="s">
        <v>318</v>
      </c>
      <c r="H687" s="6">
        <v>2018.0</v>
      </c>
      <c r="I687" s="1" t="s">
        <v>918</v>
      </c>
      <c r="J687" s="1" t="s">
        <v>62</v>
      </c>
      <c r="K687" s="1" t="s">
        <v>289</v>
      </c>
      <c r="M687" s="7">
        <v>1.0E8</v>
      </c>
      <c r="N687" s="7">
        <v>6.712540543E7</v>
      </c>
      <c r="O687" s="8">
        <v>46112.0</v>
      </c>
      <c r="P687" s="7">
        <v>8.289291338E7</v>
      </c>
      <c r="Q687" s="7">
        <v>1.0000000001E8</v>
      </c>
      <c r="R687" s="7">
        <v>2.527663444E7</v>
      </c>
      <c r="S687" s="1" t="s">
        <v>52</v>
      </c>
    </row>
    <row r="688" ht="15.0" customHeight="1">
      <c r="B688" s="6">
        <f t="shared" si="1"/>
        <v>686</v>
      </c>
      <c r="C688" s="1" t="s">
        <v>1082</v>
      </c>
      <c r="D688" s="1" t="s">
        <v>44</v>
      </c>
      <c r="E688" s="1" t="s">
        <v>1082</v>
      </c>
      <c r="F688" s="1" t="s">
        <v>332</v>
      </c>
      <c r="G688" s="1" t="s">
        <v>318</v>
      </c>
      <c r="H688" s="6">
        <v>2018.0</v>
      </c>
      <c r="I688" s="1" t="s">
        <v>918</v>
      </c>
      <c r="J688" s="1" t="s">
        <v>62</v>
      </c>
      <c r="K688" s="1" t="s">
        <v>289</v>
      </c>
      <c r="M688" s="7">
        <v>1.5E8</v>
      </c>
      <c r="N688" s="7">
        <v>7.5548229E7</v>
      </c>
      <c r="O688" s="8">
        <v>46112.0</v>
      </c>
      <c r="P688" s="7">
        <v>1.0415546E8</v>
      </c>
      <c r="Q688" s="7">
        <v>1.4248758E8</v>
      </c>
      <c r="R688" s="7">
        <v>3.5805E7</v>
      </c>
      <c r="S688" s="1" t="s">
        <v>52</v>
      </c>
    </row>
    <row r="689" ht="15.0" customHeight="1">
      <c r="B689" s="6">
        <f t="shared" si="1"/>
        <v>687</v>
      </c>
      <c r="C689" s="1" t="s">
        <v>1083</v>
      </c>
      <c r="D689" s="1" t="s">
        <v>44</v>
      </c>
      <c r="E689" s="1" t="s">
        <v>1084</v>
      </c>
      <c r="F689" s="1" t="s">
        <v>64</v>
      </c>
      <c r="G689" s="1" t="s">
        <v>318</v>
      </c>
      <c r="H689" s="6">
        <v>2017.0</v>
      </c>
      <c r="I689" s="1" t="s">
        <v>918</v>
      </c>
      <c r="J689" s="1" t="s">
        <v>281</v>
      </c>
      <c r="K689" s="1" t="s">
        <v>314</v>
      </c>
      <c r="M689" s="7">
        <v>2.1E8</v>
      </c>
      <c r="N689" s="7">
        <v>2.0296152E8</v>
      </c>
      <c r="O689" s="8">
        <v>46112.0</v>
      </c>
      <c r="P689" s="7">
        <v>1.4902698629E8</v>
      </c>
      <c r="Q689" s="7">
        <v>2.601793054E8</v>
      </c>
      <c r="R689" s="7">
        <v>5.503707448E7</v>
      </c>
      <c r="S689" s="1" t="s">
        <v>52</v>
      </c>
    </row>
    <row r="690" ht="15.0" customHeight="1">
      <c r="B690" s="6">
        <f t="shared" si="1"/>
        <v>688</v>
      </c>
      <c r="C690" s="1" t="s">
        <v>1085</v>
      </c>
      <c r="D690" s="1" t="s">
        <v>44</v>
      </c>
      <c r="E690" s="1" t="s">
        <v>1085</v>
      </c>
      <c r="F690" s="1" t="s">
        <v>185</v>
      </c>
      <c r="G690" s="1" t="s">
        <v>318</v>
      </c>
      <c r="H690" s="6">
        <v>2019.0</v>
      </c>
      <c r="I690" s="1" t="s">
        <v>918</v>
      </c>
      <c r="J690" s="1" t="s">
        <v>54</v>
      </c>
      <c r="K690" s="1" t="s">
        <v>286</v>
      </c>
      <c r="M690" s="7">
        <v>1.0E8</v>
      </c>
      <c r="N690" s="7">
        <v>1.1274941653E8</v>
      </c>
      <c r="O690" s="8">
        <v>46112.0</v>
      </c>
      <c r="P690" s="7">
        <v>2.459119497E7</v>
      </c>
      <c r="Q690" s="7">
        <v>9.827044025E7</v>
      </c>
      <c r="R690" s="7">
        <v>1729559.75</v>
      </c>
      <c r="S690" s="1" t="s">
        <v>52</v>
      </c>
    </row>
    <row r="691" ht="15.0" customHeight="1">
      <c r="B691" s="6">
        <f t="shared" si="1"/>
        <v>689</v>
      </c>
      <c r="C691" s="1" t="s">
        <v>1086</v>
      </c>
      <c r="D691" s="1" t="s">
        <v>44</v>
      </c>
      <c r="E691" s="1" t="s">
        <v>1086</v>
      </c>
      <c r="F691" s="1" t="s">
        <v>291</v>
      </c>
      <c r="G691" s="1" t="s">
        <v>318</v>
      </c>
      <c r="H691" s="6">
        <v>2019.0</v>
      </c>
      <c r="I691" s="1" t="s">
        <v>918</v>
      </c>
      <c r="J691" s="1" t="s">
        <v>62</v>
      </c>
      <c r="K691" s="1" t="s">
        <v>289</v>
      </c>
      <c r="M691" s="7">
        <v>1.0E8</v>
      </c>
      <c r="N691" s="7">
        <v>8.9191E7</v>
      </c>
      <c r="O691" s="8">
        <v>46112.0</v>
      </c>
      <c r="P691" s="7">
        <v>1.102728068E7</v>
      </c>
      <c r="Q691" s="7">
        <v>9.517276832E7</v>
      </c>
      <c r="R691" s="7">
        <v>3236972.0</v>
      </c>
      <c r="S691" s="1" t="s">
        <v>52</v>
      </c>
    </row>
    <row r="692" ht="15.0" hidden="1" customHeight="1">
      <c r="B692" s="6">
        <f t="shared" si="1"/>
        <v>690</v>
      </c>
      <c r="C692" s="1" t="s">
        <v>1087</v>
      </c>
      <c r="D692" s="1" t="s">
        <v>44</v>
      </c>
      <c r="E692" s="1" t="s">
        <v>1087</v>
      </c>
      <c r="F692" s="1" t="s">
        <v>1033</v>
      </c>
      <c r="G692" s="1" t="s">
        <v>318</v>
      </c>
      <c r="H692" s="6">
        <v>2019.0</v>
      </c>
      <c r="I692" s="1" t="s">
        <v>918</v>
      </c>
      <c r="J692" s="1" t="s">
        <v>54</v>
      </c>
      <c r="K692" s="1" t="s">
        <v>1088</v>
      </c>
      <c r="M692" s="7">
        <v>5.0E7</v>
      </c>
      <c r="N692" s="7">
        <v>5.1757228E7</v>
      </c>
      <c r="O692" s="8">
        <v>46112.0</v>
      </c>
      <c r="P692" s="7">
        <v>3.835378172E7</v>
      </c>
      <c r="Q692" s="7">
        <v>6.0809E7</v>
      </c>
      <c r="R692" s="7">
        <v>1882500.0</v>
      </c>
      <c r="S692" s="1" t="s">
        <v>106</v>
      </c>
    </row>
    <row r="693" ht="15.0" customHeight="1">
      <c r="B693" s="6">
        <f t="shared" si="1"/>
        <v>691</v>
      </c>
      <c r="C693" s="1" t="s">
        <v>1089</v>
      </c>
      <c r="D693" s="1" t="s">
        <v>44</v>
      </c>
      <c r="E693" s="1" t="s">
        <v>1089</v>
      </c>
      <c r="F693" s="1" t="s">
        <v>297</v>
      </c>
      <c r="G693" s="1" t="s">
        <v>318</v>
      </c>
      <c r="H693" s="6">
        <v>2019.0</v>
      </c>
      <c r="I693" s="1" t="s">
        <v>918</v>
      </c>
      <c r="J693" s="1" t="s">
        <v>62</v>
      </c>
      <c r="K693" s="1" t="s">
        <v>289</v>
      </c>
      <c r="M693" s="7">
        <v>1.0E8</v>
      </c>
      <c r="N693" s="7">
        <v>8.4184126E7</v>
      </c>
      <c r="O693" s="8">
        <v>46112.0</v>
      </c>
      <c r="P693" s="7">
        <v>4.8716354E7</v>
      </c>
      <c r="Q693" s="7">
        <v>1.01910527E8</v>
      </c>
      <c r="R693" s="7">
        <v>1.0473682E7</v>
      </c>
      <c r="S693" s="1" t="s">
        <v>52</v>
      </c>
    </row>
    <row r="694" ht="15.0" customHeight="1">
      <c r="B694" s="6">
        <f t="shared" si="1"/>
        <v>692</v>
      </c>
      <c r="C694" s="1" t="s">
        <v>1090</v>
      </c>
      <c r="D694" s="1" t="s">
        <v>44</v>
      </c>
      <c r="E694" s="1" t="s">
        <v>1090</v>
      </c>
      <c r="F694" s="1" t="s">
        <v>332</v>
      </c>
      <c r="G694" s="1" t="s">
        <v>318</v>
      </c>
      <c r="H694" s="6">
        <v>2019.0</v>
      </c>
      <c r="I694" s="1" t="s">
        <v>918</v>
      </c>
      <c r="J694" s="1" t="s">
        <v>62</v>
      </c>
      <c r="K694" s="1" t="s">
        <v>993</v>
      </c>
      <c r="M694" s="7">
        <v>1.0E8</v>
      </c>
      <c r="N694" s="7">
        <v>6.523004E7</v>
      </c>
      <c r="O694" s="8">
        <v>46112.0</v>
      </c>
      <c r="P694" s="7">
        <v>1.1798247E7</v>
      </c>
      <c r="Q694" s="7">
        <v>7.9448608E7</v>
      </c>
      <c r="R694" s="7">
        <v>2.425E7</v>
      </c>
      <c r="S694" s="1" t="s">
        <v>52</v>
      </c>
    </row>
    <row r="695" ht="15.0" customHeight="1">
      <c r="B695" s="6">
        <f t="shared" si="1"/>
        <v>693</v>
      </c>
      <c r="C695" s="1" t="s">
        <v>1091</v>
      </c>
      <c r="D695" s="1" t="s">
        <v>44</v>
      </c>
      <c r="E695" s="1" t="s">
        <v>1091</v>
      </c>
      <c r="F695" s="1" t="s">
        <v>1033</v>
      </c>
      <c r="G695" s="1" t="s">
        <v>318</v>
      </c>
      <c r="H695" s="6">
        <v>2019.0</v>
      </c>
      <c r="I695" s="1" t="s">
        <v>918</v>
      </c>
      <c r="J695" s="1" t="s">
        <v>62</v>
      </c>
      <c r="K695" s="1" t="s">
        <v>289</v>
      </c>
      <c r="M695" s="7">
        <v>1.0E8</v>
      </c>
      <c r="N695" s="7">
        <v>1.01660348E8</v>
      </c>
      <c r="O695" s="8">
        <v>46112.0</v>
      </c>
      <c r="P695" s="7">
        <v>2.658546408E7</v>
      </c>
      <c r="Q695" s="7">
        <v>9.13055E7</v>
      </c>
      <c r="R695" s="7">
        <v>8694500.0</v>
      </c>
      <c r="S695" s="1" t="s">
        <v>52</v>
      </c>
    </row>
    <row r="696" ht="15.0" customHeight="1">
      <c r="B696" s="6">
        <f t="shared" si="1"/>
        <v>694</v>
      </c>
      <c r="C696" s="1" t="s">
        <v>1092</v>
      </c>
      <c r="D696" s="1" t="s">
        <v>44</v>
      </c>
      <c r="E696" s="1" t="s">
        <v>1092</v>
      </c>
      <c r="F696" s="1" t="s">
        <v>185</v>
      </c>
      <c r="G696" s="1" t="s">
        <v>318</v>
      </c>
      <c r="H696" s="6">
        <v>2019.0</v>
      </c>
      <c r="I696" s="1" t="s">
        <v>918</v>
      </c>
      <c r="J696" s="1" t="s">
        <v>62</v>
      </c>
      <c r="K696" s="1" t="s">
        <v>289</v>
      </c>
      <c r="M696" s="7">
        <v>1.0E8</v>
      </c>
      <c r="N696" s="7">
        <v>1.2381472443E8</v>
      </c>
      <c r="O696" s="8">
        <v>46112.0</v>
      </c>
      <c r="P696" s="7">
        <v>5.224004136E7</v>
      </c>
      <c r="Q696" s="7">
        <v>9.846352819E7</v>
      </c>
      <c r="R696" s="7">
        <v>1536471.81</v>
      </c>
      <c r="S696" s="1" t="s">
        <v>52</v>
      </c>
    </row>
    <row r="697" ht="15.0" customHeight="1">
      <c r="B697" s="6">
        <f t="shared" si="1"/>
        <v>695</v>
      </c>
      <c r="C697" s="1" t="s">
        <v>1093</v>
      </c>
      <c r="D697" s="1" t="s">
        <v>44</v>
      </c>
      <c r="E697" s="1" t="s">
        <v>1093</v>
      </c>
      <c r="F697" s="1" t="s">
        <v>971</v>
      </c>
      <c r="G697" s="1" t="s">
        <v>318</v>
      </c>
      <c r="H697" s="6">
        <v>2020.0</v>
      </c>
      <c r="I697" s="1" t="s">
        <v>918</v>
      </c>
      <c r="J697" s="1" t="s">
        <v>62</v>
      </c>
      <c r="K697" s="1" t="s">
        <v>1070</v>
      </c>
      <c r="M697" s="7">
        <v>1.15614041E8</v>
      </c>
      <c r="N697" s="7">
        <v>3.426097938E7</v>
      </c>
      <c r="O697" s="8">
        <v>46112.0</v>
      </c>
      <c r="P697" s="7">
        <v>6.939463E7</v>
      </c>
      <c r="Q697" s="7">
        <v>8.680539832E7</v>
      </c>
      <c r="R697" s="7">
        <v>2.886991343E7</v>
      </c>
      <c r="S697" s="1" t="s">
        <v>52</v>
      </c>
    </row>
    <row r="698" ht="15.0" customHeight="1">
      <c r="B698" s="6">
        <f t="shared" si="1"/>
        <v>696</v>
      </c>
      <c r="C698" s="1" t="s">
        <v>1094</v>
      </c>
      <c r="D698" s="1" t="s">
        <v>44</v>
      </c>
      <c r="E698" s="1" t="s">
        <v>1094</v>
      </c>
      <c r="F698" s="1" t="s">
        <v>97</v>
      </c>
      <c r="G698" s="1" t="s">
        <v>318</v>
      </c>
      <c r="H698" s="6">
        <v>2021.0</v>
      </c>
      <c r="I698" s="1" t="s">
        <v>918</v>
      </c>
      <c r="J698" s="1" t="s">
        <v>281</v>
      </c>
      <c r="K698" s="1" t="s">
        <v>282</v>
      </c>
      <c r="M698" s="7">
        <v>2.0E8</v>
      </c>
      <c r="N698" s="7">
        <v>1.41858E8</v>
      </c>
      <c r="O698" s="8">
        <v>46112.0</v>
      </c>
      <c r="P698" s="7">
        <v>2.4684672E7</v>
      </c>
      <c r="Q698" s="7">
        <v>1.64833997E8</v>
      </c>
      <c r="R698" s="7">
        <v>5.9896497E7</v>
      </c>
      <c r="S698" s="1" t="s">
        <v>52</v>
      </c>
    </row>
    <row r="699" ht="15.0" customHeight="1">
      <c r="B699" s="6">
        <f t="shared" si="1"/>
        <v>697</v>
      </c>
      <c r="C699" s="1" t="s">
        <v>1095</v>
      </c>
      <c r="D699" s="1" t="s">
        <v>44</v>
      </c>
      <c r="E699" s="1" t="s">
        <v>1095</v>
      </c>
      <c r="F699" s="1" t="s">
        <v>64</v>
      </c>
      <c r="G699" s="1" t="s">
        <v>318</v>
      </c>
      <c r="H699" s="6">
        <v>2021.0</v>
      </c>
      <c r="I699" s="1" t="s">
        <v>918</v>
      </c>
      <c r="J699" s="1" t="s">
        <v>281</v>
      </c>
      <c r="K699" s="1" t="s">
        <v>314</v>
      </c>
      <c r="M699" s="7">
        <v>3.0E8</v>
      </c>
      <c r="N699" s="7">
        <v>2.52865238E8</v>
      </c>
      <c r="O699" s="8">
        <v>46112.0</v>
      </c>
      <c r="P699" s="7">
        <v>4.739280387E7</v>
      </c>
      <c r="Q699" s="7">
        <v>2.8208069804E8</v>
      </c>
      <c r="R699" s="7">
        <v>6.525928693E7</v>
      </c>
      <c r="S699" s="1" t="s">
        <v>52</v>
      </c>
    </row>
    <row r="700" ht="15.0" customHeight="1">
      <c r="B700" s="6">
        <f t="shared" si="1"/>
        <v>698</v>
      </c>
      <c r="C700" s="1" t="s">
        <v>1096</v>
      </c>
      <c r="D700" s="1" t="s">
        <v>44</v>
      </c>
      <c r="E700" s="1" t="s">
        <v>1096</v>
      </c>
      <c r="F700" s="1" t="s">
        <v>981</v>
      </c>
      <c r="G700" s="1" t="s">
        <v>318</v>
      </c>
      <c r="H700" s="6">
        <v>2021.0</v>
      </c>
      <c r="I700" s="1" t="s">
        <v>918</v>
      </c>
      <c r="J700" s="1" t="s">
        <v>62</v>
      </c>
      <c r="K700" s="1" t="s">
        <v>289</v>
      </c>
      <c r="M700" s="7">
        <v>1.0E8</v>
      </c>
      <c r="N700" s="7">
        <v>6.554715259E7</v>
      </c>
      <c r="O700" s="8">
        <v>46112.0</v>
      </c>
      <c r="P700" s="7">
        <v>3136956.52</v>
      </c>
      <c r="Q700" s="7">
        <v>9.085E7</v>
      </c>
      <c r="R700" s="7">
        <v>9150000.0</v>
      </c>
      <c r="S700" s="1" t="s">
        <v>52</v>
      </c>
    </row>
    <row r="701" ht="15.0" customHeight="1">
      <c r="B701" s="6">
        <f t="shared" si="1"/>
        <v>699</v>
      </c>
      <c r="C701" s="1" t="s">
        <v>1097</v>
      </c>
      <c r="D701" s="1" t="s">
        <v>44</v>
      </c>
      <c r="E701" s="1" t="s">
        <v>1097</v>
      </c>
      <c r="F701" s="1" t="s">
        <v>185</v>
      </c>
      <c r="G701" s="1" t="s">
        <v>318</v>
      </c>
      <c r="H701" s="6">
        <v>2021.0</v>
      </c>
      <c r="I701" s="1" t="s">
        <v>918</v>
      </c>
      <c r="J701" s="1" t="s">
        <v>54</v>
      </c>
      <c r="K701" s="1" t="s">
        <v>286</v>
      </c>
      <c r="M701" s="7">
        <v>1.0E8</v>
      </c>
      <c r="N701" s="7">
        <v>9.774240908E7</v>
      </c>
      <c r="O701" s="8">
        <v>46112.0</v>
      </c>
      <c r="P701" s="7">
        <v>5069949.76</v>
      </c>
      <c r="Q701" s="7">
        <v>9.907938656E7</v>
      </c>
      <c r="R701" s="7">
        <v>920613.44</v>
      </c>
      <c r="S701" s="1" t="s">
        <v>52</v>
      </c>
    </row>
    <row r="702" ht="15.0" customHeight="1">
      <c r="B702" s="6">
        <f t="shared" si="1"/>
        <v>700</v>
      </c>
      <c r="C702" s="1" t="s">
        <v>1098</v>
      </c>
      <c r="D702" s="1" t="s">
        <v>44</v>
      </c>
      <c r="E702" s="1" t="s">
        <v>1098</v>
      </c>
      <c r="F702" s="1" t="s">
        <v>185</v>
      </c>
      <c r="G702" s="1" t="s">
        <v>318</v>
      </c>
      <c r="H702" s="6">
        <v>2022.0</v>
      </c>
      <c r="I702" s="1" t="s">
        <v>918</v>
      </c>
      <c r="J702" s="1" t="s">
        <v>62</v>
      </c>
      <c r="K702" s="1" t="s">
        <v>289</v>
      </c>
      <c r="M702" s="7">
        <v>1.0E8</v>
      </c>
      <c r="N702" s="7">
        <v>6.62041545E7</v>
      </c>
      <c r="O702" s="8">
        <v>46112.0</v>
      </c>
      <c r="P702" s="7">
        <v>0.0</v>
      </c>
      <c r="Q702" s="7">
        <v>7.000000001E7</v>
      </c>
      <c r="R702" s="7">
        <v>2.999999999E7</v>
      </c>
      <c r="S702" s="1" t="s">
        <v>52</v>
      </c>
    </row>
    <row r="703" ht="15.0" customHeight="1">
      <c r="B703" s="6">
        <f t="shared" si="1"/>
        <v>701</v>
      </c>
      <c r="C703" s="1" t="s">
        <v>1099</v>
      </c>
      <c r="D703" s="1" t="s">
        <v>44</v>
      </c>
      <c r="E703" s="1" t="s">
        <v>1099</v>
      </c>
      <c r="F703" s="1" t="s">
        <v>1033</v>
      </c>
      <c r="G703" s="1" t="s">
        <v>318</v>
      </c>
      <c r="H703" s="6">
        <v>2022.0</v>
      </c>
      <c r="I703" s="1" t="s">
        <v>918</v>
      </c>
      <c r="J703" s="1" t="s">
        <v>62</v>
      </c>
      <c r="K703" s="1" t="s">
        <v>289</v>
      </c>
      <c r="M703" s="7">
        <v>1.75E8</v>
      </c>
      <c r="N703" s="7">
        <v>1.53770694E8</v>
      </c>
      <c r="O703" s="8">
        <v>46112.0</v>
      </c>
      <c r="P703" s="7">
        <v>1312500.0</v>
      </c>
      <c r="Q703" s="7">
        <v>1.5533050001E8</v>
      </c>
      <c r="R703" s="7">
        <v>1.966949999E7</v>
      </c>
      <c r="S703" s="1" t="s">
        <v>52</v>
      </c>
    </row>
    <row r="704" ht="15.0" customHeight="1">
      <c r="B704" s="6">
        <f t="shared" si="1"/>
        <v>702</v>
      </c>
      <c r="C704" s="1" t="s">
        <v>1100</v>
      </c>
      <c r="D704" s="1" t="s">
        <v>44</v>
      </c>
      <c r="E704" s="1" t="s">
        <v>1100</v>
      </c>
      <c r="F704" s="1" t="s">
        <v>297</v>
      </c>
      <c r="G704" s="1" t="s">
        <v>318</v>
      </c>
      <c r="H704" s="6">
        <v>2022.0</v>
      </c>
      <c r="I704" s="1" t="s">
        <v>918</v>
      </c>
      <c r="J704" s="1" t="s">
        <v>62</v>
      </c>
      <c r="K704" s="1" t="s">
        <v>289</v>
      </c>
      <c r="M704" s="7">
        <v>1.25E8</v>
      </c>
      <c r="N704" s="7">
        <v>5.8779342E7</v>
      </c>
      <c r="O704" s="8">
        <v>46112.0</v>
      </c>
      <c r="P704" s="7">
        <v>4563018.0</v>
      </c>
      <c r="Q704" s="7">
        <v>8.708881601E7</v>
      </c>
      <c r="R704" s="7">
        <v>3.975857999E7</v>
      </c>
      <c r="S704" s="1" t="s">
        <v>52</v>
      </c>
    </row>
    <row r="705" ht="15.0" customHeight="1">
      <c r="B705" s="6">
        <f t="shared" si="1"/>
        <v>703</v>
      </c>
      <c r="C705" s="1" t="s">
        <v>1101</v>
      </c>
      <c r="D705" s="1" t="s">
        <v>44</v>
      </c>
      <c r="E705" s="1" t="s">
        <v>1101</v>
      </c>
      <c r="F705" s="1" t="s">
        <v>291</v>
      </c>
      <c r="G705" s="1" t="s">
        <v>318</v>
      </c>
      <c r="H705" s="6">
        <v>2022.0</v>
      </c>
      <c r="I705" s="1" t="s">
        <v>918</v>
      </c>
      <c r="J705" s="1" t="s">
        <v>62</v>
      </c>
      <c r="K705" s="1" t="s">
        <v>289</v>
      </c>
      <c r="M705" s="7">
        <v>1.5E8</v>
      </c>
      <c r="N705" s="7">
        <v>1.03354E8</v>
      </c>
      <c r="O705" s="8">
        <v>46112.0</v>
      </c>
      <c r="P705" s="7">
        <v>2749380.5</v>
      </c>
      <c r="Q705" s="7">
        <v>1.0349498292E8</v>
      </c>
      <c r="R705" s="7">
        <v>4.496708499E7</v>
      </c>
      <c r="S705" s="1" t="s">
        <v>52</v>
      </c>
    </row>
    <row r="706" ht="15.0" customHeight="1">
      <c r="B706" s="6">
        <f t="shared" si="1"/>
        <v>704</v>
      </c>
      <c r="C706" s="1" t="s">
        <v>1102</v>
      </c>
      <c r="D706" s="1" t="s">
        <v>44</v>
      </c>
      <c r="E706" s="1" t="s">
        <v>1102</v>
      </c>
      <c r="F706" s="1" t="s">
        <v>332</v>
      </c>
      <c r="G706" s="1" t="s">
        <v>318</v>
      </c>
      <c r="H706" s="6">
        <v>2023.0</v>
      </c>
      <c r="I706" s="1" t="s">
        <v>918</v>
      </c>
      <c r="J706" s="1" t="s">
        <v>62</v>
      </c>
      <c r="K706" s="1" t="s">
        <v>993</v>
      </c>
      <c r="M706" s="7">
        <v>1.15E8</v>
      </c>
      <c r="N706" s="7">
        <v>1.9232023E7</v>
      </c>
      <c r="O706" s="8">
        <v>46112.0</v>
      </c>
      <c r="P706" s="7">
        <v>1903447.0</v>
      </c>
      <c r="Q706" s="7">
        <v>1.9739652E7</v>
      </c>
      <c r="R706" s="7">
        <v>9.4875E7</v>
      </c>
      <c r="S706" s="1" t="s">
        <v>52</v>
      </c>
    </row>
    <row r="707" ht="15.0" customHeight="1">
      <c r="B707" s="6">
        <f t="shared" si="1"/>
        <v>705</v>
      </c>
      <c r="C707" s="1" t="s">
        <v>1103</v>
      </c>
      <c r="D707" s="1" t="s">
        <v>44</v>
      </c>
      <c r="E707" s="1" t="s">
        <v>1103</v>
      </c>
      <c r="F707" s="1" t="s">
        <v>64</v>
      </c>
      <c r="G707" s="1" t="s">
        <v>318</v>
      </c>
      <c r="H707" s="6">
        <v>2023.0</v>
      </c>
      <c r="I707" s="1" t="s">
        <v>918</v>
      </c>
      <c r="J707" s="1" t="s">
        <v>281</v>
      </c>
      <c r="K707" s="1" t="s">
        <v>314</v>
      </c>
      <c r="M707" s="7">
        <v>3.0E8</v>
      </c>
      <c r="N707" s="7">
        <v>5.4762702E7</v>
      </c>
      <c r="O707" s="8">
        <v>46112.0</v>
      </c>
      <c r="P707" s="7">
        <v>4597085.91</v>
      </c>
      <c r="Q707" s="7">
        <v>9.395567164E7</v>
      </c>
      <c r="R707" s="7">
        <v>2.1064141427E8</v>
      </c>
      <c r="S707" s="1" t="s">
        <v>52</v>
      </c>
    </row>
    <row r="708" ht="15.0" customHeight="1">
      <c r="B708" s="6">
        <f t="shared" si="1"/>
        <v>706</v>
      </c>
      <c r="C708" s="1" t="s">
        <v>1104</v>
      </c>
      <c r="D708" s="1" t="s">
        <v>44</v>
      </c>
      <c r="E708" s="1" t="s">
        <v>1104</v>
      </c>
      <c r="F708" s="1" t="s">
        <v>97</v>
      </c>
      <c r="G708" s="1" t="s">
        <v>318</v>
      </c>
      <c r="H708" s="6">
        <v>2025.0</v>
      </c>
      <c r="I708" s="1" t="s">
        <v>918</v>
      </c>
      <c r="J708" s="1" t="s">
        <v>281</v>
      </c>
      <c r="K708" s="1" t="s">
        <v>282</v>
      </c>
      <c r="M708" s="7">
        <v>3.0E8</v>
      </c>
      <c r="N708" s="7">
        <v>-834844.0</v>
      </c>
      <c r="O708" s="8">
        <v>46112.0</v>
      </c>
      <c r="P708" s="7">
        <v>592540.0</v>
      </c>
      <c r="Q708" s="7">
        <v>1.890128501E7</v>
      </c>
      <c r="R708" s="7">
        <v>2.8169125499E8</v>
      </c>
      <c r="S708" s="1" t="s">
        <v>52</v>
      </c>
    </row>
    <row r="709" ht="15.0" customHeight="1">
      <c r="B709" s="6">
        <f t="shared" si="1"/>
        <v>707</v>
      </c>
      <c r="C709" s="1" t="s">
        <v>1105</v>
      </c>
      <c r="D709" s="1" t="s">
        <v>44</v>
      </c>
      <c r="E709" s="1" t="s">
        <v>1105</v>
      </c>
      <c r="F709" s="1" t="s">
        <v>316</v>
      </c>
      <c r="G709" s="1" t="s">
        <v>318</v>
      </c>
      <c r="H709" s="6">
        <v>2025.0</v>
      </c>
      <c r="I709" s="1" t="s">
        <v>918</v>
      </c>
      <c r="J709" s="1" t="s">
        <v>281</v>
      </c>
      <c r="K709" s="1" t="s">
        <v>314</v>
      </c>
      <c r="M709" s="7">
        <v>1.5E8</v>
      </c>
      <c r="N709" s="7">
        <v>1.1412795073E8</v>
      </c>
      <c r="O709" s="8">
        <v>46112.0</v>
      </c>
      <c r="P709" s="7">
        <v>0.0</v>
      </c>
      <c r="Q709" s="7">
        <v>1.0526167923E8</v>
      </c>
      <c r="R709" s="7">
        <v>4.71E7</v>
      </c>
      <c r="S709" s="1" t="s">
        <v>52</v>
      </c>
    </row>
    <row r="710" ht="15.0" hidden="1" customHeight="1">
      <c r="B710" s="6">
        <f t="shared" si="1"/>
        <v>708</v>
      </c>
      <c r="C710" s="1" t="s">
        <v>1106</v>
      </c>
      <c r="D710" s="1" t="s">
        <v>44</v>
      </c>
      <c r="E710" s="1" t="s">
        <v>1107</v>
      </c>
      <c r="F710" s="1" t="s">
        <v>1108</v>
      </c>
      <c r="G710" s="1" t="s">
        <v>318</v>
      </c>
      <c r="H710" s="6">
        <v>2023.0</v>
      </c>
      <c r="I710" s="1" t="s">
        <v>918</v>
      </c>
      <c r="J710" s="1" t="s">
        <v>62</v>
      </c>
      <c r="K710" s="1" t="s">
        <v>993</v>
      </c>
      <c r="M710" s="7">
        <v>7.5E7</v>
      </c>
      <c r="N710" s="7">
        <v>1.437751E7</v>
      </c>
      <c r="O710" s="8">
        <v>46112.0</v>
      </c>
      <c r="P710" s="7">
        <v>0.0</v>
      </c>
      <c r="Q710" s="7">
        <v>1.967308001E7</v>
      </c>
      <c r="R710" s="7">
        <v>5.608001299E7</v>
      </c>
      <c r="S710" s="1" t="s">
        <v>45</v>
      </c>
    </row>
    <row r="711" ht="15.0" customHeight="1">
      <c r="B711" s="6">
        <f t="shared" si="1"/>
        <v>709</v>
      </c>
      <c r="C711" s="1" t="s">
        <v>1109</v>
      </c>
      <c r="D711" s="1" t="s">
        <v>44</v>
      </c>
      <c r="E711" s="1" t="s">
        <v>1109</v>
      </c>
      <c r="F711" s="1" t="s">
        <v>1110</v>
      </c>
      <c r="G711" s="1" t="s">
        <v>318</v>
      </c>
      <c r="H711" s="6">
        <v>2023.0</v>
      </c>
      <c r="I711" s="1" t="s">
        <v>918</v>
      </c>
      <c r="J711" s="1" t="s">
        <v>62</v>
      </c>
      <c r="K711" s="1" t="s">
        <v>289</v>
      </c>
      <c r="M711" s="7">
        <v>3.0444707E7</v>
      </c>
      <c r="N711" s="7">
        <v>1.3047143E7</v>
      </c>
      <c r="O711" s="8">
        <v>46112.0</v>
      </c>
      <c r="P711" s="7">
        <v>516956.7</v>
      </c>
      <c r="Q711" s="7">
        <v>1.602981662E7</v>
      </c>
      <c r="R711" s="7">
        <v>1.52223535E7</v>
      </c>
      <c r="S711" s="1" t="s">
        <v>52</v>
      </c>
    </row>
    <row r="712" ht="15.0" customHeight="1">
      <c r="B712" s="6">
        <f t="shared" si="1"/>
        <v>710</v>
      </c>
      <c r="C712" s="1" t="s">
        <v>1111</v>
      </c>
      <c r="D712" s="1" t="s">
        <v>44</v>
      </c>
      <c r="E712" s="1" t="s">
        <v>1111</v>
      </c>
      <c r="F712" s="1" t="s">
        <v>1033</v>
      </c>
      <c r="G712" s="1" t="s">
        <v>318</v>
      </c>
      <c r="H712" s="6">
        <v>2025.0</v>
      </c>
      <c r="I712" s="1" t="s">
        <v>918</v>
      </c>
      <c r="J712" s="1" t="s">
        <v>62</v>
      </c>
      <c r="K712" s="1" t="s">
        <v>301</v>
      </c>
      <c r="M712" s="7">
        <v>1.5E8</v>
      </c>
      <c r="N712" s="7">
        <v>-312153.0</v>
      </c>
      <c r="O712" s="8">
        <v>46112.0</v>
      </c>
      <c r="P712" s="7">
        <v>0.0</v>
      </c>
      <c r="Q712" s="7">
        <v>0.01</v>
      </c>
      <c r="R712" s="7">
        <v>1.4999999999E8</v>
      </c>
      <c r="S712" s="1" t="s">
        <v>52</v>
      </c>
    </row>
    <row r="713" ht="15.0" customHeight="1">
      <c r="B713" s="6">
        <f t="shared" si="1"/>
        <v>711</v>
      </c>
      <c r="C713" s="1" t="s">
        <v>1112</v>
      </c>
      <c r="D713" s="1" t="s">
        <v>44</v>
      </c>
      <c r="E713" s="1" t="s">
        <v>1112</v>
      </c>
      <c r="F713" s="1" t="s">
        <v>981</v>
      </c>
      <c r="G713" s="1" t="s">
        <v>318</v>
      </c>
      <c r="H713" s="6">
        <v>2026.0</v>
      </c>
      <c r="I713" s="1" t="s">
        <v>918</v>
      </c>
      <c r="J713" s="1" t="s">
        <v>62</v>
      </c>
      <c r="K713" s="1" t="s">
        <v>289</v>
      </c>
      <c r="M713" s="7">
        <v>1.0E8</v>
      </c>
      <c r="N713" s="7"/>
      <c r="O713" s="8"/>
      <c r="P713" s="7">
        <v>0.0</v>
      </c>
      <c r="Q713" s="7">
        <v>0.0</v>
      </c>
      <c r="R713" s="7">
        <v>1.0E8</v>
      </c>
      <c r="S713" s="1" t="s">
        <v>52</v>
      </c>
    </row>
    <row r="714" ht="15.0" customHeight="1">
      <c r="B714" s="6">
        <f t="shared" si="1"/>
        <v>712</v>
      </c>
      <c r="C714" s="1" t="s">
        <v>1113</v>
      </c>
      <c r="D714" s="1" t="s">
        <v>44</v>
      </c>
      <c r="E714" s="1" t="s">
        <v>1113</v>
      </c>
      <c r="F714" s="1" t="s">
        <v>64</v>
      </c>
      <c r="G714" s="1" t="s">
        <v>318</v>
      </c>
      <c r="H714" s="6">
        <v>2026.0</v>
      </c>
      <c r="I714" s="1" t="s">
        <v>918</v>
      </c>
      <c r="J714" s="1" t="s">
        <v>62</v>
      </c>
      <c r="K714" s="1" t="s">
        <v>289</v>
      </c>
      <c r="M714" s="7">
        <v>5.91E8</v>
      </c>
      <c r="N714" s="7"/>
      <c r="O714" s="8"/>
      <c r="P714" s="7">
        <v>0.0</v>
      </c>
      <c r="Q714" s="7">
        <v>5.09398718E8</v>
      </c>
      <c r="R714" s="7">
        <v>8.1601282E7</v>
      </c>
      <c r="S714" s="1" t="s">
        <v>52</v>
      </c>
    </row>
    <row r="715" ht="15.0" customHeight="1">
      <c r="B715" s="6">
        <f t="shared" si="1"/>
        <v>713</v>
      </c>
      <c r="C715" s="1" t="s">
        <v>1114</v>
      </c>
      <c r="D715" s="1" t="s">
        <v>44</v>
      </c>
      <c r="E715" s="1" t="s">
        <v>1114</v>
      </c>
      <c r="F715" s="1" t="s">
        <v>297</v>
      </c>
      <c r="G715" s="1" t="s">
        <v>318</v>
      </c>
      <c r="H715" s="6">
        <v>2026.0</v>
      </c>
      <c r="I715" s="1" t="s">
        <v>918</v>
      </c>
      <c r="J715" s="1" t="s">
        <v>62</v>
      </c>
      <c r="K715" s="1" t="s">
        <v>289</v>
      </c>
      <c r="M715" s="7">
        <v>1.5E8</v>
      </c>
      <c r="N715" s="7"/>
      <c r="O715" s="8"/>
      <c r="P715" s="7">
        <v>0.0</v>
      </c>
      <c r="Q715" s="7">
        <v>0.0</v>
      </c>
      <c r="R715" s="7">
        <v>1.5E8</v>
      </c>
      <c r="S715" s="1" t="s">
        <v>52</v>
      </c>
    </row>
    <row r="716" ht="15.0" customHeight="1">
      <c r="B716" s="6">
        <f t="shared" si="1"/>
        <v>714</v>
      </c>
      <c r="C716" s="1" t="s">
        <v>1115</v>
      </c>
      <c r="D716" s="1" t="s">
        <v>44</v>
      </c>
      <c r="E716" s="1" t="s">
        <v>1115</v>
      </c>
      <c r="F716" s="1" t="s">
        <v>1116</v>
      </c>
      <c r="G716" s="1" t="s">
        <v>1117</v>
      </c>
      <c r="H716" s="6">
        <v>1986.0</v>
      </c>
      <c r="I716" s="1" t="s">
        <v>1118</v>
      </c>
      <c r="J716" s="1" t="s">
        <v>54</v>
      </c>
      <c r="K716" s="1" t="s">
        <v>286</v>
      </c>
      <c r="M716" s="7">
        <v>9980000.0</v>
      </c>
      <c r="N716" s="7">
        <v>8182212.41</v>
      </c>
      <c r="O716" s="8">
        <v>46112.0</v>
      </c>
      <c r="P716" s="7">
        <v>1.758470805E7</v>
      </c>
      <c r="Q716" s="7">
        <v>1.009327308E7</v>
      </c>
      <c r="R716" s="7">
        <v>0.0</v>
      </c>
      <c r="S716" s="1" t="s">
        <v>52</v>
      </c>
    </row>
    <row r="717" ht="15.0" customHeight="1">
      <c r="B717" s="6">
        <f t="shared" si="1"/>
        <v>715</v>
      </c>
      <c r="C717" s="1" t="s">
        <v>1119</v>
      </c>
      <c r="D717" s="1" t="s">
        <v>44</v>
      </c>
      <c r="E717" s="1" t="s">
        <v>1119</v>
      </c>
      <c r="F717" s="1" t="s">
        <v>285</v>
      </c>
      <c r="G717" s="1" t="s">
        <v>1117</v>
      </c>
      <c r="H717" s="6">
        <v>1987.0</v>
      </c>
      <c r="I717" s="1" t="s">
        <v>1118</v>
      </c>
      <c r="J717" s="1" t="s">
        <v>54</v>
      </c>
      <c r="K717" s="1" t="s">
        <v>286</v>
      </c>
      <c r="M717" s="7">
        <v>1.31991E8</v>
      </c>
      <c r="N717" s="7">
        <v>6.5271781E7</v>
      </c>
      <c r="O717" s="8">
        <v>46112.0</v>
      </c>
      <c r="P717" s="7">
        <v>2.1096985085E8</v>
      </c>
      <c r="Q717" s="7">
        <v>1.3380730589E8</v>
      </c>
      <c r="R717" s="7">
        <v>0.0</v>
      </c>
      <c r="S717" s="1" t="s">
        <v>52</v>
      </c>
    </row>
    <row r="718" ht="15.0" customHeight="1">
      <c r="B718" s="6">
        <f t="shared" si="1"/>
        <v>716</v>
      </c>
      <c r="C718" s="1" t="s">
        <v>1120</v>
      </c>
      <c r="D718" s="1" t="s">
        <v>44</v>
      </c>
      <c r="E718" s="1" t="s">
        <v>1120</v>
      </c>
      <c r="F718" s="1" t="s">
        <v>1121</v>
      </c>
      <c r="G718" s="1" t="s">
        <v>1117</v>
      </c>
      <c r="H718" s="6">
        <v>1993.0</v>
      </c>
      <c r="I718" s="1" t="s">
        <v>1118</v>
      </c>
      <c r="J718" s="1" t="s">
        <v>54</v>
      </c>
      <c r="K718" s="1" t="s">
        <v>286</v>
      </c>
      <c r="M718" s="7">
        <v>8.2653E7</v>
      </c>
      <c r="N718" s="7">
        <v>0.0</v>
      </c>
      <c r="O718" s="8">
        <v>41364.0</v>
      </c>
      <c r="P718" s="7">
        <v>1.0804282962E8</v>
      </c>
      <c r="Q718" s="7">
        <v>8.276027624E7</v>
      </c>
      <c r="R718" s="7">
        <v>0.17</v>
      </c>
      <c r="S718" s="1" t="s">
        <v>52</v>
      </c>
    </row>
    <row r="719" ht="15.0" customHeight="1">
      <c r="B719" s="6">
        <f t="shared" si="1"/>
        <v>717</v>
      </c>
      <c r="C719" s="1" t="s">
        <v>1122</v>
      </c>
      <c r="D719" s="1" t="s">
        <v>44</v>
      </c>
      <c r="E719" s="1" t="s">
        <v>1122</v>
      </c>
      <c r="F719" s="1" t="s">
        <v>1123</v>
      </c>
      <c r="G719" s="1" t="s">
        <v>1117</v>
      </c>
      <c r="H719" s="6">
        <v>1993.0</v>
      </c>
      <c r="I719" s="1" t="s">
        <v>1118</v>
      </c>
      <c r="J719" s="1" t="s">
        <v>54</v>
      </c>
      <c r="K719" s="1" t="s">
        <v>286</v>
      </c>
      <c r="M719" s="7">
        <v>1.50403E8</v>
      </c>
      <c r="N719" s="7">
        <v>3.0111627E7</v>
      </c>
      <c r="O719" s="8">
        <v>46112.0</v>
      </c>
      <c r="P719" s="7">
        <v>2.6305283961E8</v>
      </c>
      <c r="Q719" s="7">
        <v>1.5174692586E8</v>
      </c>
      <c r="R719" s="7">
        <v>0.0</v>
      </c>
      <c r="S719" s="1" t="s">
        <v>52</v>
      </c>
    </row>
    <row r="720" ht="15.0" customHeight="1">
      <c r="B720" s="6">
        <f t="shared" si="1"/>
        <v>718</v>
      </c>
      <c r="C720" s="1" t="s">
        <v>1124</v>
      </c>
      <c r="D720" s="1" t="s">
        <v>44</v>
      </c>
      <c r="E720" s="1" t="s">
        <v>1125</v>
      </c>
      <c r="F720" s="1" t="s">
        <v>1126</v>
      </c>
      <c r="G720" s="1" t="s">
        <v>1117</v>
      </c>
      <c r="H720" s="6">
        <v>1993.0</v>
      </c>
      <c r="I720" s="1" t="s">
        <v>1118</v>
      </c>
      <c r="J720" s="1" t="s">
        <v>62</v>
      </c>
      <c r="K720" s="1" t="s">
        <v>1127</v>
      </c>
      <c r="M720" s="7">
        <v>1.33179E8</v>
      </c>
      <c r="N720" s="7">
        <v>1.548297558E7</v>
      </c>
      <c r="O720" s="8">
        <v>46022.0</v>
      </c>
      <c r="P720" s="7">
        <v>3.7343380732E8</v>
      </c>
      <c r="Q720" s="7">
        <v>2.7486332505E8</v>
      </c>
      <c r="R720" s="7">
        <v>0.0</v>
      </c>
      <c r="S720" s="1" t="s">
        <v>52</v>
      </c>
    </row>
    <row r="721" ht="15.0" customHeight="1">
      <c r="B721" s="6">
        <f t="shared" si="1"/>
        <v>719</v>
      </c>
      <c r="C721" s="1" t="s">
        <v>1128</v>
      </c>
      <c r="D721" s="1" t="s">
        <v>44</v>
      </c>
      <c r="E721" s="1" t="s">
        <v>1128</v>
      </c>
      <c r="F721" s="1" t="s">
        <v>322</v>
      </c>
      <c r="G721" s="1" t="s">
        <v>1117</v>
      </c>
      <c r="H721" s="6">
        <v>2013.0</v>
      </c>
      <c r="I721" s="1" t="s">
        <v>1118</v>
      </c>
      <c r="J721" s="1" t="s">
        <v>54</v>
      </c>
      <c r="K721" s="1" t="s">
        <v>286</v>
      </c>
      <c r="M721" s="7">
        <v>879844.0</v>
      </c>
      <c r="N721" s="7">
        <v>0.0</v>
      </c>
      <c r="O721" s="8">
        <v>42088.0</v>
      </c>
      <c r="P721" s="7">
        <v>1338723.49</v>
      </c>
      <c r="Q721" s="7">
        <v>1106388.08</v>
      </c>
      <c r="R721" s="7">
        <v>0.26</v>
      </c>
      <c r="S721" s="1" t="s">
        <v>52</v>
      </c>
    </row>
    <row r="722" ht="15.0" customHeight="1">
      <c r="B722" s="6">
        <f t="shared" si="1"/>
        <v>720</v>
      </c>
      <c r="C722" s="1" t="s">
        <v>1129</v>
      </c>
      <c r="D722" s="1" t="s">
        <v>44</v>
      </c>
      <c r="E722" s="1" t="s">
        <v>1129</v>
      </c>
      <c r="F722" s="1" t="s">
        <v>1130</v>
      </c>
      <c r="G722" s="1" t="s">
        <v>1117</v>
      </c>
      <c r="H722" s="6">
        <v>1980.0</v>
      </c>
      <c r="I722" s="1" t="s">
        <v>1118</v>
      </c>
      <c r="J722" s="1" t="s">
        <v>54</v>
      </c>
      <c r="K722" s="1" t="s">
        <v>286</v>
      </c>
      <c r="M722" s="7">
        <v>1.94091788937E9</v>
      </c>
      <c r="N722" s="7">
        <v>0.0</v>
      </c>
      <c r="O722" s="8">
        <v>41090.0</v>
      </c>
      <c r="P722" s="7">
        <v>2.94321524952E9</v>
      </c>
      <c r="Q722" s="7">
        <v>1.84511486337E9</v>
      </c>
      <c r="R722" s="7">
        <v>0.0</v>
      </c>
      <c r="S722" s="1" t="s">
        <v>52</v>
      </c>
    </row>
    <row r="723" ht="15.0" customHeight="1">
      <c r="B723" s="6">
        <f t="shared" si="1"/>
        <v>721</v>
      </c>
      <c r="C723" s="1" t="s">
        <v>1131</v>
      </c>
      <c r="D723" s="1" t="s">
        <v>44</v>
      </c>
      <c r="E723" s="1" t="s">
        <v>1131</v>
      </c>
      <c r="F723" s="1" t="s">
        <v>1116</v>
      </c>
      <c r="G723" s="1" t="s">
        <v>1117</v>
      </c>
      <c r="H723" s="6">
        <v>2017.0</v>
      </c>
      <c r="I723" s="1" t="s">
        <v>1118</v>
      </c>
      <c r="J723" s="1" t="s">
        <v>281</v>
      </c>
      <c r="K723" s="1" t="s">
        <v>282</v>
      </c>
      <c r="M723" s="7">
        <v>9236885.62</v>
      </c>
      <c r="N723" s="7">
        <v>1596238.49</v>
      </c>
      <c r="O723" s="8">
        <v>46112.0</v>
      </c>
      <c r="P723" s="7">
        <v>0.0</v>
      </c>
      <c r="Q723" s="7">
        <v>9236886.01</v>
      </c>
      <c r="R723" s="7">
        <v>-0.39</v>
      </c>
      <c r="S723" s="1" t="s">
        <v>52</v>
      </c>
    </row>
    <row r="724" ht="15.0" customHeight="1">
      <c r="B724" s="6">
        <f t="shared" si="1"/>
        <v>722</v>
      </c>
      <c r="C724" s="1" t="s">
        <v>1132</v>
      </c>
      <c r="D724" s="1" t="s">
        <v>44</v>
      </c>
      <c r="E724" s="1" t="s">
        <v>1132</v>
      </c>
      <c r="F724" s="1" t="s">
        <v>291</v>
      </c>
      <c r="G724" s="1" t="s">
        <v>1117</v>
      </c>
      <c r="H724" s="6">
        <v>2018.0</v>
      </c>
      <c r="I724" s="1" t="s">
        <v>1118</v>
      </c>
      <c r="J724" s="1" t="s">
        <v>54</v>
      </c>
      <c r="K724" s="1" t="s">
        <v>286</v>
      </c>
      <c r="M724" s="7">
        <v>1.911123474E7</v>
      </c>
      <c r="N724" s="7">
        <v>0.0</v>
      </c>
      <c r="O724" s="8">
        <v>45198.0</v>
      </c>
      <c r="P724" s="7">
        <v>3.78186129E7</v>
      </c>
      <c r="Q724" s="7">
        <v>1.911123474E7</v>
      </c>
      <c r="R724" s="7">
        <v>0.0</v>
      </c>
      <c r="S724" s="1" t="s">
        <v>52</v>
      </c>
    </row>
    <row r="725" ht="15.0" customHeight="1">
      <c r="B725" s="6">
        <f t="shared" si="1"/>
        <v>723</v>
      </c>
      <c r="C725" s="1" t="s">
        <v>1133</v>
      </c>
      <c r="D725" s="1" t="s">
        <v>44</v>
      </c>
      <c r="E725" s="1" t="s">
        <v>1133</v>
      </c>
      <c r="F725" s="1" t="s">
        <v>291</v>
      </c>
      <c r="G725" s="1" t="s">
        <v>1117</v>
      </c>
      <c r="H725" s="6">
        <v>2018.0</v>
      </c>
      <c r="I725" s="1" t="s">
        <v>1118</v>
      </c>
      <c r="J725" s="1" t="s">
        <v>54</v>
      </c>
      <c r="K725" s="1" t="s">
        <v>286</v>
      </c>
      <c r="M725" s="7">
        <v>5.526494E7</v>
      </c>
      <c r="N725" s="7">
        <v>0.0</v>
      </c>
      <c r="O725" s="8">
        <v>45198.0</v>
      </c>
      <c r="P725" s="7">
        <v>1.1599468067E8</v>
      </c>
      <c r="Q725" s="7">
        <v>5.526493974E7</v>
      </c>
      <c r="R725" s="7">
        <v>0.26</v>
      </c>
      <c r="S725" s="1" t="s">
        <v>52</v>
      </c>
    </row>
    <row r="726" ht="15.0" customHeight="1">
      <c r="B726" s="6">
        <f t="shared" si="1"/>
        <v>724</v>
      </c>
      <c r="C726" s="1" t="s">
        <v>1134</v>
      </c>
      <c r="D726" s="1" t="s">
        <v>44</v>
      </c>
      <c r="E726" s="1" t="s">
        <v>1134</v>
      </c>
      <c r="F726" s="1" t="s">
        <v>291</v>
      </c>
      <c r="G726" s="1" t="s">
        <v>1117</v>
      </c>
      <c r="H726" s="6">
        <v>2018.0</v>
      </c>
      <c r="I726" s="1" t="s">
        <v>1118</v>
      </c>
      <c r="J726" s="1" t="s">
        <v>54</v>
      </c>
      <c r="K726" s="1" t="s">
        <v>286</v>
      </c>
      <c r="M726" s="7">
        <v>3.674714657E7</v>
      </c>
      <c r="N726" s="7">
        <v>0.0</v>
      </c>
      <c r="O726" s="8">
        <v>45730.0</v>
      </c>
      <c r="P726" s="7">
        <v>6.946082463E7</v>
      </c>
      <c r="Q726" s="7">
        <v>3.674762506E7</v>
      </c>
      <c r="R726" s="7">
        <v>0.0</v>
      </c>
      <c r="S726" s="1" t="s">
        <v>52</v>
      </c>
    </row>
    <row r="727" ht="15.0" customHeight="1">
      <c r="B727" s="6">
        <f t="shared" si="1"/>
        <v>725</v>
      </c>
      <c r="C727" s="1" t="s">
        <v>1135</v>
      </c>
      <c r="D727" s="1" t="s">
        <v>44</v>
      </c>
      <c r="E727" s="1" t="s">
        <v>1135</v>
      </c>
      <c r="F727" s="1" t="s">
        <v>291</v>
      </c>
      <c r="G727" s="1" t="s">
        <v>1117</v>
      </c>
      <c r="H727" s="6">
        <v>2018.0</v>
      </c>
      <c r="I727" s="1" t="s">
        <v>1118</v>
      </c>
      <c r="J727" s="1" t="s">
        <v>54</v>
      </c>
      <c r="K727" s="1" t="s">
        <v>286</v>
      </c>
      <c r="M727" s="7">
        <v>3.45503047E7</v>
      </c>
      <c r="N727" s="7">
        <v>0.0</v>
      </c>
      <c r="O727" s="8">
        <v>45198.0</v>
      </c>
      <c r="P727" s="7">
        <v>5.276413514E7</v>
      </c>
      <c r="Q727" s="7">
        <v>3.45503047E7</v>
      </c>
      <c r="R727" s="7">
        <v>0.0</v>
      </c>
      <c r="S727" s="1" t="s">
        <v>52</v>
      </c>
    </row>
    <row r="728" ht="15.0" customHeight="1">
      <c r="B728" s="6">
        <f t="shared" si="1"/>
        <v>726</v>
      </c>
      <c r="C728" s="1" t="s">
        <v>1136</v>
      </c>
      <c r="D728" s="1" t="s">
        <v>44</v>
      </c>
      <c r="E728" s="1" t="s">
        <v>1136</v>
      </c>
      <c r="F728" s="1" t="s">
        <v>1116</v>
      </c>
      <c r="G728" s="1" t="s">
        <v>1117</v>
      </c>
      <c r="H728" s="6">
        <v>2020.0</v>
      </c>
      <c r="I728" s="1" t="s">
        <v>1118</v>
      </c>
      <c r="J728" s="1" t="s">
        <v>281</v>
      </c>
      <c r="K728" s="1" t="s">
        <v>282</v>
      </c>
      <c r="M728" s="7">
        <v>1329452.61</v>
      </c>
      <c r="N728" s="7">
        <v>561150.98</v>
      </c>
      <c r="O728" s="8">
        <v>46112.0</v>
      </c>
      <c r="P728" s="7">
        <v>0.0</v>
      </c>
      <c r="Q728" s="7">
        <v>1329452.61</v>
      </c>
      <c r="R728" s="7">
        <v>0.0</v>
      </c>
      <c r="S728" s="1" t="s">
        <v>52</v>
      </c>
    </row>
    <row r="729" ht="15.0" customHeight="1">
      <c r="B729" s="6">
        <f t="shared" si="1"/>
        <v>727</v>
      </c>
      <c r="C729" s="1" t="s">
        <v>1137</v>
      </c>
      <c r="D729" s="1" t="s">
        <v>9</v>
      </c>
      <c r="E729" s="1" t="s">
        <v>1137</v>
      </c>
      <c r="F729" s="1" t="s">
        <v>322</v>
      </c>
      <c r="G729" s="1" t="s">
        <v>1138</v>
      </c>
      <c r="H729" s="6">
        <v>2022.0</v>
      </c>
      <c r="I729" s="1" t="s">
        <v>319</v>
      </c>
      <c r="J729" s="1" t="s">
        <v>41</v>
      </c>
      <c r="K729" s="1" t="s">
        <v>55</v>
      </c>
      <c r="M729" s="7">
        <v>2.5E8</v>
      </c>
      <c r="N729" s="7">
        <v>1.92361041E8</v>
      </c>
      <c r="O729" s="8">
        <v>46112.0</v>
      </c>
      <c r="P729" s="7">
        <v>5.272247847E7</v>
      </c>
      <c r="Q729" s="7">
        <v>2.084654814E8</v>
      </c>
      <c r="R729" s="7">
        <v>6.093907626E7</v>
      </c>
      <c r="S729" s="1" t="s">
        <v>52</v>
      </c>
    </row>
    <row r="730" ht="15.0" customHeight="1">
      <c r="B730" s="6">
        <f t="shared" si="1"/>
        <v>728</v>
      </c>
      <c r="C730" s="1" t="s">
        <v>1139</v>
      </c>
      <c r="D730" s="1" t="s">
        <v>39</v>
      </c>
      <c r="E730" s="1" t="s">
        <v>1139</v>
      </c>
      <c r="F730" s="1" t="s">
        <v>232</v>
      </c>
      <c r="G730" s="1" t="s">
        <v>1138</v>
      </c>
      <c r="H730" s="6">
        <v>2009.0</v>
      </c>
      <c r="I730" s="1" t="s">
        <v>345</v>
      </c>
      <c r="J730" s="1" t="s">
        <v>92</v>
      </c>
      <c r="K730" s="1" t="s">
        <v>93</v>
      </c>
      <c r="M730" s="7">
        <v>5.0E8</v>
      </c>
      <c r="N730" s="7">
        <v>0.0</v>
      </c>
      <c r="O730" s="8">
        <v>44835.0</v>
      </c>
      <c r="P730" s="7">
        <v>8.6892199622E8</v>
      </c>
      <c r="Q730" s="7">
        <v>5.0E8</v>
      </c>
      <c r="R730" s="7">
        <v>0.0</v>
      </c>
      <c r="S730" s="1" t="s">
        <v>52</v>
      </c>
    </row>
    <row r="731" ht="15.0" customHeight="1">
      <c r="B731" s="6">
        <f t="shared" si="1"/>
        <v>729</v>
      </c>
      <c r="C731" s="1" t="s">
        <v>1140</v>
      </c>
      <c r="D731" s="1" t="s">
        <v>39</v>
      </c>
      <c r="E731" s="1" t="s">
        <v>1140</v>
      </c>
      <c r="F731" s="1" t="s">
        <v>105</v>
      </c>
      <c r="G731" s="1" t="s">
        <v>1138</v>
      </c>
      <c r="H731" s="6">
        <v>2014.0</v>
      </c>
      <c r="I731" s="1" t="s">
        <v>345</v>
      </c>
      <c r="J731" s="1" t="s">
        <v>92</v>
      </c>
      <c r="K731" s="1" t="s">
        <v>93</v>
      </c>
      <c r="M731" s="7">
        <v>2.5E8</v>
      </c>
      <c r="N731" s="7">
        <v>2.15862853E8</v>
      </c>
      <c r="O731" s="8">
        <v>46112.0</v>
      </c>
      <c r="P731" s="7">
        <v>8.4601535755E8</v>
      </c>
      <c r="Q731" s="7">
        <v>8.1127124862E8</v>
      </c>
      <c r="R731" s="7">
        <v>4.464123364E7</v>
      </c>
      <c r="S731" s="1" t="s">
        <v>52</v>
      </c>
    </row>
    <row r="732" ht="15.0" customHeight="1">
      <c r="B732" s="6">
        <f t="shared" si="1"/>
        <v>730</v>
      </c>
      <c r="C732" s="1" t="s">
        <v>1141</v>
      </c>
      <c r="D732" s="1" t="s">
        <v>39</v>
      </c>
      <c r="E732" s="1" t="s">
        <v>1141</v>
      </c>
      <c r="F732" s="1" t="s">
        <v>109</v>
      </c>
      <c r="G732" s="1" t="s">
        <v>1138</v>
      </c>
      <c r="H732" s="6">
        <v>2014.0</v>
      </c>
      <c r="I732" s="1" t="s">
        <v>345</v>
      </c>
      <c r="J732" s="1" t="s">
        <v>102</v>
      </c>
      <c r="K732" s="1" t="s">
        <v>421</v>
      </c>
      <c r="M732" s="7">
        <v>5.4E8</v>
      </c>
      <c r="N732" s="7">
        <v>7.63593955E8</v>
      </c>
      <c r="O732" s="8">
        <v>46112.0</v>
      </c>
      <c r="P732" s="7">
        <v>5.7770532357E8</v>
      </c>
      <c r="Q732" s="7">
        <v>9.8476583317E8</v>
      </c>
      <c r="R732" s="7">
        <v>1.2622998876E8</v>
      </c>
      <c r="S732" s="1" t="s">
        <v>52</v>
      </c>
    </row>
    <row r="733" ht="15.0" customHeight="1">
      <c r="B733" s="6">
        <f t="shared" si="1"/>
        <v>731</v>
      </c>
      <c r="C733" s="1" t="s">
        <v>1142</v>
      </c>
      <c r="D733" s="1" t="s">
        <v>39</v>
      </c>
      <c r="E733" s="1" t="s">
        <v>1142</v>
      </c>
      <c r="F733" s="1" t="s">
        <v>223</v>
      </c>
      <c r="G733" s="1" t="s">
        <v>1138</v>
      </c>
      <c r="H733" s="6">
        <v>2015.0</v>
      </c>
      <c r="I733" s="1" t="s">
        <v>345</v>
      </c>
      <c r="J733" s="1" t="s">
        <v>102</v>
      </c>
      <c r="K733" s="1" t="s">
        <v>103</v>
      </c>
      <c r="M733" s="7">
        <v>4.4E8</v>
      </c>
      <c r="N733" s="7">
        <v>5.39518049E8</v>
      </c>
      <c r="O733" s="8">
        <v>46173.0</v>
      </c>
      <c r="P733" s="7">
        <v>2.9984674941E8</v>
      </c>
      <c r="Q733" s="7">
        <v>5.1197547547E8</v>
      </c>
      <c r="R733" s="7">
        <v>1.1594246604E8</v>
      </c>
      <c r="S733" s="1" t="s">
        <v>52</v>
      </c>
    </row>
    <row r="734" ht="15.0" customHeight="1">
      <c r="B734" s="6">
        <f t="shared" si="1"/>
        <v>732</v>
      </c>
      <c r="C734" s="1" t="s">
        <v>1143</v>
      </c>
      <c r="D734" s="1" t="s">
        <v>39</v>
      </c>
      <c r="E734" s="1" t="s">
        <v>1143</v>
      </c>
      <c r="F734" s="1" t="s">
        <v>105</v>
      </c>
      <c r="G734" s="1" t="s">
        <v>1138</v>
      </c>
      <c r="H734" s="6">
        <v>2014.0</v>
      </c>
      <c r="I734" s="1" t="s">
        <v>345</v>
      </c>
      <c r="J734" s="1" t="s">
        <v>92</v>
      </c>
      <c r="K734" s="1" t="s">
        <v>93</v>
      </c>
      <c r="M734" s="7">
        <v>2.5E8</v>
      </c>
      <c r="N734" s="7">
        <v>2.17831417E8</v>
      </c>
      <c r="O734" s="8">
        <v>46112.0</v>
      </c>
      <c r="P734" s="7">
        <v>6.5549522291E8</v>
      </c>
      <c r="Q734" s="7">
        <v>7.3378974278E8</v>
      </c>
      <c r="R734" s="7">
        <v>7.727582691E7</v>
      </c>
      <c r="S734" s="1" t="s">
        <v>52</v>
      </c>
    </row>
    <row r="735" ht="15.0" customHeight="1">
      <c r="B735" s="6">
        <f t="shared" si="1"/>
        <v>733</v>
      </c>
      <c r="C735" s="1" t="s">
        <v>1144</v>
      </c>
      <c r="D735" s="1" t="s">
        <v>39</v>
      </c>
      <c r="E735" s="1" t="s">
        <v>1144</v>
      </c>
      <c r="F735" s="1" t="s">
        <v>101</v>
      </c>
      <c r="G735" s="1" t="s">
        <v>1138</v>
      </c>
      <c r="H735" s="6">
        <v>2016.0</v>
      </c>
      <c r="I735" s="1" t="s">
        <v>345</v>
      </c>
      <c r="J735" s="1" t="s">
        <v>102</v>
      </c>
      <c r="K735" s="1" t="s">
        <v>103</v>
      </c>
      <c r="M735" s="7">
        <v>4.0E8</v>
      </c>
      <c r="N735" s="7">
        <v>3.5209890405E8</v>
      </c>
      <c r="O735" s="8">
        <v>46112.0</v>
      </c>
      <c r="P735" s="7">
        <v>2.5710276354E8</v>
      </c>
      <c r="Q735" s="7">
        <v>3.5363855422E8</v>
      </c>
      <c r="R735" s="7">
        <v>1.9421071246E8</v>
      </c>
      <c r="S735" s="1" t="s">
        <v>52</v>
      </c>
    </row>
    <row r="736" ht="15.0" customHeight="1">
      <c r="B736" s="6">
        <f t="shared" si="1"/>
        <v>734</v>
      </c>
      <c r="C736" s="1" t="s">
        <v>1145</v>
      </c>
      <c r="D736" s="1" t="s">
        <v>39</v>
      </c>
      <c r="E736" s="1" t="s">
        <v>1145</v>
      </c>
      <c r="F736" s="1" t="s">
        <v>105</v>
      </c>
      <c r="G736" s="1" t="s">
        <v>1138</v>
      </c>
      <c r="H736" s="6">
        <v>2020.0</v>
      </c>
      <c r="I736" s="1" t="s">
        <v>345</v>
      </c>
      <c r="J736" s="1" t="s">
        <v>92</v>
      </c>
      <c r="K736" s="1" t="s">
        <v>93</v>
      </c>
      <c r="M736" s="7">
        <v>2.0E8</v>
      </c>
      <c r="N736" s="7">
        <v>1.66154425E8</v>
      </c>
      <c r="O736" s="8">
        <v>46112.0</v>
      </c>
      <c r="P736" s="7">
        <v>2.6777472387E8</v>
      </c>
      <c r="Q736" s="7">
        <v>3.599715685E8</v>
      </c>
      <c r="R736" s="7">
        <v>6.884495948E7</v>
      </c>
      <c r="S736" s="1" t="s">
        <v>52</v>
      </c>
    </row>
    <row r="737" ht="15.0" customHeight="1">
      <c r="B737" s="6">
        <f t="shared" si="1"/>
        <v>735</v>
      </c>
      <c r="C737" s="1" t="s">
        <v>1146</v>
      </c>
      <c r="D737" s="1" t="s">
        <v>39</v>
      </c>
      <c r="E737" s="1" t="s">
        <v>1147</v>
      </c>
      <c r="F737" s="1" t="s">
        <v>418</v>
      </c>
      <c r="G737" s="1" t="s">
        <v>1138</v>
      </c>
      <c r="H737" s="6">
        <v>2023.0</v>
      </c>
      <c r="I737" s="1" t="s">
        <v>345</v>
      </c>
      <c r="J737" s="1" t="s">
        <v>376</v>
      </c>
      <c r="K737" s="1" t="s">
        <v>419</v>
      </c>
      <c r="M737" s="7">
        <v>4.5E8</v>
      </c>
      <c r="N737" s="7">
        <v>3.12908803E8</v>
      </c>
      <c r="O737" s="8">
        <v>46112.0</v>
      </c>
      <c r="P737" s="7">
        <v>1.60708771891E8</v>
      </c>
      <c r="Q737" s="7">
        <v>2.4178181283E8</v>
      </c>
      <c r="R737" s="7">
        <v>2.27627232781E8</v>
      </c>
      <c r="S737" s="1" t="s">
        <v>52</v>
      </c>
    </row>
    <row r="738" ht="15.0" customHeight="1">
      <c r="B738" s="6">
        <f t="shared" si="1"/>
        <v>736</v>
      </c>
      <c r="C738" s="1" t="s">
        <v>1148</v>
      </c>
      <c r="D738" s="1" t="s">
        <v>44</v>
      </c>
      <c r="E738" s="1" t="s">
        <v>1148</v>
      </c>
      <c r="F738" s="1" t="s">
        <v>279</v>
      </c>
      <c r="G738" s="1" t="s">
        <v>1138</v>
      </c>
      <c r="H738" s="6">
        <v>2016.0</v>
      </c>
      <c r="I738" s="1" t="s">
        <v>918</v>
      </c>
      <c r="J738" s="1" t="s">
        <v>62</v>
      </c>
      <c r="K738" s="1" t="s">
        <v>289</v>
      </c>
      <c r="M738" s="7">
        <v>3.0330485202E8</v>
      </c>
      <c r="N738" s="7">
        <v>1.204415671E9</v>
      </c>
      <c r="O738" s="8">
        <v>46112.0</v>
      </c>
      <c r="P738" s="7">
        <v>1.47541224803E9</v>
      </c>
      <c r="Q738" s="7">
        <v>3.0330485202E8</v>
      </c>
      <c r="R738" s="7">
        <v>0.0</v>
      </c>
      <c r="S738" s="1" t="s">
        <v>52</v>
      </c>
    </row>
    <row r="739" ht="15.0" customHeight="1">
      <c r="B739" s="6">
        <f t="shared" si="1"/>
        <v>737</v>
      </c>
      <c r="C739" s="1" t="s">
        <v>1149</v>
      </c>
      <c r="D739" s="1" t="s">
        <v>44</v>
      </c>
      <c r="E739" s="1" t="s">
        <v>1149</v>
      </c>
      <c r="F739" s="1" t="s">
        <v>971</v>
      </c>
      <c r="G739" s="1" t="s">
        <v>1138</v>
      </c>
      <c r="H739" s="6">
        <v>1992.0</v>
      </c>
      <c r="I739" s="1" t="s">
        <v>918</v>
      </c>
      <c r="J739" s="1" t="s">
        <v>54</v>
      </c>
      <c r="K739" s="1" t="s">
        <v>1150</v>
      </c>
      <c r="M739" s="7">
        <v>2.0E8</v>
      </c>
      <c r="N739" s="7">
        <v>1.11022856E8</v>
      </c>
      <c r="O739" s="8">
        <v>46112.0</v>
      </c>
      <c r="P739" s="7">
        <v>1.9828312363E8</v>
      </c>
      <c r="Q739" s="7">
        <v>2.4314025122E8</v>
      </c>
      <c r="R739" s="7">
        <v>5.631307078E7</v>
      </c>
      <c r="S739" s="1" t="s">
        <v>52</v>
      </c>
    </row>
    <row r="740" ht="15.0" customHeight="1">
      <c r="B740" s="6">
        <f t="shared" si="1"/>
        <v>738</v>
      </c>
      <c r="C740" s="1" t="s">
        <v>1151</v>
      </c>
      <c r="D740" s="1" t="s">
        <v>44</v>
      </c>
      <c r="E740" s="1" t="s">
        <v>1151</v>
      </c>
      <c r="F740" s="1" t="s">
        <v>1152</v>
      </c>
      <c r="G740" s="1" t="s">
        <v>1153</v>
      </c>
      <c r="H740" s="6">
        <v>2000.0</v>
      </c>
      <c r="I740" s="1" t="s">
        <v>1153</v>
      </c>
      <c r="J740" s="1" t="s">
        <v>54</v>
      </c>
      <c r="K740" s="1" t="s">
        <v>42</v>
      </c>
      <c r="M740" s="7">
        <v>1.0E8</v>
      </c>
      <c r="N740" s="7">
        <v>0.0</v>
      </c>
      <c r="O740" s="8">
        <v>37437.0</v>
      </c>
      <c r="P740" s="7">
        <v>1.0991759699E8</v>
      </c>
      <c r="Q740" s="7">
        <v>1.0E8</v>
      </c>
      <c r="R740" s="7">
        <v>0.0</v>
      </c>
      <c r="S740" s="1" t="s">
        <v>52</v>
      </c>
    </row>
    <row r="741" ht="15.0" customHeight="1">
      <c r="B741" s="6">
        <f t="shared" si="1"/>
        <v>739</v>
      </c>
      <c r="C741" s="1" t="s">
        <v>1154</v>
      </c>
      <c r="D741" s="1" t="s">
        <v>44</v>
      </c>
      <c r="E741" s="1" t="s">
        <v>1154</v>
      </c>
      <c r="F741" s="1" t="s">
        <v>1155</v>
      </c>
      <c r="G741" s="1" t="s">
        <v>1153</v>
      </c>
      <c r="H741" s="6">
        <v>1998.0</v>
      </c>
      <c r="I741" s="1" t="s">
        <v>1153</v>
      </c>
      <c r="J741" s="1" t="s">
        <v>54</v>
      </c>
      <c r="K741" s="1" t="s">
        <v>286</v>
      </c>
      <c r="M741" s="7">
        <v>3.4471333444E8</v>
      </c>
      <c r="N741" s="7">
        <v>0.0</v>
      </c>
      <c r="O741" s="8">
        <v>37437.0</v>
      </c>
      <c r="P741" s="7">
        <v>4.7628354634E8</v>
      </c>
      <c r="Q741" s="7">
        <v>3.4471333444E8</v>
      </c>
      <c r="R741" s="7">
        <v>0.0</v>
      </c>
      <c r="S741" s="1" t="s">
        <v>52</v>
      </c>
    </row>
    <row r="742" ht="15.0" customHeight="1">
      <c r="B742" s="6">
        <f t="shared" si="1"/>
        <v>740</v>
      </c>
      <c r="C742" s="1" t="s">
        <v>1156</v>
      </c>
      <c r="D742" s="1" t="s">
        <v>44</v>
      </c>
      <c r="E742" s="1" t="s">
        <v>1156</v>
      </c>
      <c r="F742" s="1" t="s">
        <v>37</v>
      </c>
      <c r="G742" s="1" t="s">
        <v>1153</v>
      </c>
      <c r="H742" s="6">
        <v>1998.0</v>
      </c>
      <c r="I742" s="1" t="s">
        <v>1153</v>
      </c>
      <c r="J742" s="1" t="s">
        <v>62</v>
      </c>
      <c r="K742" s="1" t="s">
        <v>289</v>
      </c>
      <c r="M742" s="7">
        <v>2.4999992E7</v>
      </c>
      <c r="N742" s="7">
        <v>0.0</v>
      </c>
      <c r="O742" s="8">
        <v>39721.0</v>
      </c>
      <c r="P742" s="7">
        <v>3.396658092E7</v>
      </c>
      <c r="Q742" s="7">
        <v>2.4999992E7</v>
      </c>
      <c r="R742" s="7">
        <v>0.0</v>
      </c>
      <c r="S742" s="1" t="s">
        <v>52</v>
      </c>
    </row>
    <row r="743" ht="15.0" customHeight="1">
      <c r="B743" s="6">
        <f t="shared" si="1"/>
        <v>741</v>
      </c>
      <c r="C743" s="1" t="s">
        <v>1157</v>
      </c>
      <c r="D743" s="1" t="s">
        <v>44</v>
      </c>
      <c r="E743" s="1" t="s">
        <v>1157</v>
      </c>
      <c r="F743" s="1" t="s">
        <v>1155</v>
      </c>
      <c r="G743" s="1" t="s">
        <v>1153</v>
      </c>
      <c r="H743" s="6">
        <v>1997.0</v>
      </c>
      <c r="I743" s="1" t="s">
        <v>1153</v>
      </c>
      <c r="J743" s="1" t="s">
        <v>62</v>
      </c>
      <c r="K743" s="1" t="s">
        <v>289</v>
      </c>
      <c r="M743" s="7">
        <v>1.75E8</v>
      </c>
      <c r="N743" s="7">
        <v>0.0</v>
      </c>
      <c r="O743" s="8">
        <v>39721.0</v>
      </c>
      <c r="P743" s="7">
        <v>5.8097676449E8</v>
      </c>
      <c r="Q743" s="7">
        <v>1.75E8</v>
      </c>
      <c r="R743" s="7">
        <v>0.0</v>
      </c>
      <c r="S743" s="1" t="s">
        <v>52</v>
      </c>
    </row>
    <row r="744" ht="15.0" customHeight="1">
      <c r="B744" s="6">
        <f t="shared" si="1"/>
        <v>742</v>
      </c>
      <c r="C744" s="1" t="s">
        <v>1158</v>
      </c>
      <c r="D744" s="1" t="s">
        <v>39</v>
      </c>
      <c r="E744" s="1" t="s">
        <v>1158</v>
      </c>
      <c r="F744" s="1" t="s">
        <v>1121</v>
      </c>
      <c r="H744" s="6">
        <v>2019.0</v>
      </c>
      <c r="M744" s="7">
        <v>1.0</v>
      </c>
      <c r="N744" s="7"/>
      <c r="O744" s="8"/>
      <c r="P744" s="7">
        <v>0.0</v>
      </c>
      <c r="Q744" s="7">
        <v>15000.0</v>
      </c>
      <c r="R744" s="7">
        <v>1.0</v>
      </c>
      <c r="S744" s="1" t="s">
        <v>52</v>
      </c>
    </row>
    <row r="745" ht="15.0" customHeight="1">
      <c r="B745" s="6">
        <f t="shared" si="1"/>
        <v>743</v>
      </c>
      <c r="C745" s="1" t="s">
        <v>1159</v>
      </c>
      <c r="D745" s="1" t="s">
        <v>43</v>
      </c>
      <c r="E745" s="1" t="s">
        <v>1159</v>
      </c>
      <c r="F745" s="1" t="s">
        <v>1121</v>
      </c>
      <c r="H745" s="6">
        <v>2020.0</v>
      </c>
      <c r="M745" s="7">
        <v>1.0</v>
      </c>
      <c r="N745" s="7"/>
      <c r="O745" s="8"/>
      <c r="P745" s="7">
        <v>0.0</v>
      </c>
      <c r="Q745" s="7">
        <v>2001655.16</v>
      </c>
      <c r="R745" s="7">
        <v>1.0</v>
      </c>
      <c r="S745" s="1" t="s">
        <v>52</v>
      </c>
    </row>
    <row r="746" ht="15.0" customHeight="1">
      <c r="B746" s="6">
        <f t="shared" si="1"/>
        <v>744</v>
      </c>
      <c r="C746" s="1" t="s">
        <v>1160</v>
      </c>
      <c r="D746" s="1" t="s">
        <v>43</v>
      </c>
      <c r="E746" s="1" t="s">
        <v>1160</v>
      </c>
      <c r="F746" s="1" t="s">
        <v>1121</v>
      </c>
      <c r="M746" s="7">
        <v>4190950.65</v>
      </c>
      <c r="N746" s="7">
        <v>0.0</v>
      </c>
      <c r="O746" s="8">
        <v>46079.0</v>
      </c>
      <c r="P746" s="7">
        <v>0.0</v>
      </c>
      <c r="Q746" s="7">
        <v>4190950.65</v>
      </c>
      <c r="R746" s="7">
        <v>0.0</v>
      </c>
      <c r="S746" s="1" t="s">
        <v>52</v>
      </c>
    </row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2:$S$746">
    <filterColumn colId="16">
      <filters>
        <filter val="USD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Col="1"/>
  <cols>
    <col customWidth="1" min="1" max="1" width="1.57"/>
    <col customWidth="1" min="2" max="2" width="4.71"/>
    <col customWidth="1" min="3" max="3" width="46.0"/>
    <col customWidth="1" min="4" max="4" width="29.86"/>
    <col customWidth="1" min="5" max="5" width="29.43"/>
    <col customWidth="1" min="6" max="6" width="25.0"/>
    <col customWidth="1" min="7" max="7" width="35.71"/>
    <col customWidth="1" min="8" max="8" width="25.0"/>
    <col customWidth="1" min="9" max="9" width="22.0"/>
    <col customWidth="1" hidden="1" min="10" max="10" width="11.0" outlineLevel="1"/>
    <col customWidth="1" hidden="1" min="11" max="11" width="14.0" outlineLevel="1"/>
    <col customWidth="1" hidden="1" min="12" max="12" width="12.0" outlineLevel="1"/>
    <col customWidth="1" hidden="1" min="13" max="13" width="14.0" outlineLevel="1"/>
    <col collapsed="1" customWidth="1" min="14" max="14" width="8.71"/>
    <col customWidth="1" min="15" max="15" width="17.14"/>
    <col customWidth="1" min="16" max="19" width="14.0"/>
    <col customWidth="1" min="20" max="20" width="16.86"/>
    <col customWidth="1" min="21" max="21" width="14.0"/>
    <col customWidth="1" min="22" max="22" width="28.0" outlineLevel="1"/>
    <col customWidth="1" min="23" max="23" width="19.0" outlineLevel="1"/>
    <col customWidth="1" min="24" max="24" width="18.0" outlineLevel="1"/>
    <col customWidth="1" min="25" max="25" width="28.0" outlineLevel="1"/>
    <col customWidth="1" min="26" max="26" width="13.0" outlineLevel="1"/>
    <col customWidth="1" min="27" max="27" width="11.43"/>
    <col customWidth="1" min="28" max="28" width="18.0"/>
    <col customWidth="1" min="29" max="29" width="30.0"/>
    <col customWidth="1" min="30" max="30" width="16.0"/>
    <col customWidth="1" min="31" max="31" width="22.0"/>
    <col customWidth="1" min="32" max="33" width="11.43"/>
    <col customWidth="1" min="34" max="34" width="17.71"/>
    <col customWidth="1" min="35" max="35" width="11.43"/>
  </cols>
  <sheetData>
    <row r="2" ht="15.0" customHeight="1">
      <c r="B2" s="2" t="s">
        <v>6</v>
      </c>
      <c r="C2" s="2" t="s">
        <v>10</v>
      </c>
      <c r="D2" s="2" t="s">
        <v>11</v>
      </c>
      <c r="E2" s="5" t="s">
        <v>12</v>
      </c>
      <c r="F2" s="2" t="s">
        <v>13</v>
      </c>
      <c r="G2" s="2" t="s">
        <v>14</v>
      </c>
      <c r="H2" s="2" t="s">
        <v>15</v>
      </c>
      <c r="I2" s="2" t="s">
        <v>0</v>
      </c>
      <c r="J2" s="2" t="s">
        <v>18</v>
      </c>
      <c r="K2" s="2" t="s">
        <v>20</v>
      </c>
      <c r="L2" s="2" t="s">
        <v>21</v>
      </c>
      <c r="M2" s="2" t="s">
        <v>23</v>
      </c>
      <c r="N2" s="2" t="s">
        <v>19</v>
      </c>
      <c r="O2" s="5" t="s">
        <v>25</v>
      </c>
      <c r="P2" s="5" t="s">
        <v>27</v>
      </c>
      <c r="Q2" s="5" t="s">
        <v>29</v>
      </c>
      <c r="R2" s="5" t="s">
        <v>31</v>
      </c>
      <c r="S2" s="5" t="s">
        <v>33</v>
      </c>
      <c r="T2" s="5" t="s">
        <v>25</v>
      </c>
      <c r="U2" s="2" t="s">
        <v>28</v>
      </c>
      <c r="V2" s="2" t="s">
        <v>24</v>
      </c>
      <c r="W2" s="2" t="s">
        <v>32</v>
      </c>
      <c r="X2" s="2" t="s">
        <v>30</v>
      </c>
      <c r="Y2" s="2" t="s">
        <v>26</v>
      </c>
      <c r="Z2" s="2" t="s">
        <v>34</v>
      </c>
      <c r="AA2" s="2" t="s">
        <v>35</v>
      </c>
      <c r="AB2" s="2" t="s">
        <v>47</v>
      </c>
      <c r="AG2" s="9" t="s">
        <v>48</v>
      </c>
    </row>
    <row r="3" ht="15.0" customHeight="1">
      <c r="B3" s="6">
        <v>1.0</v>
      </c>
      <c r="C3" s="1" t="s">
        <v>36</v>
      </c>
      <c r="D3" s="1" t="str">
        <f t="shared" ref="D3:D746" si="2">IF(OR(F3="Infrastructure",F3="Real Estate"),"Real Estate &amp; Infra",IF(OR(J3="Venture Capital",J3="Growth Equity",H3="Insight Venture Management LLC"),"VC &amp; Growth",F3))</f>
        <v>Real Estate &amp; Infra</v>
      </c>
      <c r="E3" s="1" t="s">
        <v>9</v>
      </c>
      <c r="F3" s="1" t="s">
        <v>9</v>
      </c>
      <c r="G3" s="1" t="s">
        <v>36</v>
      </c>
      <c r="H3" s="1" t="s">
        <v>37</v>
      </c>
      <c r="I3" s="1" t="s">
        <v>38</v>
      </c>
      <c r="J3" s="1" t="s">
        <v>40</v>
      </c>
      <c r="K3" s="1" t="s">
        <v>41</v>
      </c>
      <c r="L3" s="1" t="s">
        <v>42</v>
      </c>
      <c r="N3" s="6">
        <v>2018.0</v>
      </c>
      <c r="O3" s="10">
        <f t="shared" ref="O3:R3" si="1">IFERROR(V3*INDEX($AH$4:$AH$8,MATCH($AA3,$AG$4:$AG$8,0)),"")</f>
        <v>77385697.19</v>
      </c>
      <c r="P3" s="10">
        <f t="shared" si="1"/>
        <v>27889185.64</v>
      </c>
      <c r="Q3" s="10">
        <f t="shared" si="1"/>
        <v>5616879.327</v>
      </c>
      <c r="R3" s="10">
        <f t="shared" si="1"/>
        <v>56019997.21</v>
      </c>
      <c r="S3" s="10">
        <f t="shared" ref="S3:S746" si="4">IFERROR(Q3+R3,"")</f>
        <v>61636876.54</v>
      </c>
      <c r="T3" s="10">
        <f t="shared" ref="T3:T746" si="5">IFERROR(Z3*INDEX($AH$4:$AH$8,MATCH($AA3,$AG$4:$AG$8,0)),"")</f>
        <v>49616957.35</v>
      </c>
      <c r="U3" s="8">
        <v>46112.0</v>
      </c>
      <c r="V3" s="7">
        <v>6.6971032E7</v>
      </c>
      <c r="W3" s="7">
        <v>2.41358237E7</v>
      </c>
      <c r="X3" s="7">
        <v>4860952.59</v>
      </c>
      <c r="Y3" s="7">
        <v>4.8480755E7</v>
      </c>
      <c r="Z3" s="7">
        <v>4.293944436E7</v>
      </c>
      <c r="AA3" s="6" t="s">
        <v>45</v>
      </c>
      <c r="AB3" s="11" t="str">
        <f t="shared" ref="AB3:AB746" si="6">IF(AND(U3&lt;&gt;"",U3&gt;=$AH$10,V3&lt;&gt;0,W3&lt;&gt;0,Y3&gt;1),"Include","Exclude")</f>
        <v>Include</v>
      </c>
      <c r="AC3" s="1">
        <f t="shared" ref="AC3:AC13" si="7">S3/P3</f>
        <v>2.21006369</v>
      </c>
      <c r="AG3" s="12" t="s">
        <v>74</v>
      </c>
      <c r="AH3" s="12" t="s">
        <v>75</v>
      </c>
      <c r="AI3" s="12" t="s">
        <v>76</v>
      </c>
    </row>
    <row r="4" ht="15.0" customHeight="1">
      <c r="B4" s="6">
        <f t="shared" ref="B4:B746" si="8">B3+1</f>
        <v>2</v>
      </c>
      <c r="C4" s="1" t="s">
        <v>49</v>
      </c>
      <c r="D4" s="1" t="str">
        <f t="shared" si="2"/>
        <v>Real Estate &amp; Infra</v>
      </c>
      <c r="E4" s="1" t="s">
        <v>9</v>
      </c>
      <c r="F4" s="1" t="s">
        <v>9</v>
      </c>
      <c r="G4" s="1" t="s">
        <v>49</v>
      </c>
      <c r="H4" s="1" t="s">
        <v>50</v>
      </c>
      <c r="I4" s="1" t="s">
        <v>38</v>
      </c>
      <c r="J4" s="1" t="s">
        <v>40</v>
      </c>
      <c r="K4" s="1" t="s">
        <v>41</v>
      </c>
      <c r="L4" s="1" t="s">
        <v>51</v>
      </c>
      <c r="N4" s="6">
        <v>2021.0</v>
      </c>
      <c r="O4" s="10">
        <f t="shared" ref="O4:R4" si="3">IFERROR(V4*INDEX($AH$4:$AH$8,MATCH($AA4,$AG$4:$AG$8,0)),"")</f>
        <v>50000000</v>
      </c>
      <c r="P4" s="10">
        <f t="shared" si="3"/>
        <v>42972319</v>
      </c>
      <c r="Q4" s="10">
        <f t="shared" si="3"/>
        <v>0</v>
      </c>
      <c r="R4" s="10">
        <f t="shared" si="3"/>
        <v>60896910</v>
      </c>
      <c r="S4" s="10">
        <f t="shared" si="4"/>
        <v>60896910</v>
      </c>
      <c r="T4" s="10">
        <f t="shared" si="5"/>
        <v>7047934</v>
      </c>
      <c r="U4" s="8">
        <v>46112.0</v>
      </c>
      <c r="V4" s="7">
        <v>5.0E7</v>
      </c>
      <c r="W4" s="7">
        <v>4.2972319E7</v>
      </c>
      <c r="X4" s="7">
        <v>0.0</v>
      </c>
      <c r="Y4" s="7">
        <v>6.089691E7</v>
      </c>
      <c r="Z4" s="7">
        <v>7047934.0</v>
      </c>
      <c r="AA4" s="6" t="s">
        <v>52</v>
      </c>
      <c r="AB4" s="11" t="str">
        <f t="shared" si="6"/>
        <v>Include</v>
      </c>
      <c r="AC4" s="1">
        <f t="shared" si="7"/>
        <v>1.417119472</v>
      </c>
      <c r="AG4" s="13" t="s">
        <v>52</v>
      </c>
      <c r="AH4" s="14">
        <v>1.0</v>
      </c>
      <c r="AI4" s="15" t="s">
        <v>85</v>
      </c>
    </row>
    <row r="5" ht="15.0" customHeight="1">
      <c r="B5" s="6">
        <f t="shared" si="8"/>
        <v>3</v>
      </c>
      <c r="C5" s="1" t="s">
        <v>53</v>
      </c>
      <c r="D5" s="1" t="str">
        <f t="shared" si="2"/>
        <v>Real Estate &amp; Infra</v>
      </c>
      <c r="E5" s="1" t="s">
        <v>9</v>
      </c>
      <c r="F5" s="1" t="s">
        <v>9</v>
      </c>
      <c r="G5" s="1" t="s">
        <v>53</v>
      </c>
      <c r="H5" s="1" t="s">
        <v>37</v>
      </c>
      <c r="I5" s="1" t="s">
        <v>38</v>
      </c>
      <c r="J5" s="1" t="s">
        <v>40</v>
      </c>
      <c r="K5" s="1" t="s">
        <v>54</v>
      </c>
      <c r="L5" s="1" t="s">
        <v>55</v>
      </c>
      <c r="N5" s="6">
        <v>2020.0</v>
      </c>
      <c r="O5" s="10">
        <f t="shared" ref="O5:R5" si="9">IFERROR(V5*INDEX($AH$4:$AH$8,MATCH($AA5,$AG$4:$AG$8,0)),"")</f>
        <v>500000000</v>
      </c>
      <c r="P5" s="10">
        <f t="shared" si="9"/>
        <v>231372379.3</v>
      </c>
      <c r="Q5" s="10">
        <f t="shared" si="9"/>
        <v>59038806.23</v>
      </c>
      <c r="R5" s="10">
        <f t="shared" si="9"/>
        <v>431664361</v>
      </c>
      <c r="S5" s="10">
        <f t="shared" si="4"/>
        <v>490703167.2</v>
      </c>
      <c r="T5" s="10">
        <f t="shared" si="5"/>
        <v>329212820.8</v>
      </c>
      <c r="U5" s="8">
        <v>46112.0</v>
      </c>
      <c r="V5" s="7">
        <v>5.0E8</v>
      </c>
      <c r="W5" s="7">
        <v>2.3137237931E8</v>
      </c>
      <c r="X5" s="7">
        <v>5.903880623E7</v>
      </c>
      <c r="Y5" s="7">
        <v>4.31664361E8</v>
      </c>
      <c r="Z5" s="7">
        <v>3.2921282078E8</v>
      </c>
      <c r="AA5" s="6" t="s">
        <v>52</v>
      </c>
      <c r="AB5" s="11" t="str">
        <f t="shared" si="6"/>
        <v>Include</v>
      </c>
      <c r="AC5" s="1">
        <f t="shared" si="7"/>
        <v>2.120837278</v>
      </c>
      <c r="AG5" s="13" t="s">
        <v>45</v>
      </c>
      <c r="AH5" s="14">
        <v>1.15551</v>
      </c>
      <c r="AI5" s="15" t="s">
        <v>94</v>
      </c>
    </row>
    <row r="6" ht="15.0" customHeight="1">
      <c r="B6" s="6">
        <f t="shared" si="8"/>
        <v>4</v>
      </c>
      <c r="C6" s="1" t="s">
        <v>56</v>
      </c>
      <c r="D6" s="1" t="str">
        <f t="shared" si="2"/>
        <v>Real Estate &amp; Infra</v>
      </c>
      <c r="E6" s="1" t="s">
        <v>9</v>
      </c>
      <c r="F6" s="1" t="s">
        <v>9</v>
      </c>
      <c r="G6" s="1" t="s">
        <v>56</v>
      </c>
      <c r="H6" s="1" t="s">
        <v>50</v>
      </c>
      <c r="I6" s="1" t="s">
        <v>38</v>
      </c>
      <c r="J6" s="1" t="s">
        <v>40</v>
      </c>
      <c r="K6" s="1" t="s">
        <v>41</v>
      </c>
      <c r="L6" s="1" t="s">
        <v>51</v>
      </c>
      <c r="N6" s="6">
        <v>2021.0</v>
      </c>
      <c r="O6" s="10">
        <f t="shared" ref="O6:R6" si="10">IFERROR(V6*INDEX($AH$4:$AH$8,MATCH($AA6,$AG$4:$AG$8,0)),"")</f>
        <v>25000000</v>
      </c>
      <c r="P6" s="10">
        <f t="shared" si="10"/>
        <v>24431341</v>
      </c>
      <c r="Q6" s="10">
        <f t="shared" si="10"/>
        <v>0</v>
      </c>
      <c r="R6" s="10">
        <f t="shared" si="10"/>
        <v>36122927</v>
      </c>
      <c r="S6" s="10">
        <f t="shared" si="4"/>
        <v>36122927</v>
      </c>
      <c r="T6" s="10">
        <f t="shared" si="5"/>
        <v>615318</v>
      </c>
      <c r="U6" s="8">
        <v>46112.0</v>
      </c>
      <c r="V6" s="7">
        <v>2.5E7</v>
      </c>
      <c r="W6" s="7">
        <v>2.4431341E7</v>
      </c>
      <c r="X6" s="7">
        <v>0.0</v>
      </c>
      <c r="Y6" s="7">
        <v>3.6122927E7</v>
      </c>
      <c r="Z6" s="7">
        <v>615318.0</v>
      </c>
      <c r="AA6" s="6" t="s">
        <v>52</v>
      </c>
      <c r="AB6" s="11" t="str">
        <f t="shared" si="6"/>
        <v>Include</v>
      </c>
      <c r="AC6" s="1">
        <f t="shared" si="7"/>
        <v>1.478548681</v>
      </c>
      <c r="AG6" s="13" t="s">
        <v>106</v>
      </c>
      <c r="AH6" s="14">
        <v>1.32267</v>
      </c>
      <c r="AI6" s="15" t="s">
        <v>107</v>
      </c>
    </row>
    <row r="7" ht="15.0" customHeight="1">
      <c r="B7" s="6">
        <f t="shared" si="8"/>
        <v>5</v>
      </c>
      <c r="C7" s="1" t="s">
        <v>57</v>
      </c>
      <c r="D7" s="1" t="str">
        <f t="shared" si="2"/>
        <v>Real Estate &amp; Infra</v>
      </c>
      <c r="E7" s="1" t="s">
        <v>9</v>
      </c>
      <c r="F7" s="1" t="s">
        <v>9</v>
      </c>
      <c r="G7" s="1" t="s">
        <v>57</v>
      </c>
      <c r="H7" s="1" t="s">
        <v>50</v>
      </c>
      <c r="I7" s="1" t="s">
        <v>38</v>
      </c>
      <c r="J7" s="1" t="s">
        <v>40</v>
      </c>
      <c r="K7" s="1" t="s">
        <v>41</v>
      </c>
      <c r="L7" s="1" t="s">
        <v>58</v>
      </c>
      <c r="N7" s="6">
        <v>2023.0</v>
      </c>
      <c r="O7" s="10">
        <f t="shared" ref="O7:R7" si="11">IFERROR(V7*INDEX($AH$4:$AH$8,MATCH($AA7,$AG$4:$AG$8,0)),"")</f>
        <v>71922172</v>
      </c>
      <c r="P7" s="10">
        <f t="shared" si="11"/>
        <v>69692249</v>
      </c>
      <c r="Q7" s="10">
        <f t="shared" si="11"/>
        <v>13653425</v>
      </c>
      <c r="R7" s="10">
        <f t="shared" si="11"/>
        <v>115138612</v>
      </c>
      <c r="S7" s="10">
        <f t="shared" si="4"/>
        <v>128792037</v>
      </c>
      <c r="T7" s="10">
        <f t="shared" si="5"/>
        <v>2654504</v>
      </c>
      <c r="U7" s="8">
        <v>46112.0</v>
      </c>
      <c r="V7" s="7">
        <v>7.1922172E7</v>
      </c>
      <c r="W7" s="7">
        <v>6.9692249E7</v>
      </c>
      <c r="X7" s="7">
        <v>1.3653425E7</v>
      </c>
      <c r="Y7" s="7">
        <v>1.15138612E8</v>
      </c>
      <c r="Z7" s="7">
        <v>2654504.0</v>
      </c>
      <c r="AA7" s="6" t="s">
        <v>52</v>
      </c>
      <c r="AB7" s="11" t="str">
        <f t="shared" si="6"/>
        <v>Include</v>
      </c>
      <c r="AC7" s="1">
        <f t="shared" si="7"/>
        <v>1.848010917</v>
      </c>
      <c r="AG7" s="13" t="s">
        <v>113</v>
      </c>
      <c r="AH7" s="14">
        <v>0.0062992</v>
      </c>
      <c r="AI7" s="15" t="s">
        <v>107</v>
      </c>
    </row>
    <row r="8" ht="15.0" customHeight="1">
      <c r="B8" s="6">
        <f t="shared" si="8"/>
        <v>6</v>
      </c>
      <c r="C8" s="1" t="s">
        <v>59</v>
      </c>
      <c r="D8" s="1" t="str">
        <f t="shared" si="2"/>
        <v>Real Estate &amp; Infra</v>
      </c>
      <c r="E8" s="1" t="s">
        <v>9</v>
      </c>
      <c r="F8" s="1" t="s">
        <v>9</v>
      </c>
      <c r="G8" s="1" t="s">
        <v>60</v>
      </c>
      <c r="H8" s="1" t="s">
        <v>61</v>
      </c>
      <c r="I8" s="1" t="s">
        <v>38</v>
      </c>
      <c r="J8" s="1" t="s">
        <v>40</v>
      </c>
      <c r="K8" s="1" t="s">
        <v>62</v>
      </c>
      <c r="L8" s="1" t="s">
        <v>55</v>
      </c>
      <c r="N8" s="6">
        <v>2023.0</v>
      </c>
      <c r="O8" s="10">
        <f t="shared" ref="O8:R8" si="12">IFERROR(V8*INDEX($AH$4:$AH$8,MATCH($AA8,$AG$4:$AG$8,0)),"")</f>
        <v>250000000</v>
      </c>
      <c r="P8" s="10">
        <f t="shared" si="12"/>
        <v>47261441.98</v>
      </c>
      <c r="Q8" s="10">
        <f t="shared" si="12"/>
        <v>0</v>
      </c>
      <c r="R8" s="10">
        <f t="shared" si="12"/>
        <v>73444342.76</v>
      </c>
      <c r="S8" s="10">
        <f t="shared" si="4"/>
        <v>73444342.76</v>
      </c>
      <c r="T8" s="10">
        <f t="shared" si="5"/>
        <v>204685627.9</v>
      </c>
      <c r="U8" s="8">
        <v>46112.0</v>
      </c>
      <c r="V8" s="7">
        <v>2.5E8</v>
      </c>
      <c r="W8" s="7">
        <v>4.726144198E7</v>
      </c>
      <c r="X8" s="7">
        <v>0.0</v>
      </c>
      <c r="Y8" s="7">
        <v>7.344434276E7</v>
      </c>
      <c r="Z8" s="7">
        <v>2.046856279E8</v>
      </c>
      <c r="AA8" s="6" t="s">
        <v>52</v>
      </c>
      <c r="AB8" s="11" t="str">
        <f t="shared" si="6"/>
        <v>Include</v>
      </c>
      <c r="AC8" s="1">
        <f t="shared" si="7"/>
        <v>1.55400131</v>
      </c>
      <c r="AG8" s="13" t="s">
        <v>118</v>
      </c>
      <c r="AH8" s="14">
        <v>0.71852</v>
      </c>
      <c r="AI8" s="15" t="s">
        <v>94</v>
      </c>
    </row>
    <row r="9" ht="15.0" customHeight="1">
      <c r="B9" s="6">
        <f t="shared" si="8"/>
        <v>7</v>
      </c>
      <c r="C9" s="1" t="s">
        <v>63</v>
      </c>
      <c r="D9" s="1" t="str">
        <f t="shared" si="2"/>
        <v>Real Estate &amp; Infra</v>
      </c>
      <c r="E9" s="1" t="s">
        <v>9</v>
      </c>
      <c r="F9" s="1" t="s">
        <v>9</v>
      </c>
      <c r="G9" s="1" t="s">
        <v>63</v>
      </c>
      <c r="H9" s="1" t="s">
        <v>64</v>
      </c>
      <c r="I9" s="1" t="s">
        <v>38</v>
      </c>
      <c r="J9" s="1" t="s">
        <v>40</v>
      </c>
      <c r="K9" s="1" t="s">
        <v>41</v>
      </c>
      <c r="L9" s="1" t="s">
        <v>55</v>
      </c>
      <c r="N9" s="6">
        <v>2023.0</v>
      </c>
      <c r="O9" s="10">
        <f t="shared" ref="O9:R9" si="13">IFERROR(V9*INDEX($AH$4:$AH$8,MATCH($AA9,$AG$4:$AG$8,0)),"")</f>
        <v>50000000</v>
      </c>
      <c r="P9" s="10">
        <f t="shared" si="13"/>
        <v>50045318.16</v>
      </c>
      <c r="Q9" s="10">
        <f t="shared" si="13"/>
        <v>6373617.07</v>
      </c>
      <c r="R9" s="10">
        <f t="shared" si="13"/>
        <v>113941409</v>
      </c>
      <c r="S9" s="10">
        <f t="shared" si="4"/>
        <v>120315026.1</v>
      </c>
      <c r="T9" s="10">
        <f t="shared" si="5"/>
        <v>75070.02</v>
      </c>
      <c r="U9" s="8">
        <v>46112.0</v>
      </c>
      <c r="V9" s="7">
        <v>5.0E7</v>
      </c>
      <c r="W9" s="7">
        <v>5.004531816E7</v>
      </c>
      <c r="X9" s="7">
        <v>6373617.07</v>
      </c>
      <c r="Y9" s="7">
        <v>1.13941409E8</v>
      </c>
      <c r="Z9" s="7">
        <v>75070.02</v>
      </c>
      <c r="AA9" s="6" t="s">
        <v>52</v>
      </c>
      <c r="AB9" s="11" t="str">
        <f t="shared" si="6"/>
        <v>Include</v>
      </c>
      <c r="AC9" s="1">
        <f t="shared" si="7"/>
        <v>2.404121514</v>
      </c>
    </row>
    <row r="10" ht="15.0" customHeight="1">
      <c r="B10" s="6">
        <f t="shared" si="8"/>
        <v>8</v>
      </c>
      <c r="C10" s="1" t="s">
        <v>65</v>
      </c>
      <c r="D10" s="1" t="str">
        <f t="shared" si="2"/>
        <v>Real Estate &amp; Infra</v>
      </c>
      <c r="E10" s="1" t="s">
        <v>9</v>
      </c>
      <c r="F10" s="1" t="s">
        <v>9</v>
      </c>
      <c r="G10" s="1" t="s">
        <v>65</v>
      </c>
      <c r="H10" s="1" t="s">
        <v>66</v>
      </c>
      <c r="I10" s="1" t="s">
        <v>38</v>
      </c>
      <c r="J10" s="1" t="s">
        <v>40</v>
      </c>
      <c r="K10" s="1" t="s">
        <v>41</v>
      </c>
      <c r="L10" s="1" t="s">
        <v>55</v>
      </c>
      <c r="N10" s="6">
        <v>2024.0</v>
      </c>
      <c r="O10" s="10">
        <f t="shared" ref="O10:R10" si="14">IFERROR(V10*INDEX($AH$4:$AH$8,MATCH($AA10,$AG$4:$AG$8,0)),"")</f>
        <v>231102000</v>
      </c>
      <c r="P10" s="10">
        <f t="shared" si="14"/>
        <v>73796066.38</v>
      </c>
      <c r="Q10" s="10">
        <f t="shared" si="14"/>
        <v>1660798.889</v>
      </c>
      <c r="R10" s="10">
        <f t="shared" si="14"/>
        <v>85807944.96</v>
      </c>
      <c r="S10" s="10">
        <f t="shared" si="4"/>
        <v>87468743.85</v>
      </c>
      <c r="T10" s="10">
        <f t="shared" si="5"/>
        <v>157543571.3</v>
      </c>
      <c r="U10" s="8">
        <v>46112.0</v>
      </c>
      <c r="V10" s="7">
        <v>2.0E8</v>
      </c>
      <c r="W10" s="7">
        <v>6.386449826E7</v>
      </c>
      <c r="X10" s="7">
        <v>1437286.47</v>
      </c>
      <c r="Y10" s="7">
        <v>7.4259803E7</v>
      </c>
      <c r="Z10" s="7">
        <v>1.3634115783E8</v>
      </c>
      <c r="AA10" s="6" t="s">
        <v>45</v>
      </c>
      <c r="AB10" s="11" t="str">
        <f t="shared" si="6"/>
        <v>Include</v>
      </c>
      <c r="AC10" s="1">
        <f t="shared" si="7"/>
        <v>1.185276508</v>
      </c>
      <c r="AG10" s="16" t="s">
        <v>144</v>
      </c>
      <c r="AH10" s="17">
        <v>45931.0</v>
      </c>
    </row>
    <row r="11" ht="15.0" customHeight="1">
      <c r="B11" s="6">
        <f t="shared" si="8"/>
        <v>9</v>
      </c>
      <c r="C11" s="1" t="s">
        <v>67</v>
      </c>
      <c r="D11" s="1" t="str">
        <f t="shared" si="2"/>
        <v>Real Estate &amp; Infra</v>
      </c>
      <c r="E11" s="1" t="s">
        <v>9</v>
      </c>
      <c r="F11" s="1" t="s">
        <v>9</v>
      </c>
      <c r="G11" s="1" t="s">
        <v>67</v>
      </c>
      <c r="H11" s="1" t="s">
        <v>68</v>
      </c>
      <c r="I11" s="1" t="s">
        <v>38</v>
      </c>
      <c r="J11" s="1" t="s">
        <v>40</v>
      </c>
      <c r="K11" s="1" t="s">
        <v>54</v>
      </c>
      <c r="L11" s="1" t="s">
        <v>55</v>
      </c>
      <c r="N11" s="6">
        <v>2024.0</v>
      </c>
      <c r="O11" s="10">
        <f t="shared" ref="O11:R11" si="15">IFERROR(V11*INDEX($AH$4:$AH$8,MATCH($AA11,$AG$4:$AG$8,0)),"")</f>
        <v>25000000</v>
      </c>
      <c r="P11" s="10">
        <f t="shared" si="15"/>
        <v>25323073</v>
      </c>
      <c r="Q11" s="10">
        <f t="shared" si="15"/>
        <v>0</v>
      </c>
      <c r="R11" s="10">
        <f t="shared" si="15"/>
        <v>25000161.46</v>
      </c>
      <c r="S11" s="10">
        <f t="shared" si="4"/>
        <v>25000161.46</v>
      </c>
      <c r="T11" s="10">
        <f t="shared" si="5"/>
        <v>0</v>
      </c>
      <c r="U11" s="8">
        <v>46112.0</v>
      </c>
      <c r="V11" s="7">
        <v>2.5E7</v>
      </c>
      <c r="W11" s="7">
        <v>2.5323073E7</v>
      </c>
      <c r="X11" s="7">
        <v>0.0</v>
      </c>
      <c r="Y11" s="7">
        <v>2.500016146E7</v>
      </c>
      <c r="Z11" s="7">
        <v>0.0</v>
      </c>
      <c r="AA11" s="6" t="s">
        <v>52</v>
      </c>
      <c r="AB11" s="11" t="str">
        <f t="shared" si="6"/>
        <v>Include</v>
      </c>
      <c r="AC11" s="1">
        <f t="shared" si="7"/>
        <v>0.9872483272</v>
      </c>
    </row>
    <row r="12" ht="15.0" customHeight="1">
      <c r="B12" s="6">
        <f t="shared" si="8"/>
        <v>10</v>
      </c>
      <c r="C12" s="1" t="s">
        <v>69</v>
      </c>
      <c r="D12" s="1" t="str">
        <f t="shared" si="2"/>
        <v>Real Estate &amp; Infra</v>
      </c>
      <c r="E12" s="1" t="s">
        <v>9</v>
      </c>
      <c r="F12" s="1" t="s">
        <v>9</v>
      </c>
      <c r="G12" s="1" t="s">
        <v>70</v>
      </c>
      <c r="H12" s="1" t="s">
        <v>64</v>
      </c>
      <c r="I12" s="1" t="s">
        <v>38</v>
      </c>
      <c r="J12" s="1" t="s">
        <v>40</v>
      </c>
      <c r="K12" s="1" t="s">
        <v>41</v>
      </c>
      <c r="L12" s="1" t="s">
        <v>71</v>
      </c>
      <c r="N12" s="6">
        <v>2025.0</v>
      </c>
      <c r="O12" s="10">
        <f t="shared" ref="O12:R12" si="16">IFERROR(V12*INDEX($AH$4:$AH$8,MATCH($AA12,$AG$4:$AG$8,0)),"")</f>
        <v>20000000</v>
      </c>
      <c r="P12" s="10">
        <f t="shared" si="16"/>
        <v>21989891.14</v>
      </c>
      <c r="Q12" s="10">
        <f t="shared" si="16"/>
        <v>0</v>
      </c>
      <c r="R12" s="10">
        <f t="shared" si="16"/>
        <v>23638460</v>
      </c>
      <c r="S12" s="10">
        <f t="shared" si="4"/>
        <v>23638460</v>
      </c>
      <c r="T12" s="10">
        <f t="shared" si="5"/>
        <v>0</v>
      </c>
      <c r="U12" s="8">
        <v>46112.0</v>
      </c>
      <c r="V12" s="7">
        <v>2.0E7</v>
      </c>
      <c r="W12" s="7">
        <v>2.198989114E7</v>
      </c>
      <c r="X12" s="7">
        <v>0.0</v>
      </c>
      <c r="Y12" s="7">
        <v>2.363846E7</v>
      </c>
      <c r="Z12" s="7">
        <v>0.0</v>
      </c>
      <c r="AA12" s="6" t="s">
        <v>52</v>
      </c>
      <c r="AB12" s="11" t="str">
        <f t="shared" si="6"/>
        <v>Include</v>
      </c>
      <c r="AC12" s="1">
        <f t="shared" si="7"/>
        <v>1.074969396</v>
      </c>
      <c r="AG12" s="16" t="s">
        <v>161</v>
      </c>
      <c r="AH12" s="18">
        <f>COUNTIF($AB$3:$AB$746,"Include")</f>
        <v>363</v>
      </c>
    </row>
    <row r="13" ht="15.0" customHeight="1">
      <c r="B13" s="6">
        <f t="shared" si="8"/>
        <v>11</v>
      </c>
      <c r="C13" s="1" t="s">
        <v>72</v>
      </c>
      <c r="D13" s="1" t="str">
        <f t="shared" si="2"/>
        <v>Real Estate &amp; Infra</v>
      </c>
      <c r="E13" s="1" t="s">
        <v>9</v>
      </c>
      <c r="F13" s="1" t="s">
        <v>9</v>
      </c>
      <c r="G13" s="1" t="s">
        <v>73</v>
      </c>
      <c r="H13" s="1" t="s">
        <v>64</v>
      </c>
      <c r="I13" s="1" t="s">
        <v>38</v>
      </c>
      <c r="J13" s="1" t="s">
        <v>40</v>
      </c>
      <c r="K13" s="1" t="s">
        <v>41</v>
      </c>
      <c r="L13" s="1" t="s">
        <v>71</v>
      </c>
      <c r="N13" s="6">
        <v>2025.0</v>
      </c>
      <c r="O13" s="10">
        <f t="shared" ref="O13:R13" si="17">IFERROR(V13*INDEX($AH$4:$AH$8,MATCH($AA13,$AG$4:$AG$8,0)),"")</f>
        <v>20000000</v>
      </c>
      <c r="P13" s="10">
        <f t="shared" si="17"/>
        <v>20729612.47</v>
      </c>
      <c r="Q13" s="10">
        <f t="shared" si="17"/>
        <v>0</v>
      </c>
      <c r="R13" s="10">
        <f t="shared" si="17"/>
        <v>22406011</v>
      </c>
      <c r="S13" s="10">
        <f t="shared" si="4"/>
        <v>22406011</v>
      </c>
      <c r="T13" s="10">
        <f t="shared" si="5"/>
        <v>0</v>
      </c>
      <c r="U13" s="8">
        <v>46112.0</v>
      </c>
      <c r="V13" s="7">
        <v>2.0E7</v>
      </c>
      <c r="W13" s="7">
        <v>2.072961247E7</v>
      </c>
      <c r="X13" s="7">
        <v>0.0</v>
      </c>
      <c r="Y13" s="7">
        <v>2.2406011E7</v>
      </c>
      <c r="Z13" s="7">
        <v>0.0</v>
      </c>
      <c r="AA13" s="6" t="s">
        <v>52</v>
      </c>
      <c r="AB13" s="11" t="str">
        <f t="shared" si="6"/>
        <v>Include</v>
      </c>
      <c r="AC13" s="1">
        <f t="shared" si="7"/>
        <v>1.080869748</v>
      </c>
      <c r="AG13" s="16" t="s">
        <v>170</v>
      </c>
      <c r="AH13" s="18">
        <f>COUNTIF($AB$3:$AB$746,"Exclude")</f>
        <v>381</v>
      </c>
    </row>
    <row r="14" ht="15.0" customHeight="1">
      <c r="B14" s="6">
        <f t="shared" si="8"/>
        <v>12</v>
      </c>
      <c r="C14" s="1" t="s">
        <v>77</v>
      </c>
      <c r="D14" s="1" t="str">
        <f t="shared" si="2"/>
        <v>Real Estate &amp; Infra</v>
      </c>
      <c r="E14" s="1" t="s">
        <v>9</v>
      </c>
      <c r="F14" s="1" t="s">
        <v>9</v>
      </c>
      <c r="G14" s="1" t="s">
        <v>77</v>
      </c>
      <c r="H14" s="1" t="s">
        <v>78</v>
      </c>
      <c r="I14" s="1" t="s">
        <v>38</v>
      </c>
      <c r="J14" s="1" t="s">
        <v>40</v>
      </c>
      <c r="K14" s="1" t="s">
        <v>62</v>
      </c>
      <c r="L14" s="1" t="s">
        <v>55</v>
      </c>
      <c r="N14" s="6">
        <v>2015.0</v>
      </c>
      <c r="O14" s="10">
        <f t="shared" ref="O14:R14" si="18">IFERROR(V14*INDEX($AH$4:$AH$8,MATCH($AA14,$AG$4:$AG$8,0)),"")</f>
        <v>30000000</v>
      </c>
      <c r="P14" s="10">
        <f t="shared" si="18"/>
        <v>3197708</v>
      </c>
      <c r="Q14" s="10">
        <f t="shared" si="18"/>
        <v>0</v>
      </c>
      <c r="R14" s="10">
        <f t="shared" si="18"/>
        <v>0</v>
      </c>
      <c r="S14" s="10">
        <f t="shared" si="4"/>
        <v>0</v>
      </c>
      <c r="T14" s="10">
        <f t="shared" si="5"/>
        <v>27248782</v>
      </c>
      <c r="U14" s="8"/>
      <c r="V14" s="7">
        <v>3.0E7</v>
      </c>
      <c r="W14" s="7">
        <v>3197708.0</v>
      </c>
      <c r="X14" s="7">
        <v>0.0</v>
      </c>
      <c r="Y14" s="7"/>
      <c r="Z14" s="7">
        <v>2.7248782E7</v>
      </c>
      <c r="AA14" s="6" t="s">
        <v>52</v>
      </c>
      <c r="AB14" s="11" t="str">
        <f t="shared" si="6"/>
        <v>Exclude</v>
      </c>
    </row>
    <row r="15" ht="15.0" customHeight="1">
      <c r="B15" s="6">
        <f t="shared" si="8"/>
        <v>13</v>
      </c>
      <c r="C15" s="1" t="s">
        <v>79</v>
      </c>
      <c r="D15" s="1" t="str">
        <f t="shared" si="2"/>
        <v>Private Credit</v>
      </c>
      <c r="E15" s="1" t="s">
        <v>39</v>
      </c>
      <c r="F15" s="1" t="s">
        <v>39</v>
      </c>
      <c r="G15" s="1" t="s">
        <v>79</v>
      </c>
      <c r="H15" s="1" t="s">
        <v>80</v>
      </c>
      <c r="I15" s="1" t="s">
        <v>38</v>
      </c>
      <c r="J15" s="1" t="s">
        <v>81</v>
      </c>
      <c r="K15" s="1" t="s">
        <v>82</v>
      </c>
      <c r="L15" s="1" t="s">
        <v>83</v>
      </c>
      <c r="N15" s="6">
        <v>2017.0</v>
      </c>
      <c r="O15" s="10">
        <f t="shared" ref="O15:R15" si="19">IFERROR(V15*INDEX($AH$4:$AH$8,MATCH($AA15,$AG$4:$AG$8,0)),"")</f>
        <v>15625961.73</v>
      </c>
      <c r="P15" s="10">
        <f t="shared" si="19"/>
        <v>15454768.61</v>
      </c>
      <c r="Q15" s="10">
        <f t="shared" si="19"/>
        <v>30735935.83</v>
      </c>
      <c r="R15" s="10">
        <f t="shared" si="19"/>
        <v>2259.414923</v>
      </c>
      <c r="S15" s="10">
        <f t="shared" si="4"/>
        <v>30738195.25</v>
      </c>
      <c r="T15" s="10">
        <f t="shared" si="5"/>
        <v>711854.443</v>
      </c>
      <c r="U15" s="8">
        <v>44742.0</v>
      </c>
      <c r="V15" s="7">
        <v>1.3523E7</v>
      </c>
      <c r="W15" s="7">
        <v>1.337484627E7</v>
      </c>
      <c r="X15" s="7">
        <v>2.659945464E7</v>
      </c>
      <c r="Y15" s="7">
        <v>1955.34</v>
      </c>
      <c r="Z15" s="7">
        <v>616052.17</v>
      </c>
      <c r="AA15" s="6" t="s">
        <v>45</v>
      </c>
      <c r="AB15" s="11" t="str">
        <f t="shared" si="6"/>
        <v>Exclude</v>
      </c>
      <c r="AG15" s="19" t="s">
        <v>187</v>
      </c>
    </row>
    <row r="16" ht="15.0" customHeight="1">
      <c r="B16" s="6">
        <f t="shared" si="8"/>
        <v>14</v>
      </c>
      <c r="C16" s="1" t="s">
        <v>84</v>
      </c>
      <c r="D16" s="1" t="str">
        <f t="shared" si="2"/>
        <v>Private Credit</v>
      </c>
      <c r="E16" s="1" t="s">
        <v>39</v>
      </c>
      <c r="F16" s="1" t="s">
        <v>39</v>
      </c>
      <c r="G16" s="1" t="s">
        <v>84</v>
      </c>
      <c r="H16" s="1" t="s">
        <v>80</v>
      </c>
      <c r="I16" s="1" t="s">
        <v>38</v>
      </c>
      <c r="J16" s="1" t="s">
        <v>81</v>
      </c>
      <c r="K16" s="1" t="s">
        <v>82</v>
      </c>
      <c r="L16" s="1" t="s">
        <v>83</v>
      </c>
      <c r="N16" s="6">
        <v>2017.0</v>
      </c>
      <c r="O16" s="10">
        <f t="shared" ref="O16:R16" si="20">IFERROR(V16*INDEX($AH$4:$AH$8,MATCH($AA16,$AG$4:$AG$8,0)),"")</f>
        <v>15602338.48</v>
      </c>
      <c r="P16" s="10">
        <f t="shared" si="20"/>
        <v>15601977.42</v>
      </c>
      <c r="Q16" s="10">
        <f t="shared" si="20"/>
        <v>39448386.29</v>
      </c>
      <c r="R16" s="10">
        <f t="shared" si="20"/>
        <v>44491.83793</v>
      </c>
      <c r="S16" s="10">
        <f t="shared" si="4"/>
        <v>39492878.13</v>
      </c>
      <c r="T16" s="10">
        <f t="shared" si="5"/>
        <v>71855.12358</v>
      </c>
      <c r="U16" s="8">
        <v>45473.0</v>
      </c>
      <c r="V16" s="7">
        <v>1.3502556E7</v>
      </c>
      <c r="W16" s="7">
        <v>1.350224353E7</v>
      </c>
      <c r="X16" s="7">
        <v>3.413937248E7</v>
      </c>
      <c r="Y16" s="7">
        <v>38504.07</v>
      </c>
      <c r="Z16" s="7">
        <v>62184.77</v>
      </c>
      <c r="AA16" s="6" t="s">
        <v>45</v>
      </c>
      <c r="AB16" s="11" t="str">
        <f t="shared" si="6"/>
        <v>Exclude</v>
      </c>
    </row>
    <row r="17" ht="15.0" customHeight="1">
      <c r="B17" s="6">
        <f t="shared" si="8"/>
        <v>15</v>
      </c>
      <c r="C17" s="1" t="s">
        <v>86</v>
      </c>
      <c r="D17" s="1" t="str">
        <f t="shared" si="2"/>
        <v>Private Credit</v>
      </c>
      <c r="E17" s="1" t="s">
        <v>39</v>
      </c>
      <c r="F17" s="1" t="s">
        <v>39</v>
      </c>
      <c r="G17" s="1" t="s">
        <v>86</v>
      </c>
      <c r="H17" s="1" t="s">
        <v>80</v>
      </c>
      <c r="I17" s="1" t="s">
        <v>38</v>
      </c>
      <c r="J17" s="1" t="s">
        <v>81</v>
      </c>
      <c r="K17" s="1" t="s">
        <v>82</v>
      </c>
      <c r="L17" s="1" t="s">
        <v>83</v>
      </c>
      <c r="N17" s="6">
        <v>2018.0</v>
      </c>
      <c r="O17" s="10">
        <f t="shared" ref="O17:R17" si="21">IFERROR(V17*INDEX($AH$4:$AH$8,MATCH($AA17,$AG$4:$AG$8,0)),"")</f>
        <v>13866120</v>
      </c>
      <c r="P17" s="10">
        <f t="shared" si="21"/>
        <v>13613761.34</v>
      </c>
      <c r="Q17" s="10">
        <f t="shared" si="21"/>
        <v>38775049.89</v>
      </c>
      <c r="R17" s="10">
        <f t="shared" si="21"/>
        <v>57900.29508</v>
      </c>
      <c r="S17" s="10">
        <f t="shared" si="4"/>
        <v>38832950.18</v>
      </c>
      <c r="T17" s="10">
        <f t="shared" si="5"/>
        <v>252358.658</v>
      </c>
      <c r="U17" s="8">
        <v>46112.0</v>
      </c>
      <c r="V17" s="7">
        <v>1.2E7</v>
      </c>
      <c r="W17" s="7">
        <v>1.178160409E7</v>
      </c>
      <c r="X17" s="7">
        <v>3.355665454E7</v>
      </c>
      <c r="Y17" s="7">
        <v>50108.0</v>
      </c>
      <c r="Z17" s="7">
        <v>218395.91</v>
      </c>
      <c r="AA17" s="6" t="s">
        <v>45</v>
      </c>
      <c r="AB17" s="11" t="str">
        <f t="shared" si="6"/>
        <v>Include</v>
      </c>
      <c r="AC17" s="1">
        <f t="shared" ref="AC17:AC19" si="23">S17/P17</f>
        <v>2.852477666</v>
      </c>
    </row>
    <row r="18" ht="15.0" customHeight="1">
      <c r="B18" s="6">
        <f t="shared" si="8"/>
        <v>16</v>
      </c>
      <c r="C18" s="1" t="s">
        <v>87</v>
      </c>
      <c r="D18" s="1" t="str">
        <f t="shared" si="2"/>
        <v>Private Credit</v>
      </c>
      <c r="E18" s="1" t="s">
        <v>39</v>
      </c>
      <c r="F18" s="1" t="s">
        <v>39</v>
      </c>
      <c r="G18" s="1" t="s">
        <v>87</v>
      </c>
      <c r="H18" s="1" t="s">
        <v>88</v>
      </c>
      <c r="I18" s="1" t="s">
        <v>38</v>
      </c>
      <c r="J18" s="1" t="s">
        <v>81</v>
      </c>
      <c r="K18" s="1" t="s">
        <v>82</v>
      </c>
      <c r="L18" s="1" t="s">
        <v>89</v>
      </c>
      <c r="N18" s="6">
        <v>2019.0</v>
      </c>
      <c r="O18" s="10">
        <f t="shared" ref="O18:R18" si="22">IFERROR(V18*INDEX($AH$4:$AH$8,MATCH($AA18,$AG$4:$AG$8,0)),"")</f>
        <v>16625000</v>
      </c>
      <c r="P18" s="10">
        <f t="shared" si="22"/>
        <v>13063383.93</v>
      </c>
      <c r="Q18" s="10">
        <f t="shared" si="22"/>
        <v>9629720.7</v>
      </c>
      <c r="R18" s="10">
        <f t="shared" si="22"/>
        <v>12147880</v>
      </c>
      <c r="S18" s="10">
        <f t="shared" si="4"/>
        <v>21777600.7</v>
      </c>
      <c r="T18" s="10">
        <f t="shared" si="5"/>
        <v>1686616.07</v>
      </c>
      <c r="U18" s="8">
        <v>46112.0</v>
      </c>
      <c r="V18" s="7">
        <v>1.6625E7</v>
      </c>
      <c r="W18" s="7">
        <v>1.306338393E7</v>
      </c>
      <c r="X18" s="7">
        <v>9629720.7</v>
      </c>
      <c r="Y18" s="7">
        <v>1.214788E7</v>
      </c>
      <c r="Z18" s="7">
        <v>1686616.07</v>
      </c>
      <c r="AA18" s="6" t="s">
        <v>52</v>
      </c>
      <c r="AB18" s="11" t="str">
        <f t="shared" si="6"/>
        <v>Include</v>
      </c>
      <c r="AC18" s="1">
        <f t="shared" si="23"/>
        <v>1.667071933</v>
      </c>
    </row>
    <row r="19" ht="15.0" customHeight="1">
      <c r="B19" s="6">
        <f t="shared" si="8"/>
        <v>17</v>
      </c>
      <c r="C19" s="1" t="s">
        <v>90</v>
      </c>
      <c r="D19" s="1" t="str">
        <f t="shared" si="2"/>
        <v>Private Credit</v>
      </c>
      <c r="E19" s="1" t="s">
        <v>39</v>
      </c>
      <c r="F19" s="1" t="s">
        <v>39</v>
      </c>
      <c r="G19" s="1" t="s">
        <v>90</v>
      </c>
      <c r="H19" s="1" t="s">
        <v>91</v>
      </c>
      <c r="I19" s="1" t="s">
        <v>38</v>
      </c>
      <c r="J19" s="1" t="s">
        <v>81</v>
      </c>
      <c r="K19" s="1" t="s">
        <v>92</v>
      </c>
      <c r="L19" s="1" t="s">
        <v>93</v>
      </c>
      <c r="N19" s="6">
        <v>2019.0</v>
      </c>
      <c r="O19" s="10">
        <f t="shared" ref="O19:R19" si="24">IFERROR(V19*INDEX($AH$4:$AH$8,MATCH($AA19,$AG$4:$AG$8,0)),"")</f>
        <v>22284010.35</v>
      </c>
      <c r="P19" s="10">
        <f t="shared" si="24"/>
        <v>22018475.97</v>
      </c>
      <c r="Q19" s="10">
        <f t="shared" si="24"/>
        <v>20448234.8</v>
      </c>
      <c r="R19" s="10">
        <f t="shared" si="24"/>
        <v>8124219.795</v>
      </c>
      <c r="S19" s="10">
        <f t="shared" si="4"/>
        <v>28572454.59</v>
      </c>
      <c r="T19" s="10">
        <f t="shared" si="5"/>
        <v>4629966.464</v>
      </c>
      <c r="U19" s="8">
        <v>46112.0</v>
      </c>
      <c r="V19" s="7">
        <v>1.9285E7</v>
      </c>
      <c r="W19" s="7">
        <v>1.905520157E7</v>
      </c>
      <c r="X19" s="7">
        <v>1.769628545E7</v>
      </c>
      <c r="Y19" s="7">
        <v>7030852.0</v>
      </c>
      <c r="Z19" s="7">
        <v>4006859.71</v>
      </c>
      <c r="AA19" s="6" t="s">
        <v>45</v>
      </c>
      <c r="AB19" s="11" t="str">
        <f t="shared" si="6"/>
        <v>Include</v>
      </c>
      <c r="AC19" s="1">
        <f t="shared" si="23"/>
        <v>1.297658141</v>
      </c>
    </row>
    <row r="20" ht="15.0" customHeight="1">
      <c r="B20" s="6">
        <f t="shared" si="8"/>
        <v>18</v>
      </c>
      <c r="C20" s="1" t="s">
        <v>95</v>
      </c>
      <c r="D20" s="1" t="str">
        <f t="shared" si="2"/>
        <v>Private Credit</v>
      </c>
      <c r="E20" s="1" t="s">
        <v>39</v>
      </c>
      <c r="F20" s="1" t="s">
        <v>39</v>
      </c>
      <c r="G20" s="1" t="s">
        <v>96</v>
      </c>
      <c r="H20" s="1" t="s">
        <v>97</v>
      </c>
      <c r="I20" s="1" t="s">
        <v>38</v>
      </c>
      <c r="J20" s="1" t="s">
        <v>81</v>
      </c>
      <c r="K20" s="1" t="s">
        <v>98</v>
      </c>
      <c r="L20" s="1" t="s">
        <v>99</v>
      </c>
      <c r="N20" s="6">
        <v>2012.0</v>
      </c>
      <c r="O20" s="10">
        <f t="shared" ref="O20:R20" si="25">IFERROR(V20*INDEX($AH$4:$AH$8,MATCH($AA20,$AG$4:$AG$8,0)),"")</f>
        <v>30000000</v>
      </c>
      <c r="P20" s="10">
        <f t="shared" si="25"/>
        <v>30244583</v>
      </c>
      <c r="Q20" s="10">
        <f t="shared" si="25"/>
        <v>1716248</v>
      </c>
      <c r="R20" s="10">
        <f t="shared" si="25"/>
        <v>0</v>
      </c>
      <c r="S20" s="10">
        <f t="shared" si="4"/>
        <v>1716248</v>
      </c>
      <c r="T20" s="10">
        <f t="shared" si="5"/>
        <v>0</v>
      </c>
      <c r="U20" s="8">
        <v>44651.0</v>
      </c>
      <c r="V20" s="7">
        <v>3.0E7</v>
      </c>
      <c r="W20" s="7">
        <v>3.0244583E7</v>
      </c>
      <c r="X20" s="7">
        <v>1716248.0</v>
      </c>
      <c r="Y20" s="7">
        <v>0.0</v>
      </c>
      <c r="Z20" s="7">
        <v>0.0</v>
      </c>
      <c r="AA20" s="6" t="s">
        <v>52</v>
      </c>
      <c r="AB20" s="11" t="str">
        <f t="shared" si="6"/>
        <v>Exclude</v>
      </c>
    </row>
    <row r="21" ht="15.0" customHeight="1">
      <c r="B21" s="6">
        <f t="shared" si="8"/>
        <v>19</v>
      </c>
      <c r="C21" s="1" t="s">
        <v>100</v>
      </c>
      <c r="D21" s="1" t="str">
        <f t="shared" si="2"/>
        <v>Private Credit</v>
      </c>
      <c r="E21" s="1" t="s">
        <v>39</v>
      </c>
      <c r="F21" s="1" t="s">
        <v>39</v>
      </c>
      <c r="G21" s="1" t="s">
        <v>100</v>
      </c>
      <c r="H21" s="1" t="s">
        <v>101</v>
      </c>
      <c r="I21" s="1" t="s">
        <v>38</v>
      </c>
      <c r="J21" s="1" t="s">
        <v>81</v>
      </c>
      <c r="K21" s="1" t="s">
        <v>102</v>
      </c>
      <c r="L21" s="1" t="s">
        <v>103</v>
      </c>
      <c r="N21" s="6">
        <v>2017.0</v>
      </c>
      <c r="O21" s="10">
        <f t="shared" ref="O21:R21" si="26">IFERROR(V21*INDEX($AH$4:$AH$8,MATCH($AA21,$AG$4:$AG$8,0)),"")</f>
        <v>105124550</v>
      </c>
      <c r="P21" s="10">
        <f t="shared" si="26"/>
        <v>59918220.17</v>
      </c>
      <c r="Q21" s="10">
        <f t="shared" si="26"/>
        <v>53952461.96</v>
      </c>
      <c r="R21" s="10">
        <f t="shared" si="26"/>
        <v>19700582</v>
      </c>
      <c r="S21" s="10">
        <f t="shared" si="4"/>
        <v>73653043.96</v>
      </c>
      <c r="T21" s="10">
        <f t="shared" si="5"/>
        <v>44999999.83</v>
      </c>
      <c r="U21" s="8">
        <v>46173.0</v>
      </c>
      <c r="V21" s="7">
        <v>1.0512455E8</v>
      </c>
      <c r="W21" s="7">
        <v>5.991822017E7</v>
      </c>
      <c r="X21" s="7">
        <v>5.395246196E7</v>
      </c>
      <c r="Y21" s="7">
        <v>1.9700582E7</v>
      </c>
      <c r="Z21" s="7">
        <v>4.499999983E7</v>
      </c>
      <c r="AA21" s="6" t="s">
        <v>52</v>
      </c>
      <c r="AB21" s="11" t="str">
        <f t="shared" si="6"/>
        <v>Include</v>
      </c>
      <c r="AC21" s="1">
        <f t="shared" ref="AC21:AC26" si="28">S21/P21</f>
        <v>1.229226164</v>
      </c>
    </row>
    <row r="22" ht="15.0" customHeight="1">
      <c r="B22" s="6">
        <f t="shared" si="8"/>
        <v>20</v>
      </c>
      <c r="C22" s="1" t="s">
        <v>104</v>
      </c>
      <c r="D22" s="1" t="str">
        <f t="shared" si="2"/>
        <v>Private Credit</v>
      </c>
      <c r="E22" s="1" t="s">
        <v>39</v>
      </c>
      <c r="F22" s="1" t="s">
        <v>39</v>
      </c>
      <c r="G22" s="1" t="s">
        <v>104</v>
      </c>
      <c r="H22" s="1" t="s">
        <v>105</v>
      </c>
      <c r="I22" s="1" t="s">
        <v>38</v>
      </c>
      <c r="J22" s="1" t="s">
        <v>81</v>
      </c>
      <c r="K22" s="1" t="s">
        <v>92</v>
      </c>
      <c r="L22" s="1" t="s">
        <v>93</v>
      </c>
      <c r="N22" s="6">
        <v>2021.0</v>
      </c>
      <c r="O22" s="10">
        <f t="shared" ref="O22:R22" si="27">IFERROR(V22*INDEX($AH$4:$AH$8,MATCH($AA22,$AG$4:$AG$8,0)),"")</f>
        <v>45292000</v>
      </c>
      <c r="P22" s="10">
        <f t="shared" si="27"/>
        <v>45414679</v>
      </c>
      <c r="Q22" s="10">
        <f t="shared" si="27"/>
        <v>14632215.62</v>
      </c>
      <c r="R22" s="10">
        <f t="shared" si="27"/>
        <v>62774985</v>
      </c>
      <c r="S22" s="10">
        <f t="shared" si="4"/>
        <v>77407200.62</v>
      </c>
      <c r="T22" s="10">
        <f t="shared" si="5"/>
        <v>0</v>
      </c>
      <c r="U22" s="8">
        <v>46112.0</v>
      </c>
      <c r="V22" s="7">
        <v>4.5292E7</v>
      </c>
      <c r="W22" s="7">
        <v>4.5414679E7</v>
      </c>
      <c r="X22" s="7">
        <v>1.463221562E7</v>
      </c>
      <c r="Y22" s="7">
        <v>6.2774985E7</v>
      </c>
      <c r="Z22" s="7">
        <v>0.0</v>
      </c>
      <c r="AA22" s="6" t="s">
        <v>52</v>
      </c>
      <c r="AB22" s="11" t="str">
        <f t="shared" si="6"/>
        <v>Include</v>
      </c>
      <c r="AC22" s="1">
        <f t="shared" si="28"/>
        <v>1.704453325</v>
      </c>
    </row>
    <row r="23" ht="15.0" customHeight="1">
      <c r="B23" s="6">
        <f t="shared" si="8"/>
        <v>21</v>
      </c>
      <c r="C23" s="1" t="s">
        <v>108</v>
      </c>
      <c r="D23" s="1" t="str">
        <f t="shared" si="2"/>
        <v>Private Credit</v>
      </c>
      <c r="E23" s="1" t="s">
        <v>39</v>
      </c>
      <c r="F23" s="1" t="s">
        <v>39</v>
      </c>
      <c r="G23" s="1" t="s">
        <v>108</v>
      </c>
      <c r="H23" s="1" t="s">
        <v>109</v>
      </c>
      <c r="I23" s="1" t="s">
        <v>38</v>
      </c>
      <c r="J23" s="1" t="s">
        <v>81</v>
      </c>
      <c r="K23" s="1" t="s">
        <v>82</v>
      </c>
      <c r="L23" s="1" t="s">
        <v>83</v>
      </c>
      <c r="N23" s="6">
        <v>2021.0</v>
      </c>
      <c r="O23" s="10">
        <f t="shared" ref="O23:R23" si="29">IFERROR(V23*INDEX($AH$4:$AH$8,MATCH($AA23,$AG$4:$AG$8,0)),"")</f>
        <v>140469529.4</v>
      </c>
      <c r="P23" s="10">
        <f t="shared" si="29"/>
        <v>104205240.8</v>
      </c>
      <c r="Q23" s="10">
        <f t="shared" si="29"/>
        <v>66236685.25</v>
      </c>
      <c r="R23" s="10">
        <f t="shared" si="29"/>
        <v>61222719</v>
      </c>
      <c r="S23" s="10">
        <f t="shared" si="4"/>
        <v>127459404.3</v>
      </c>
      <c r="T23" s="10">
        <f t="shared" si="5"/>
        <v>65740347.56</v>
      </c>
      <c r="U23" s="8">
        <v>46112.0</v>
      </c>
      <c r="V23" s="7">
        <v>1.404695294E8</v>
      </c>
      <c r="W23" s="7">
        <v>1.0420524083E8</v>
      </c>
      <c r="X23" s="7">
        <v>6.623668525E7</v>
      </c>
      <c r="Y23" s="7">
        <v>6.1222719E7</v>
      </c>
      <c r="Z23" s="7">
        <v>6.574034756E7</v>
      </c>
      <c r="AA23" s="6" t="s">
        <v>52</v>
      </c>
      <c r="AB23" s="11" t="str">
        <f t="shared" si="6"/>
        <v>Include</v>
      </c>
      <c r="AC23" s="1">
        <f t="shared" si="28"/>
        <v>1.223157331</v>
      </c>
    </row>
    <row r="24" ht="15.0" customHeight="1">
      <c r="B24" s="6">
        <f t="shared" si="8"/>
        <v>22</v>
      </c>
      <c r="C24" s="1" t="s">
        <v>110</v>
      </c>
      <c r="D24" s="1" t="str">
        <f t="shared" si="2"/>
        <v>Private Credit</v>
      </c>
      <c r="E24" s="1" t="s">
        <v>39</v>
      </c>
      <c r="F24" s="1" t="s">
        <v>39</v>
      </c>
      <c r="G24" s="1" t="s">
        <v>110</v>
      </c>
      <c r="H24" s="1" t="s">
        <v>111</v>
      </c>
      <c r="I24" s="1" t="s">
        <v>38</v>
      </c>
      <c r="J24" s="1" t="s">
        <v>81</v>
      </c>
      <c r="K24" s="1" t="s">
        <v>92</v>
      </c>
      <c r="L24" s="1" t="s">
        <v>112</v>
      </c>
      <c r="N24" s="6">
        <v>2021.0</v>
      </c>
      <c r="O24" s="10">
        <f t="shared" ref="O24:R24" si="30">IFERROR(V24*INDEX($AH$4:$AH$8,MATCH($AA24,$AG$4:$AG$8,0)),"")</f>
        <v>35000000</v>
      </c>
      <c r="P24" s="10">
        <f t="shared" si="30"/>
        <v>5373304.14</v>
      </c>
      <c r="Q24" s="10">
        <f t="shared" si="30"/>
        <v>814480.06</v>
      </c>
      <c r="R24" s="10">
        <f t="shared" si="30"/>
        <v>6774489</v>
      </c>
      <c r="S24" s="10">
        <f t="shared" si="4"/>
        <v>7588969.06</v>
      </c>
      <c r="T24" s="10">
        <f t="shared" si="5"/>
        <v>4191175.92</v>
      </c>
      <c r="U24" s="8">
        <v>46112.0</v>
      </c>
      <c r="V24" s="7">
        <v>3.5E7</v>
      </c>
      <c r="W24" s="7">
        <v>5373304.14</v>
      </c>
      <c r="X24" s="7">
        <v>814480.06</v>
      </c>
      <c r="Y24" s="7">
        <v>6774489.0</v>
      </c>
      <c r="Z24" s="7">
        <v>4191175.92</v>
      </c>
      <c r="AA24" s="6" t="s">
        <v>52</v>
      </c>
      <c r="AB24" s="11" t="str">
        <f t="shared" si="6"/>
        <v>Include</v>
      </c>
      <c r="AC24" s="1">
        <f t="shared" si="28"/>
        <v>1.412346828</v>
      </c>
    </row>
    <row r="25" ht="15.0" customHeight="1">
      <c r="B25" s="6">
        <f t="shared" si="8"/>
        <v>23</v>
      </c>
      <c r="C25" s="1" t="s">
        <v>114</v>
      </c>
      <c r="D25" s="1" t="str">
        <f t="shared" si="2"/>
        <v>Private Credit</v>
      </c>
      <c r="E25" s="1" t="s">
        <v>39</v>
      </c>
      <c r="F25" s="1" t="s">
        <v>39</v>
      </c>
      <c r="G25" s="1" t="s">
        <v>114</v>
      </c>
      <c r="H25" s="1" t="s">
        <v>105</v>
      </c>
      <c r="I25" s="1" t="s">
        <v>38</v>
      </c>
      <c r="J25" s="1" t="s">
        <v>81</v>
      </c>
      <c r="K25" s="1" t="s">
        <v>102</v>
      </c>
      <c r="L25" s="1" t="s">
        <v>115</v>
      </c>
      <c r="N25" s="6">
        <v>2023.0</v>
      </c>
      <c r="O25" s="10">
        <f t="shared" ref="O25:R25" si="31">IFERROR(V25*INDEX($AH$4:$AH$8,MATCH($AA25,$AG$4:$AG$8,0)),"")</f>
        <v>35000000</v>
      </c>
      <c r="P25" s="10">
        <f t="shared" si="31"/>
        <v>34890817</v>
      </c>
      <c r="Q25" s="10">
        <f t="shared" si="31"/>
        <v>0</v>
      </c>
      <c r="R25" s="10">
        <f t="shared" si="31"/>
        <v>40356148</v>
      </c>
      <c r="S25" s="10">
        <f t="shared" si="4"/>
        <v>40356148</v>
      </c>
      <c r="T25" s="10">
        <f t="shared" si="5"/>
        <v>109183</v>
      </c>
      <c r="U25" s="8">
        <v>46112.0</v>
      </c>
      <c r="V25" s="7">
        <v>3.5E7</v>
      </c>
      <c r="W25" s="7">
        <v>3.4890817E7</v>
      </c>
      <c r="X25" s="7">
        <v>0.0</v>
      </c>
      <c r="Y25" s="7">
        <v>4.0356148E7</v>
      </c>
      <c r="Z25" s="7">
        <v>109183.0</v>
      </c>
      <c r="AA25" s="6" t="s">
        <v>52</v>
      </c>
      <c r="AB25" s="11" t="str">
        <f t="shared" si="6"/>
        <v>Include</v>
      </c>
      <c r="AC25" s="1">
        <f t="shared" si="28"/>
        <v>1.156640958</v>
      </c>
    </row>
    <row r="26" ht="15.0" customHeight="1">
      <c r="B26" s="6">
        <f t="shared" si="8"/>
        <v>24</v>
      </c>
      <c r="C26" s="1" t="s">
        <v>116</v>
      </c>
      <c r="D26" s="1" t="str">
        <f t="shared" si="2"/>
        <v>Private Credit</v>
      </c>
      <c r="E26" s="1" t="s">
        <v>39</v>
      </c>
      <c r="F26" s="1" t="s">
        <v>39</v>
      </c>
      <c r="G26" s="1" t="s">
        <v>116</v>
      </c>
      <c r="H26" s="1" t="s">
        <v>80</v>
      </c>
      <c r="I26" s="1" t="s">
        <v>38</v>
      </c>
      <c r="J26" s="1" t="s">
        <v>81</v>
      </c>
      <c r="K26" s="1" t="s">
        <v>82</v>
      </c>
      <c r="L26" s="1" t="s">
        <v>83</v>
      </c>
      <c r="N26" s="6">
        <v>2024.0</v>
      </c>
      <c r="O26" s="10">
        <f t="shared" ref="O26:R26" si="32">IFERROR(V26*INDEX($AH$4:$AH$8,MATCH($AA26,$AG$4:$AG$8,0)),"")</f>
        <v>13866120</v>
      </c>
      <c r="P26" s="10">
        <f t="shared" si="32"/>
        <v>13854221.33</v>
      </c>
      <c r="Q26" s="10">
        <f t="shared" si="32"/>
        <v>0</v>
      </c>
      <c r="R26" s="10">
        <f t="shared" si="32"/>
        <v>21151183.45</v>
      </c>
      <c r="S26" s="10">
        <f t="shared" si="4"/>
        <v>21151183.45</v>
      </c>
      <c r="T26" s="10">
        <f t="shared" si="5"/>
        <v>11898.66779</v>
      </c>
      <c r="U26" s="8">
        <v>46112.0</v>
      </c>
      <c r="V26" s="7">
        <v>1.2E7</v>
      </c>
      <c r="W26" s="7">
        <v>1.198970267E7</v>
      </c>
      <c r="X26" s="7">
        <v>0.0</v>
      </c>
      <c r="Y26" s="7">
        <v>1.830463038E7</v>
      </c>
      <c r="Z26" s="7">
        <v>10297.33</v>
      </c>
      <c r="AA26" s="6" t="s">
        <v>45</v>
      </c>
      <c r="AB26" s="11" t="str">
        <f t="shared" si="6"/>
        <v>Include</v>
      </c>
      <c r="AC26" s="1">
        <f t="shared" si="28"/>
        <v>1.526695939</v>
      </c>
    </row>
    <row r="27" ht="15.0" customHeight="1">
      <c r="B27" s="6">
        <f t="shared" si="8"/>
        <v>25</v>
      </c>
      <c r="C27" s="1" t="s">
        <v>117</v>
      </c>
      <c r="D27" s="1" t="str">
        <f t="shared" si="2"/>
        <v>Private Credit</v>
      </c>
      <c r="E27" s="1" t="s">
        <v>39</v>
      </c>
      <c r="F27" s="1" t="s">
        <v>39</v>
      </c>
      <c r="G27" s="1" t="s">
        <v>117</v>
      </c>
      <c r="H27" s="1" t="s">
        <v>105</v>
      </c>
      <c r="I27" s="1" t="s">
        <v>38</v>
      </c>
      <c r="J27" s="1" t="s">
        <v>81</v>
      </c>
      <c r="K27" s="1" t="s">
        <v>92</v>
      </c>
      <c r="L27" s="1" t="s">
        <v>93</v>
      </c>
      <c r="N27" s="6">
        <v>2026.0</v>
      </c>
      <c r="O27" s="10">
        <f t="shared" ref="O27:R27" si="33">IFERROR(V27*INDEX($AH$4:$AH$8,MATCH($AA27,$AG$4:$AG$8,0)),"")</f>
        <v>75000000</v>
      </c>
      <c r="P27" s="10">
        <f t="shared" si="33"/>
        <v>0</v>
      </c>
      <c r="Q27" s="10">
        <f t="shared" si="33"/>
        <v>0</v>
      </c>
      <c r="R27" s="10">
        <f t="shared" si="33"/>
        <v>0</v>
      </c>
      <c r="S27" s="10">
        <f t="shared" si="4"/>
        <v>0</v>
      </c>
      <c r="T27" s="10">
        <f t="shared" si="5"/>
        <v>75000000</v>
      </c>
      <c r="U27" s="8"/>
      <c r="V27" s="7">
        <v>7.5E7</v>
      </c>
      <c r="W27" s="7">
        <v>0.0</v>
      </c>
      <c r="X27" s="7">
        <v>0.0</v>
      </c>
      <c r="Y27" s="7"/>
      <c r="Z27" s="7">
        <v>7.5E7</v>
      </c>
      <c r="AA27" s="6" t="s">
        <v>52</v>
      </c>
      <c r="AB27" s="11" t="str">
        <f t="shared" si="6"/>
        <v>Exclude</v>
      </c>
    </row>
    <row r="28" ht="15.0" customHeight="1">
      <c r="B28" s="6">
        <f t="shared" si="8"/>
        <v>26</v>
      </c>
      <c r="C28" s="1" t="s">
        <v>119</v>
      </c>
      <c r="D28" s="1" t="str">
        <f t="shared" si="2"/>
        <v>Private Equity</v>
      </c>
      <c r="E28" s="1" t="s">
        <v>43</v>
      </c>
      <c r="F28" s="1" t="s">
        <v>43</v>
      </c>
      <c r="G28" s="1" t="s">
        <v>119</v>
      </c>
      <c r="H28" s="1" t="s">
        <v>120</v>
      </c>
      <c r="I28" s="1" t="s">
        <v>38</v>
      </c>
      <c r="J28" s="1" t="s">
        <v>121</v>
      </c>
      <c r="K28" s="1" t="s">
        <v>122</v>
      </c>
      <c r="L28" s="1" t="s">
        <v>123</v>
      </c>
      <c r="N28" s="6">
        <v>2012.0</v>
      </c>
      <c r="O28" s="10">
        <f t="shared" ref="O28:R28" si="34">IFERROR(V28*INDEX($AH$4:$AH$8,MATCH($AA28,$AG$4:$AG$8,0)),"")</f>
        <v>14999081</v>
      </c>
      <c r="P28" s="10">
        <f t="shared" si="34"/>
        <v>6245163.43</v>
      </c>
      <c r="Q28" s="10">
        <f t="shared" si="34"/>
        <v>25935872.69</v>
      </c>
      <c r="R28" s="10">
        <f t="shared" si="34"/>
        <v>0</v>
      </c>
      <c r="S28" s="10">
        <f t="shared" si="4"/>
        <v>25935872.69</v>
      </c>
      <c r="T28" s="10">
        <f t="shared" si="5"/>
        <v>0.28</v>
      </c>
      <c r="U28" s="8">
        <v>45850.0</v>
      </c>
      <c r="V28" s="7">
        <v>1.4999081E7</v>
      </c>
      <c r="W28" s="7">
        <v>6245163.43</v>
      </c>
      <c r="X28" s="7">
        <v>2.593587269E7</v>
      </c>
      <c r="Y28" s="7">
        <v>0.0</v>
      </c>
      <c r="Z28" s="7">
        <v>0.28</v>
      </c>
      <c r="AA28" s="6" t="s">
        <v>52</v>
      </c>
      <c r="AB28" s="11" t="str">
        <f t="shared" si="6"/>
        <v>Exclude</v>
      </c>
    </row>
    <row r="29" ht="15.0" customHeight="1">
      <c r="B29" s="6">
        <f t="shared" si="8"/>
        <v>27</v>
      </c>
      <c r="C29" s="1" t="s">
        <v>124</v>
      </c>
      <c r="D29" s="1" t="str">
        <f t="shared" si="2"/>
        <v>VC &amp; Growth</v>
      </c>
      <c r="E29" s="1" t="s">
        <v>270</v>
      </c>
      <c r="F29" s="1" t="s">
        <v>43</v>
      </c>
      <c r="G29" s="1" t="s">
        <v>124</v>
      </c>
      <c r="H29" s="1" t="s">
        <v>125</v>
      </c>
      <c r="I29" s="1" t="s">
        <v>38</v>
      </c>
      <c r="J29" s="1" t="s">
        <v>126</v>
      </c>
      <c r="K29" s="1" t="s">
        <v>126</v>
      </c>
      <c r="L29" s="1" t="s">
        <v>127</v>
      </c>
      <c r="N29" s="6">
        <v>2012.0</v>
      </c>
      <c r="O29" s="10">
        <f t="shared" ref="O29:R29" si="35">IFERROR(V29*INDEX($AH$4:$AH$8,MATCH($AA29,$AG$4:$AG$8,0)),"")</f>
        <v>12221294.82</v>
      </c>
      <c r="P29" s="10">
        <f t="shared" si="35"/>
        <v>11443766</v>
      </c>
      <c r="Q29" s="10">
        <f t="shared" si="35"/>
        <v>27997435.36</v>
      </c>
      <c r="R29" s="10">
        <f t="shared" si="35"/>
        <v>0</v>
      </c>
      <c r="S29" s="10">
        <f t="shared" si="4"/>
        <v>27997435.36</v>
      </c>
      <c r="T29" s="10">
        <f t="shared" si="5"/>
        <v>-0.0925869</v>
      </c>
      <c r="U29" s="8">
        <v>42089.0</v>
      </c>
      <c r="V29" s="7">
        <v>9239866.95</v>
      </c>
      <c r="W29" s="7">
        <v>8652019.02</v>
      </c>
      <c r="X29" s="7">
        <v>2.11673625E7</v>
      </c>
      <c r="Y29" s="7">
        <v>0.0</v>
      </c>
      <c r="Z29" s="7">
        <v>-0.07</v>
      </c>
      <c r="AA29" s="6" t="s">
        <v>106</v>
      </c>
      <c r="AB29" s="11" t="str">
        <f t="shared" si="6"/>
        <v>Exclude</v>
      </c>
    </row>
    <row r="30" ht="15.0" customHeight="1">
      <c r="B30" s="6">
        <f t="shared" si="8"/>
        <v>28</v>
      </c>
      <c r="C30" s="1" t="s">
        <v>128</v>
      </c>
      <c r="D30" s="1" t="str">
        <f t="shared" si="2"/>
        <v>VC &amp; Growth</v>
      </c>
      <c r="E30" s="1" t="s">
        <v>270</v>
      </c>
      <c r="F30" s="1" t="s">
        <v>43</v>
      </c>
      <c r="G30" s="1" t="s">
        <v>128</v>
      </c>
      <c r="H30" s="1" t="s">
        <v>129</v>
      </c>
      <c r="I30" s="1" t="s">
        <v>38</v>
      </c>
      <c r="J30" s="1" t="s">
        <v>126</v>
      </c>
      <c r="K30" s="1" t="s">
        <v>126</v>
      </c>
      <c r="L30" s="1" t="s">
        <v>123</v>
      </c>
      <c r="N30" s="6">
        <v>2012.0</v>
      </c>
      <c r="O30" s="10">
        <f t="shared" ref="O30:R30" si="36">IFERROR(V30*INDEX($AH$4:$AH$8,MATCH($AA30,$AG$4:$AG$8,0)),"")</f>
        <v>8509746.63</v>
      </c>
      <c r="P30" s="10">
        <f t="shared" si="36"/>
        <v>8509808.002</v>
      </c>
      <c r="Q30" s="10">
        <f t="shared" si="36"/>
        <v>24751672.92</v>
      </c>
      <c r="R30" s="10">
        <f t="shared" si="36"/>
        <v>0</v>
      </c>
      <c r="S30" s="10">
        <f t="shared" si="4"/>
        <v>24751672.92</v>
      </c>
      <c r="T30" s="10">
        <f t="shared" si="5"/>
        <v>-0.529068</v>
      </c>
      <c r="U30" s="8">
        <v>43281.0</v>
      </c>
      <c r="V30" s="7">
        <v>6433764.0</v>
      </c>
      <c r="W30" s="7">
        <v>6433810.4</v>
      </c>
      <c r="X30" s="7">
        <v>1.871341523E7</v>
      </c>
      <c r="Y30" s="7">
        <v>0.0</v>
      </c>
      <c r="Z30" s="7">
        <v>-0.4</v>
      </c>
      <c r="AA30" s="6" t="s">
        <v>106</v>
      </c>
      <c r="AB30" s="11" t="str">
        <f t="shared" si="6"/>
        <v>Exclude</v>
      </c>
    </row>
    <row r="31" ht="15.0" customHeight="1">
      <c r="B31" s="6">
        <f t="shared" si="8"/>
        <v>29</v>
      </c>
      <c r="C31" s="1" t="s">
        <v>130</v>
      </c>
      <c r="D31" s="1" t="str">
        <f t="shared" si="2"/>
        <v>Private Equity</v>
      </c>
      <c r="E31" s="1" t="s">
        <v>43</v>
      </c>
      <c r="F31" s="1" t="s">
        <v>43</v>
      </c>
      <c r="G31" s="1" t="s">
        <v>130</v>
      </c>
      <c r="H31" s="1" t="s">
        <v>131</v>
      </c>
      <c r="I31" s="1" t="s">
        <v>38</v>
      </c>
      <c r="J31" s="1" t="s">
        <v>121</v>
      </c>
      <c r="K31" s="1" t="s">
        <v>122</v>
      </c>
      <c r="L31" s="1" t="s">
        <v>132</v>
      </c>
      <c r="N31" s="6">
        <v>2012.0</v>
      </c>
      <c r="O31" s="10">
        <f t="shared" ref="O31:R31" si="37">IFERROR(V31*INDEX($AH$4:$AH$8,MATCH($AA31,$AG$4:$AG$8,0)),"")</f>
        <v>10000000</v>
      </c>
      <c r="P31" s="10">
        <f t="shared" si="37"/>
        <v>7500000</v>
      </c>
      <c r="Q31" s="10">
        <f t="shared" si="37"/>
        <v>12939297</v>
      </c>
      <c r="R31" s="10">
        <f t="shared" si="37"/>
        <v>0</v>
      </c>
      <c r="S31" s="10">
        <f t="shared" si="4"/>
        <v>12939297</v>
      </c>
      <c r="T31" s="10">
        <f t="shared" si="5"/>
        <v>0</v>
      </c>
      <c r="U31" s="8">
        <v>43754.0</v>
      </c>
      <c r="V31" s="7">
        <v>1.0E7</v>
      </c>
      <c r="W31" s="7">
        <v>7500000.0</v>
      </c>
      <c r="X31" s="7">
        <v>1.2939297E7</v>
      </c>
      <c r="Y31" s="7">
        <v>0.0</v>
      </c>
      <c r="Z31" s="7">
        <v>0.0</v>
      </c>
      <c r="AA31" s="6" t="s">
        <v>52</v>
      </c>
      <c r="AB31" s="11" t="str">
        <f t="shared" si="6"/>
        <v>Exclude</v>
      </c>
    </row>
    <row r="32" ht="15.0" customHeight="1">
      <c r="B32" s="6">
        <f t="shared" si="8"/>
        <v>30</v>
      </c>
      <c r="C32" s="1" t="s">
        <v>133</v>
      </c>
      <c r="D32" s="1" t="str">
        <f t="shared" si="2"/>
        <v>Private Equity</v>
      </c>
      <c r="E32" s="1" t="s">
        <v>43</v>
      </c>
      <c r="F32" s="1" t="s">
        <v>43</v>
      </c>
      <c r="G32" s="1" t="s">
        <v>134</v>
      </c>
      <c r="H32" s="1" t="s">
        <v>135</v>
      </c>
      <c r="I32" s="1" t="s">
        <v>38</v>
      </c>
      <c r="J32" s="1" t="s">
        <v>121</v>
      </c>
      <c r="K32" s="1" t="s">
        <v>122</v>
      </c>
      <c r="L32" s="1" t="s">
        <v>132</v>
      </c>
      <c r="N32" s="6">
        <v>2013.0</v>
      </c>
      <c r="O32" s="10">
        <f t="shared" ref="O32:R32" si="38">IFERROR(V32*INDEX($AH$4:$AH$8,MATCH($AA32,$AG$4:$AG$8,0)),"")</f>
        <v>10815162.62</v>
      </c>
      <c r="P32" s="10">
        <f t="shared" si="38"/>
        <v>9161215.894</v>
      </c>
      <c r="Q32" s="10">
        <f t="shared" si="38"/>
        <v>19646688.97</v>
      </c>
      <c r="R32" s="10">
        <f t="shared" si="38"/>
        <v>0</v>
      </c>
      <c r="S32" s="10">
        <f t="shared" si="4"/>
        <v>19646688.97</v>
      </c>
      <c r="T32" s="10">
        <f t="shared" si="5"/>
        <v>-0.115551</v>
      </c>
      <c r="U32" s="8">
        <v>44377.0</v>
      </c>
      <c r="V32" s="7">
        <v>9359644.33</v>
      </c>
      <c r="W32" s="7">
        <v>7928287.85</v>
      </c>
      <c r="X32" s="7">
        <v>1.700261267E7</v>
      </c>
      <c r="Y32" s="7">
        <v>0.0</v>
      </c>
      <c r="Z32" s="7">
        <v>-0.1</v>
      </c>
      <c r="AA32" s="6" t="s">
        <v>45</v>
      </c>
      <c r="AB32" s="11" t="str">
        <f t="shared" si="6"/>
        <v>Exclude</v>
      </c>
    </row>
    <row r="33" ht="15.0" customHeight="1">
      <c r="B33" s="6">
        <f t="shared" si="8"/>
        <v>31</v>
      </c>
      <c r="C33" s="1" t="s">
        <v>136</v>
      </c>
      <c r="D33" s="1" t="str">
        <f t="shared" si="2"/>
        <v>Private Equity</v>
      </c>
      <c r="E33" s="1" t="s">
        <v>43</v>
      </c>
      <c r="F33" s="1" t="s">
        <v>43</v>
      </c>
      <c r="G33" s="1" t="s">
        <v>136</v>
      </c>
      <c r="H33" s="1" t="s">
        <v>137</v>
      </c>
      <c r="I33" s="1" t="s">
        <v>38</v>
      </c>
      <c r="J33" s="1" t="s">
        <v>121</v>
      </c>
      <c r="K33" s="1" t="s">
        <v>122</v>
      </c>
      <c r="L33" s="1" t="s">
        <v>138</v>
      </c>
      <c r="N33" s="6">
        <v>2013.0</v>
      </c>
      <c r="O33" s="10">
        <f t="shared" ref="O33:R33" si="39">IFERROR(V33*INDEX($AH$4:$AH$8,MATCH($AA33,$AG$4:$AG$8,0)),"")</f>
        <v>12007602.52</v>
      </c>
      <c r="P33" s="10">
        <f t="shared" si="39"/>
        <v>12281374.07</v>
      </c>
      <c r="Q33" s="10">
        <f t="shared" si="39"/>
        <v>8507605</v>
      </c>
      <c r="R33" s="10">
        <f t="shared" si="39"/>
        <v>-59992</v>
      </c>
      <c r="S33" s="10">
        <f t="shared" si="4"/>
        <v>8447613</v>
      </c>
      <c r="T33" s="10">
        <f t="shared" si="5"/>
        <v>0</v>
      </c>
      <c r="U33" s="8">
        <v>46112.0</v>
      </c>
      <c r="V33" s="7">
        <v>1.200760252E7</v>
      </c>
      <c r="W33" s="7">
        <v>1.228137407E7</v>
      </c>
      <c r="X33" s="7">
        <v>8507605.0</v>
      </c>
      <c r="Y33" s="7">
        <v>-59992.0</v>
      </c>
      <c r="Z33" s="7">
        <v>0.0</v>
      </c>
      <c r="AA33" s="6" t="s">
        <v>52</v>
      </c>
      <c r="AB33" s="11" t="str">
        <f t="shared" si="6"/>
        <v>Exclude</v>
      </c>
    </row>
    <row r="34" ht="15.0" customHeight="1">
      <c r="B34" s="6">
        <f t="shared" si="8"/>
        <v>32</v>
      </c>
      <c r="C34" s="1" t="s">
        <v>139</v>
      </c>
      <c r="D34" s="1" t="str">
        <f t="shared" si="2"/>
        <v>Private Equity</v>
      </c>
      <c r="E34" s="1" t="s">
        <v>43</v>
      </c>
      <c r="F34" s="1" t="s">
        <v>43</v>
      </c>
      <c r="G34" s="1" t="s">
        <v>139</v>
      </c>
      <c r="H34" s="1" t="s">
        <v>140</v>
      </c>
      <c r="I34" s="1" t="s">
        <v>38</v>
      </c>
      <c r="J34" s="1" t="s">
        <v>121</v>
      </c>
      <c r="K34" s="1" t="s">
        <v>122</v>
      </c>
      <c r="L34" s="1" t="s">
        <v>127</v>
      </c>
      <c r="N34" s="6">
        <v>2013.0</v>
      </c>
      <c r="O34" s="10">
        <f t="shared" ref="O34:R34" si="40">IFERROR(V34*INDEX($AH$4:$AH$8,MATCH($AA34,$AG$4:$AG$8,0)),"")</f>
        <v>10832906.25</v>
      </c>
      <c r="P34" s="10">
        <f t="shared" si="40"/>
        <v>10190974.55</v>
      </c>
      <c r="Q34" s="10">
        <f t="shared" si="40"/>
        <v>66861674.34</v>
      </c>
      <c r="R34" s="10">
        <f t="shared" si="40"/>
        <v>0</v>
      </c>
      <c r="S34" s="10">
        <f t="shared" si="4"/>
        <v>66861674.34</v>
      </c>
      <c r="T34" s="10">
        <f t="shared" si="5"/>
        <v>0.1502163</v>
      </c>
      <c r="U34" s="8">
        <v>44286.0</v>
      </c>
      <c r="V34" s="7">
        <v>9375000.0</v>
      </c>
      <c r="W34" s="7">
        <v>8819460.28</v>
      </c>
      <c r="X34" s="7">
        <v>5.786334548E7</v>
      </c>
      <c r="Y34" s="7">
        <v>0.0</v>
      </c>
      <c r="Z34" s="7">
        <v>0.13</v>
      </c>
      <c r="AA34" s="6" t="s">
        <v>45</v>
      </c>
      <c r="AB34" s="11" t="str">
        <f t="shared" si="6"/>
        <v>Exclude</v>
      </c>
    </row>
    <row r="35" ht="15.0" customHeight="1">
      <c r="B35" s="6">
        <f t="shared" si="8"/>
        <v>33</v>
      </c>
      <c r="C35" s="1" t="s">
        <v>141</v>
      </c>
      <c r="D35" s="1" t="str">
        <f t="shared" si="2"/>
        <v>Private Equity</v>
      </c>
      <c r="E35" s="1" t="s">
        <v>43</v>
      </c>
      <c r="F35" s="1" t="s">
        <v>43</v>
      </c>
      <c r="G35" s="1" t="s">
        <v>141</v>
      </c>
      <c r="H35" s="1" t="s">
        <v>120</v>
      </c>
      <c r="I35" s="1" t="s">
        <v>38</v>
      </c>
      <c r="J35" s="1" t="s">
        <v>121</v>
      </c>
      <c r="K35" s="1" t="s">
        <v>122</v>
      </c>
      <c r="L35" s="1" t="s">
        <v>123</v>
      </c>
      <c r="N35" s="6">
        <v>2013.0</v>
      </c>
      <c r="O35" s="10">
        <f t="shared" ref="O35:R35" si="41">IFERROR(V35*INDEX($AH$4:$AH$8,MATCH($AA35,$AG$4:$AG$8,0)),"")</f>
        <v>14982607</v>
      </c>
      <c r="P35" s="10">
        <f t="shared" si="41"/>
        <v>6920137.05</v>
      </c>
      <c r="Q35" s="10">
        <f t="shared" si="41"/>
        <v>11811212.47</v>
      </c>
      <c r="R35" s="10">
        <f t="shared" si="41"/>
        <v>103525</v>
      </c>
      <c r="S35" s="10">
        <f t="shared" si="4"/>
        <v>11914737.47</v>
      </c>
      <c r="T35" s="10">
        <f t="shared" si="5"/>
        <v>289240.46</v>
      </c>
      <c r="U35" s="8">
        <v>46112.0</v>
      </c>
      <c r="V35" s="7">
        <v>1.4982607E7</v>
      </c>
      <c r="W35" s="7">
        <v>6920137.05</v>
      </c>
      <c r="X35" s="7">
        <v>1.181121247E7</v>
      </c>
      <c r="Y35" s="7">
        <v>103525.0</v>
      </c>
      <c r="Z35" s="7">
        <v>289240.46</v>
      </c>
      <c r="AA35" s="6" t="s">
        <v>52</v>
      </c>
      <c r="AB35" s="11" t="str">
        <f t="shared" si="6"/>
        <v>Include</v>
      </c>
      <c r="AC35" s="1">
        <f>S35/P35</f>
        <v>1.721748772</v>
      </c>
    </row>
    <row r="36" ht="15.0" customHeight="1">
      <c r="B36" s="6">
        <f t="shared" si="8"/>
        <v>34</v>
      </c>
      <c r="C36" s="1" t="s">
        <v>142</v>
      </c>
      <c r="D36" s="1" t="str">
        <f t="shared" si="2"/>
        <v>VC &amp; Growth</v>
      </c>
      <c r="E36" s="1" t="s">
        <v>270</v>
      </c>
      <c r="F36" s="1" t="s">
        <v>43</v>
      </c>
      <c r="G36" s="1" t="s">
        <v>142</v>
      </c>
      <c r="H36" s="1" t="s">
        <v>143</v>
      </c>
      <c r="I36" s="1" t="s">
        <v>38</v>
      </c>
      <c r="J36" s="1" t="s">
        <v>126</v>
      </c>
      <c r="K36" s="1" t="s">
        <v>126</v>
      </c>
      <c r="L36" s="1" t="s">
        <v>123</v>
      </c>
      <c r="N36" s="6">
        <v>2014.0</v>
      </c>
      <c r="O36" s="10">
        <f t="shared" ref="O36:R36" si="42">IFERROR(V36*INDEX($AH$4:$AH$8,MATCH($AA36,$AG$4:$AG$8,0)),"")</f>
        <v>15000000</v>
      </c>
      <c r="P36" s="10">
        <f t="shared" si="42"/>
        <v>12086263.16</v>
      </c>
      <c r="Q36" s="10">
        <f t="shared" si="42"/>
        <v>44193141.72</v>
      </c>
      <c r="R36" s="10">
        <f t="shared" si="42"/>
        <v>0</v>
      </c>
      <c r="S36" s="10">
        <f t="shared" si="4"/>
        <v>44193141.72</v>
      </c>
      <c r="T36" s="10">
        <f t="shared" si="5"/>
        <v>0.19</v>
      </c>
      <c r="U36" s="8">
        <v>43770.0</v>
      </c>
      <c r="V36" s="7">
        <v>1.5E7</v>
      </c>
      <c r="W36" s="7">
        <v>1.208626316E7</v>
      </c>
      <c r="X36" s="7">
        <v>4.419314172E7</v>
      </c>
      <c r="Y36" s="7">
        <v>0.0</v>
      </c>
      <c r="Z36" s="7">
        <v>0.19</v>
      </c>
      <c r="AA36" s="6" t="s">
        <v>52</v>
      </c>
      <c r="AB36" s="11" t="str">
        <f t="shared" si="6"/>
        <v>Exclude</v>
      </c>
    </row>
    <row r="37" ht="15.0" customHeight="1">
      <c r="B37" s="6">
        <f t="shared" si="8"/>
        <v>35</v>
      </c>
      <c r="C37" s="1" t="s">
        <v>145</v>
      </c>
      <c r="D37" s="1" t="str">
        <f t="shared" si="2"/>
        <v>Private Equity</v>
      </c>
      <c r="E37" s="1" t="s">
        <v>43</v>
      </c>
      <c r="F37" s="1" t="s">
        <v>43</v>
      </c>
      <c r="G37" s="1" t="s">
        <v>145</v>
      </c>
      <c r="H37" s="1" t="s">
        <v>146</v>
      </c>
      <c r="I37" s="1" t="s">
        <v>38</v>
      </c>
      <c r="J37" s="1" t="s">
        <v>121</v>
      </c>
      <c r="K37" s="1" t="s">
        <v>122</v>
      </c>
      <c r="L37" s="1" t="s">
        <v>132</v>
      </c>
      <c r="N37" s="6">
        <v>2014.0</v>
      </c>
      <c r="O37" s="10">
        <f t="shared" ref="O37:R37" si="43">IFERROR(V37*INDEX($AH$4:$AH$8,MATCH($AA37,$AG$4:$AG$8,0)),"")</f>
        <v>13000000</v>
      </c>
      <c r="P37" s="10">
        <f t="shared" si="43"/>
        <v>13035722</v>
      </c>
      <c r="Q37" s="10">
        <f t="shared" si="43"/>
        <v>94708077.54</v>
      </c>
      <c r="R37" s="10">
        <f t="shared" si="43"/>
        <v>0</v>
      </c>
      <c r="S37" s="10">
        <f t="shared" si="4"/>
        <v>94708077.54</v>
      </c>
      <c r="T37" s="10">
        <f t="shared" si="5"/>
        <v>0</v>
      </c>
      <c r="U37" s="8">
        <v>43830.0</v>
      </c>
      <c r="V37" s="7">
        <v>1.3E7</v>
      </c>
      <c r="W37" s="7">
        <v>1.3035722E7</v>
      </c>
      <c r="X37" s="7">
        <v>9.470807754E7</v>
      </c>
      <c r="Y37" s="7">
        <v>0.0</v>
      </c>
      <c r="Z37" s="7">
        <v>0.0</v>
      </c>
      <c r="AA37" s="6" t="s">
        <v>52</v>
      </c>
      <c r="AB37" s="11" t="str">
        <f t="shared" si="6"/>
        <v>Exclude</v>
      </c>
    </row>
    <row r="38" ht="15.0" customHeight="1">
      <c r="B38" s="6">
        <f t="shared" si="8"/>
        <v>36</v>
      </c>
      <c r="C38" s="1" t="s">
        <v>147</v>
      </c>
      <c r="D38" s="1" t="str">
        <f t="shared" si="2"/>
        <v>Private Equity</v>
      </c>
      <c r="E38" s="1" t="s">
        <v>43</v>
      </c>
      <c r="F38" s="1" t="s">
        <v>43</v>
      </c>
      <c r="G38" s="1" t="s">
        <v>147</v>
      </c>
      <c r="H38" s="1" t="s">
        <v>143</v>
      </c>
      <c r="I38" s="1" t="s">
        <v>38</v>
      </c>
      <c r="J38" s="1" t="s">
        <v>121</v>
      </c>
      <c r="K38" s="1" t="s">
        <v>122</v>
      </c>
      <c r="L38" s="1" t="s">
        <v>123</v>
      </c>
      <c r="N38" s="6">
        <v>2014.0</v>
      </c>
      <c r="O38" s="10">
        <f t="shared" ref="O38:R38" si="44">IFERROR(V38*INDEX($AH$4:$AH$8,MATCH($AA38,$AG$4:$AG$8,0)),"")</f>
        <v>13000000</v>
      </c>
      <c r="P38" s="10">
        <f t="shared" si="44"/>
        <v>10000000</v>
      </c>
      <c r="Q38" s="10">
        <f t="shared" si="44"/>
        <v>1532116.23</v>
      </c>
      <c r="R38" s="10">
        <f t="shared" si="44"/>
        <v>17113480.88</v>
      </c>
      <c r="S38" s="10">
        <f t="shared" si="4"/>
        <v>18645597.11</v>
      </c>
      <c r="T38" s="10">
        <f t="shared" si="5"/>
        <v>0</v>
      </c>
      <c r="U38" s="8">
        <v>46112.0</v>
      </c>
      <c r="V38" s="7">
        <v>1.3E7</v>
      </c>
      <c r="W38" s="7">
        <v>1.0E7</v>
      </c>
      <c r="X38" s="7">
        <v>1532116.23</v>
      </c>
      <c r="Y38" s="7">
        <v>1.711348088E7</v>
      </c>
      <c r="Z38" s="7">
        <v>0.0</v>
      </c>
      <c r="AA38" s="6" t="s">
        <v>52</v>
      </c>
      <c r="AB38" s="11" t="str">
        <f t="shared" si="6"/>
        <v>Include</v>
      </c>
      <c r="AC38" s="1">
        <f>S38/P38</f>
        <v>1.864559711</v>
      </c>
    </row>
    <row r="39" ht="15.0" customHeight="1">
      <c r="B39" s="6">
        <f t="shared" si="8"/>
        <v>37</v>
      </c>
      <c r="C39" s="1" t="s">
        <v>148</v>
      </c>
      <c r="D39" s="1" t="str">
        <f t="shared" si="2"/>
        <v>VC &amp; Growth</v>
      </c>
      <c r="E39" s="1" t="s">
        <v>270</v>
      </c>
      <c r="F39" s="1" t="s">
        <v>43</v>
      </c>
      <c r="G39" s="1" t="s">
        <v>148</v>
      </c>
      <c r="H39" s="1" t="s">
        <v>149</v>
      </c>
      <c r="I39" s="1" t="s">
        <v>38</v>
      </c>
      <c r="J39" s="1" t="s">
        <v>150</v>
      </c>
      <c r="K39" s="1" t="s">
        <v>150</v>
      </c>
      <c r="L39" s="1" t="s">
        <v>151</v>
      </c>
      <c r="N39" s="6">
        <v>2014.0</v>
      </c>
      <c r="O39" s="10">
        <f t="shared" ref="O39:R39" si="45">IFERROR(V39*INDEX($AH$4:$AH$8,MATCH($AA39,$AG$4:$AG$8,0)),"")</f>
        <v>6000000</v>
      </c>
      <c r="P39" s="10">
        <f t="shared" si="45"/>
        <v>6000000</v>
      </c>
      <c r="Q39" s="10">
        <f t="shared" si="45"/>
        <v>2399153.75</v>
      </c>
      <c r="R39" s="10">
        <f t="shared" si="45"/>
        <v>0</v>
      </c>
      <c r="S39" s="10">
        <f t="shared" si="4"/>
        <v>2399153.75</v>
      </c>
      <c r="T39" s="10">
        <f t="shared" si="5"/>
        <v>0</v>
      </c>
      <c r="U39" s="8">
        <v>45751.0</v>
      </c>
      <c r="V39" s="7">
        <v>6000000.0</v>
      </c>
      <c r="W39" s="7">
        <v>6000000.0</v>
      </c>
      <c r="X39" s="7">
        <v>2399153.75</v>
      </c>
      <c r="Y39" s="7">
        <v>0.0</v>
      </c>
      <c r="Z39" s="7">
        <v>0.0</v>
      </c>
      <c r="AA39" s="6" t="s">
        <v>52</v>
      </c>
      <c r="AB39" s="11" t="str">
        <f t="shared" si="6"/>
        <v>Exclude</v>
      </c>
    </row>
    <row r="40" ht="15.0" customHeight="1">
      <c r="B40" s="6">
        <f t="shared" si="8"/>
        <v>38</v>
      </c>
      <c r="C40" s="1" t="s">
        <v>152</v>
      </c>
      <c r="D40" s="1" t="str">
        <f t="shared" si="2"/>
        <v>Private Equity</v>
      </c>
      <c r="E40" s="1" t="s">
        <v>43</v>
      </c>
      <c r="F40" s="1" t="s">
        <v>43</v>
      </c>
      <c r="G40" s="1" t="s">
        <v>152</v>
      </c>
      <c r="H40" s="1" t="s">
        <v>120</v>
      </c>
      <c r="I40" s="1" t="s">
        <v>38</v>
      </c>
      <c r="J40" s="1" t="s">
        <v>121</v>
      </c>
      <c r="K40" s="1" t="s">
        <v>122</v>
      </c>
      <c r="L40" s="1" t="s">
        <v>123</v>
      </c>
      <c r="N40" s="6">
        <v>2014.0</v>
      </c>
      <c r="O40" s="10">
        <f t="shared" ref="O40:R40" si="46">IFERROR(V40*INDEX($AH$4:$AH$8,MATCH($AA40,$AG$4:$AG$8,0)),"")</f>
        <v>15800610.86</v>
      </c>
      <c r="P40" s="10">
        <f t="shared" si="46"/>
        <v>6916748.266</v>
      </c>
      <c r="Q40" s="10">
        <f t="shared" si="46"/>
        <v>15050282.28</v>
      </c>
      <c r="R40" s="10">
        <f t="shared" si="46"/>
        <v>375139.788</v>
      </c>
      <c r="S40" s="10">
        <f t="shared" si="4"/>
        <v>15425422.07</v>
      </c>
      <c r="T40" s="10">
        <f t="shared" si="5"/>
        <v>555174.0929</v>
      </c>
      <c r="U40" s="8">
        <v>46112.0</v>
      </c>
      <c r="V40" s="7">
        <v>1.367414463E7</v>
      </c>
      <c r="W40" s="7">
        <v>5985883.52</v>
      </c>
      <c r="X40" s="7">
        <v>1.302479622E7</v>
      </c>
      <c r="Y40" s="7">
        <v>324653.0</v>
      </c>
      <c r="Z40" s="7">
        <v>480458.06</v>
      </c>
      <c r="AA40" s="6" t="s">
        <v>45</v>
      </c>
      <c r="AB40" s="11" t="str">
        <f t="shared" si="6"/>
        <v>Include</v>
      </c>
      <c r="AC40" s="1">
        <f>S40/P40</f>
        <v>2.230155194</v>
      </c>
    </row>
    <row r="41" ht="15.0" customHeight="1">
      <c r="B41" s="6">
        <f t="shared" si="8"/>
        <v>39</v>
      </c>
      <c r="C41" s="1" t="s">
        <v>153</v>
      </c>
      <c r="D41" s="1" t="str">
        <f t="shared" si="2"/>
        <v>Private Equity</v>
      </c>
      <c r="E41" s="1" t="s">
        <v>43</v>
      </c>
      <c r="F41" s="1" t="s">
        <v>43</v>
      </c>
      <c r="G41" s="1" t="s">
        <v>153</v>
      </c>
      <c r="H41" s="1" t="s">
        <v>154</v>
      </c>
      <c r="I41" s="1" t="s">
        <v>38</v>
      </c>
      <c r="J41" s="1" t="s">
        <v>121</v>
      </c>
      <c r="K41" s="1" t="s">
        <v>122</v>
      </c>
      <c r="L41" s="1" t="s">
        <v>93</v>
      </c>
      <c r="N41" s="6">
        <v>2014.0</v>
      </c>
      <c r="O41" s="10">
        <f t="shared" ref="O41:R41" si="47">IFERROR(V41*INDEX($AH$4:$AH$8,MATCH($AA41,$AG$4:$AG$8,0)),"")</f>
        <v>10000000</v>
      </c>
      <c r="P41" s="10">
        <f t="shared" si="47"/>
        <v>10000000</v>
      </c>
      <c r="Q41" s="10">
        <f t="shared" si="47"/>
        <v>0</v>
      </c>
      <c r="R41" s="10">
        <f t="shared" si="47"/>
        <v>0</v>
      </c>
      <c r="S41" s="10">
        <f t="shared" si="4"/>
        <v>0</v>
      </c>
      <c r="T41" s="10">
        <f t="shared" si="5"/>
        <v>0</v>
      </c>
      <c r="U41" s="8">
        <v>44196.0</v>
      </c>
      <c r="V41" s="7">
        <v>1.0E7</v>
      </c>
      <c r="W41" s="7">
        <v>1.0E7</v>
      </c>
      <c r="X41" s="7">
        <v>0.0</v>
      </c>
      <c r="Y41" s="7">
        <v>0.0</v>
      </c>
      <c r="Z41" s="7">
        <v>0.0</v>
      </c>
      <c r="AA41" s="6" t="s">
        <v>52</v>
      </c>
      <c r="AB41" s="11" t="str">
        <f t="shared" si="6"/>
        <v>Exclude</v>
      </c>
    </row>
    <row r="42" ht="15.0" customHeight="1">
      <c r="B42" s="6">
        <f t="shared" si="8"/>
        <v>40</v>
      </c>
      <c r="C42" s="1" t="s">
        <v>155</v>
      </c>
      <c r="D42" s="1" t="str">
        <f t="shared" si="2"/>
        <v>VC &amp; Growth</v>
      </c>
      <c r="E42" s="1" t="s">
        <v>270</v>
      </c>
      <c r="F42" s="1" t="s">
        <v>43</v>
      </c>
      <c r="G42" s="1" t="s">
        <v>155</v>
      </c>
      <c r="H42" s="1" t="s">
        <v>156</v>
      </c>
      <c r="I42" s="1" t="s">
        <v>38</v>
      </c>
      <c r="J42" s="1" t="s">
        <v>150</v>
      </c>
      <c r="K42" s="1" t="s">
        <v>150</v>
      </c>
      <c r="L42" s="1" t="s">
        <v>151</v>
      </c>
      <c r="N42" s="6">
        <v>2014.0</v>
      </c>
      <c r="O42" s="10">
        <f t="shared" ref="O42:R42" si="48">IFERROR(V42*INDEX($AH$4:$AH$8,MATCH($AA42,$AG$4:$AG$8,0)),"")</f>
        <v>15000000</v>
      </c>
      <c r="P42" s="10">
        <f t="shared" si="48"/>
        <v>14803775</v>
      </c>
      <c r="Q42" s="10">
        <f t="shared" si="48"/>
        <v>7424075</v>
      </c>
      <c r="R42" s="10">
        <f t="shared" si="48"/>
        <v>10976092</v>
      </c>
      <c r="S42" s="10">
        <f t="shared" si="4"/>
        <v>18400167</v>
      </c>
      <c r="T42" s="10">
        <f t="shared" si="5"/>
        <v>189921</v>
      </c>
      <c r="U42" s="8">
        <v>46112.0</v>
      </c>
      <c r="V42" s="7">
        <v>1.5E7</v>
      </c>
      <c r="W42" s="7">
        <v>1.4803775E7</v>
      </c>
      <c r="X42" s="7">
        <v>7424075.0</v>
      </c>
      <c r="Y42" s="7">
        <v>1.0976092E7</v>
      </c>
      <c r="Z42" s="7">
        <v>189921.0</v>
      </c>
      <c r="AA42" s="6" t="s">
        <v>52</v>
      </c>
      <c r="AB42" s="11" t="str">
        <f t="shared" si="6"/>
        <v>Include</v>
      </c>
      <c r="AC42" s="1">
        <f>S42/P42</f>
        <v>1.242937494</v>
      </c>
    </row>
    <row r="43" ht="15.0" customHeight="1">
      <c r="B43" s="6">
        <f t="shared" si="8"/>
        <v>41</v>
      </c>
      <c r="C43" s="1" t="s">
        <v>157</v>
      </c>
      <c r="D43" s="1" t="str">
        <f t="shared" si="2"/>
        <v>Private Equity</v>
      </c>
      <c r="E43" s="1" t="s">
        <v>43</v>
      </c>
      <c r="F43" s="1" t="s">
        <v>43</v>
      </c>
      <c r="G43" s="1" t="s">
        <v>158</v>
      </c>
      <c r="H43" s="1" t="s">
        <v>131</v>
      </c>
      <c r="I43" s="1" t="s">
        <v>38</v>
      </c>
      <c r="J43" s="1" t="s">
        <v>121</v>
      </c>
      <c r="K43" s="1" t="s">
        <v>122</v>
      </c>
      <c r="L43" s="1" t="s">
        <v>132</v>
      </c>
      <c r="N43" s="6">
        <v>2015.0</v>
      </c>
      <c r="O43" s="10">
        <f t="shared" ref="O43:R43" si="49">IFERROR(V43*INDEX($AH$4:$AH$8,MATCH($AA43,$AG$4:$AG$8,0)),"")</f>
        <v>15000000</v>
      </c>
      <c r="P43" s="10">
        <f t="shared" si="49"/>
        <v>15175000</v>
      </c>
      <c r="Q43" s="10">
        <f t="shared" si="49"/>
        <v>3683.58</v>
      </c>
      <c r="R43" s="10">
        <f t="shared" si="49"/>
        <v>0</v>
      </c>
      <c r="S43" s="10">
        <f t="shared" si="4"/>
        <v>3683.58</v>
      </c>
      <c r="T43" s="10">
        <f t="shared" si="5"/>
        <v>0</v>
      </c>
      <c r="U43" s="8">
        <v>43738.0</v>
      </c>
      <c r="V43" s="7">
        <v>1.5E7</v>
      </c>
      <c r="W43" s="7">
        <v>1.5175E7</v>
      </c>
      <c r="X43" s="7">
        <v>3683.58</v>
      </c>
      <c r="Y43" s="7">
        <v>0.0</v>
      </c>
      <c r="Z43" s="7">
        <v>0.0</v>
      </c>
      <c r="AA43" s="6" t="s">
        <v>52</v>
      </c>
      <c r="AB43" s="11" t="str">
        <f t="shared" si="6"/>
        <v>Exclude</v>
      </c>
    </row>
    <row r="44" ht="15.0" customHeight="1">
      <c r="B44" s="6">
        <f t="shared" si="8"/>
        <v>42</v>
      </c>
      <c r="C44" s="1" t="s">
        <v>159</v>
      </c>
      <c r="D44" s="1" t="str">
        <f t="shared" si="2"/>
        <v>VC &amp; Growth</v>
      </c>
      <c r="E44" s="1" t="s">
        <v>270</v>
      </c>
      <c r="F44" s="1" t="s">
        <v>43</v>
      </c>
      <c r="G44" s="1" t="s">
        <v>159</v>
      </c>
      <c r="H44" s="1" t="s">
        <v>160</v>
      </c>
      <c r="I44" s="1" t="s">
        <v>38</v>
      </c>
      <c r="J44" s="1" t="s">
        <v>126</v>
      </c>
      <c r="K44" s="1" t="s">
        <v>126</v>
      </c>
      <c r="L44" s="1" t="s">
        <v>132</v>
      </c>
      <c r="N44" s="6">
        <v>2015.0</v>
      </c>
      <c r="O44" s="10">
        <f t="shared" ref="O44:R44" si="50">IFERROR(V44*INDEX($AH$4:$AH$8,MATCH($AA44,$AG$4:$AG$8,0)),"")</f>
        <v>12000000</v>
      </c>
      <c r="P44" s="10">
        <f t="shared" si="50"/>
        <v>12362966.76</v>
      </c>
      <c r="Q44" s="10">
        <f t="shared" si="50"/>
        <v>17826119.67</v>
      </c>
      <c r="R44" s="10">
        <f t="shared" si="50"/>
        <v>0</v>
      </c>
      <c r="S44" s="10">
        <f t="shared" si="4"/>
        <v>17826119.67</v>
      </c>
      <c r="T44" s="10">
        <f t="shared" si="5"/>
        <v>0</v>
      </c>
      <c r="U44" s="8">
        <v>43555.0</v>
      </c>
      <c r="V44" s="7">
        <v>1.2E7</v>
      </c>
      <c r="W44" s="7">
        <v>1.236296676E7</v>
      </c>
      <c r="X44" s="7">
        <v>1.782611967E7</v>
      </c>
      <c r="Y44" s="7">
        <v>0.0</v>
      </c>
      <c r="Z44" s="7">
        <v>0.0</v>
      </c>
      <c r="AA44" s="6" t="s">
        <v>52</v>
      </c>
      <c r="AB44" s="11" t="str">
        <f t="shared" si="6"/>
        <v>Exclude</v>
      </c>
    </row>
    <row r="45" ht="15.0" customHeight="1">
      <c r="B45" s="6">
        <f t="shared" si="8"/>
        <v>43</v>
      </c>
      <c r="C45" s="1" t="s">
        <v>162</v>
      </c>
      <c r="D45" s="1" t="str">
        <f t="shared" si="2"/>
        <v>Private Equity</v>
      </c>
      <c r="E45" s="1" t="s">
        <v>43</v>
      </c>
      <c r="F45" s="1" t="s">
        <v>43</v>
      </c>
      <c r="G45" s="1" t="s">
        <v>162</v>
      </c>
      <c r="H45" s="1" t="s">
        <v>163</v>
      </c>
      <c r="I45" s="1" t="s">
        <v>38</v>
      </c>
      <c r="J45" s="1" t="s">
        <v>164</v>
      </c>
      <c r="K45" s="1" t="s">
        <v>122</v>
      </c>
      <c r="L45" s="1" t="s">
        <v>165</v>
      </c>
      <c r="N45" s="6">
        <v>2015.0</v>
      </c>
      <c r="O45" s="10">
        <f t="shared" ref="O45:R45" si="51">IFERROR(V45*INDEX($AH$4:$AH$8,MATCH($AA45,$AG$4:$AG$8,0)),"")</f>
        <v>15000000</v>
      </c>
      <c r="P45" s="10">
        <f t="shared" si="51"/>
        <v>15012260.43</v>
      </c>
      <c r="Q45" s="10">
        <f t="shared" si="51"/>
        <v>2241091</v>
      </c>
      <c r="R45" s="10">
        <f t="shared" si="51"/>
        <v>4002654</v>
      </c>
      <c r="S45" s="10">
        <f t="shared" si="4"/>
        <v>6243745</v>
      </c>
      <c r="T45" s="10">
        <f t="shared" si="5"/>
        <v>0</v>
      </c>
      <c r="U45" s="8">
        <v>46112.0</v>
      </c>
      <c r="V45" s="7">
        <v>1.5E7</v>
      </c>
      <c r="W45" s="7">
        <v>1.501226043E7</v>
      </c>
      <c r="X45" s="7">
        <v>2241091.0</v>
      </c>
      <c r="Y45" s="7">
        <v>4002654.0</v>
      </c>
      <c r="Z45" s="7">
        <v>0.0</v>
      </c>
      <c r="AA45" s="6" t="s">
        <v>52</v>
      </c>
      <c r="AB45" s="11" t="str">
        <f t="shared" si="6"/>
        <v>Include</v>
      </c>
      <c r="AC45" s="1">
        <f>S45/P45</f>
        <v>0.4159097179</v>
      </c>
    </row>
    <row r="46" ht="15.0" customHeight="1">
      <c r="B46" s="6">
        <f t="shared" si="8"/>
        <v>44</v>
      </c>
      <c r="C46" s="1" t="s">
        <v>166</v>
      </c>
      <c r="D46" s="1" t="str">
        <f t="shared" si="2"/>
        <v>VC &amp; Growth</v>
      </c>
      <c r="E46" s="1" t="s">
        <v>270</v>
      </c>
      <c r="F46" s="1" t="s">
        <v>43</v>
      </c>
      <c r="G46" s="1" t="s">
        <v>166</v>
      </c>
      <c r="H46" s="1" t="s">
        <v>167</v>
      </c>
      <c r="I46" s="1" t="s">
        <v>38</v>
      </c>
      <c r="J46" s="1" t="s">
        <v>126</v>
      </c>
      <c r="K46" s="1" t="s">
        <v>126</v>
      </c>
      <c r="L46" s="1" t="s">
        <v>126</v>
      </c>
      <c r="N46" s="6">
        <v>2015.0</v>
      </c>
      <c r="O46" s="10">
        <f t="shared" ref="O46:R46" si="52">IFERROR(V46*INDEX($AH$4:$AH$8,MATCH($AA46,$AG$4:$AG$8,0)),"")</f>
        <v>14617942.92</v>
      </c>
      <c r="P46" s="10">
        <f t="shared" si="52"/>
        <v>14759037.7</v>
      </c>
      <c r="Q46" s="10">
        <f t="shared" si="52"/>
        <v>4208262.64</v>
      </c>
      <c r="R46" s="10">
        <f t="shared" si="52"/>
        <v>0</v>
      </c>
      <c r="S46" s="10">
        <f t="shared" si="4"/>
        <v>4208262.64</v>
      </c>
      <c r="T46" s="10">
        <f t="shared" si="5"/>
        <v>0</v>
      </c>
      <c r="U46" s="8">
        <v>45473.0</v>
      </c>
      <c r="V46" s="7">
        <v>1.461794292E7</v>
      </c>
      <c r="W46" s="7">
        <v>1.47590377E7</v>
      </c>
      <c r="X46" s="7">
        <v>4208262.64</v>
      </c>
      <c r="Y46" s="7">
        <v>0.0</v>
      </c>
      <c r="Z46" s="7">
        <v>0.0</v>
      </c>
      <c r="AA46" s="6" t="s">
        <v>52</v>
      </c>
      <c r="AB46" s="11" t="str">
        <f t="shared" si="6"/>
        <v>Exclude</v>
      </c>
    </row>
    <row r="47" ht="15.0" customHeight="1">
      <c r="B47" s="6">
        <f t="shared" si="8"/>
        <v>45</v>
      </c>
      <c r="C47" s="1" t="s">
        <v>168</v>
      </c>
      <c r="D47" s="1" t="str">
        <f t="shared" si="2"/>
        <v>Private Equity</v>
      </c>
      <c r="E47" s="1" t="s">
        <v>43</v>
      </c>
      <c r="F47" s="1" t="s">
        <v>43</v>
      </c>
      <c r="G47" s="1" t="s">
        <v>168</v>
      </c>
      <c r="H47" s="1" t="s">
        <v>131</v>
      </c>
      <c r="I47" s="1" t="s">
        <v>38</v>
      </c>
      <c r="J47" s="1" t="s">
        <v>121</v>
      </c>
      <c r="K47" s="1" t="s">
        <v>122</v>
      </c>
      <c r="L47" s="1" t="s">
        <v>132</v>
      </c>
      <c r="N47" s="6">
        <v>2013.0</v>
      </c>
      <c r="O47" s="10">
        <f t="shared" ref="O47:R47" si="53">IFERROR(V47*INDEX($AH$4:$AH$8,MATCH($AA47,$AG$4:$AG$8,0)),"")</f>
        <v>2500000</v>
      </c>
      <c r="P47" s="10">
        <f t="shared" si="53"/>
        <v>2500000</v>
      </c>
      <c r="Q47" s="10">
        <f t="shared" si="53"/>
        <v>3748349</v>
      </c>
      <c r="R47" s="10">
        <f t="shared" si="53"/>
        <v>0</v>
      </c>
      <c r="S47" s="10">
        <f t="shared" si="4"/>
        <v>3748349</v>
      </c>
      <c r="T47" s="10">
        <f t="shared" si="5"/>
        <v>0</v>
      </c>
      <c r="U47" s="8">
        <v>45706.0</v>
      </c>
      <c r="V47" s="7">
        <v>2500000.0</v>
      </c>
      <c r="W47" s="7">
        <v>2500000.0</v>
      </c>
      <c r="X47" s="7">
        <v>3748349.0</v>
      </c>
      <c r="Y47" s="7">
        <v>0.0</v>
      </c>
      <c r="Z47" s="7">
        <v>0.0</v>
      </c>
      <c r="AA47" s="6" t="s">
        <v>52</v>
      </c>
      <c r="AB47" s="11" t="str">
        <f t="shared" si="6"/>
        <v>Exclude</v>
      </c>
    </row>
    <row r="48" ht="15.0" customHeight="1">
      <c r="B48" s="6">
        <f t="shared" si="8"/>
        <v>46</v>
      </c>
      <c r="C48" s="1" t="s">
        <v>169</v>
      </c>
      <c r="D48" s="1" t="str">
        <f t="shared" si="2"/>
        <v>VC &amp; Growth</v>
      </c>
      <c r="E48" s="1" t="s">
        <v>270</v>
      </c>
      <c r="F48" s="1" t="s">
        <v>43</v>
      </c>
      <c r="G48" s="1" t="s">
        <v>169</v>
      </c>
      <c r="H48" s="1" t="s">
        <v>160</v>
      </c>
      <c r="I48" s="1" t="s">
        <v>38</v>
      </c>
      <c r="J48" s="1" t="s">
        <v>126</v>
      </c>
      <c r="K48" s="1" t="s">
        <v>126</v>
      </c>
      <c r="L48" s="1" t="s">
        <v>132</v>
      </c>
      <c r="N48" s="6">
        <v>2016.0</v>
      </c>
      <c r="O48" s="10">
        <f t="shared" ref="O48:R48" si="54">IFERROR(V48*INDEX($AH$4:$AH$8,MATCH($AA48,$AG$4:$AG$8,0)),"")</f>
        <v>11000000</v>
      </c>
      <c r="P48" s="10">
        <f t="shared" si="54"/>
        <v>11000000</v>
      </c>
      <c r="Q48" s="10">
        <f t="shared" si="54"/>
        <v>17519989.9</v>
      </c>
      <c r="R48" s="10">
        <f t="shared" si="54"/>
        <v>0</v>
      </c>
      <c r="S48" s="10">
        <f t="shared" si="4"/>
        <v>17519989.9</v>
      </c>
      <c r="T48" s="10">
        <f t="shared" si="5"/>
        <v>0</v>
      </c>
      <c r="U48" s="8">
        <v>43555.0</v>
      </c>
      <c r="V48" s="7">
        <v>1.1E7</v>
      </c>
      <c r="W48" s="7">
        <v>1.1E7</v>
      </c>
      <c r="X48" s="7">
        <v>1.75199899E7</v>
      </c>
      <c r="Y48" s="7">
        <v>0.0</v>
      </c>
      <c r="Z48" s="7">
        <v>0.0</v>
      </c>
      <c r="AA48" s="6" t="s">
        <v>52</v>
      </c>
      <c r="AB48" s="11" t="str">
        <f t="shared" si="6"/>
        <v>Exclude</v>
      </c>
    </row>
    <row r="49" ht="15.0" customHeight="1">
      <c r="B49" s="6">
        <f t="shared" si="8"/>
        <v>47</v>
      </c>
      <c r="C49" s="1" t="s">
        <v>171</v>
      </c>
      <c r="D49" s="1" t="str">
        <f t="shared" si="2"/>
        <v>VC &amp; Growth</v>
      </c>
      <c r="E49" s="1" t="s">
        <v>270</v>
      </c>
      <c r="F49" s="1" t="s">
        <v>43</v>
      </c>
      <c r="G49" s="1" t="s">
        <v>171</v>
      </c>
      <c r="H49" s="1" t="s">
        <v>172</v>
      </c>
      <c r="I49" s="1" t="s">
        <v>38</v>
      </c>
      <c r="J49" s="1" t="s">
        <v>150</v>
      </c>
      <c r="K49" s="1" t="s">
        <v>150</v>
      </c>
      <c r="L49" s="1" t="s">
        <v>173</v>
      </c>
      <c r="N49" s="6">
        <v>2016.0</v>
      </c>
      <c r="O49" s="10">
        <f t="shared" ref="O49:R49" si="55">IFERROR(V49*INDEX($AH$4:$AH$8,MATCH($AA49,$AG$4:$AG$8,0)),"")</f>
        <v>5000000</v>
      </c>
      <c r="P49" s="10">
        <f t="shared" si="55"/>
        <v>5000000</v>
      </c>
      <c r="Q49" s="10">
        <f t="shared" si="55"/>
        <v>7500000</v>
      </c>
      <c r="R49" s="10">
        <f t="shared" si="55"/>
        <v>0</v>
      </c>
      <c r="S49" s="10">
        <f t="shared" si="4"/>
        <v>7500000</v>
      </c>
      <c r="T49" s="10">
        <f t="shared" si="5"/>
        <v>0</v>
      </c>
      <c r="U49" s="8">
        <v>44196.0</v>
      </c>
      <c r="V49" s="7">
        <v>5000000.0</v>
      </c>
      <c r="W49" s="7">
        <v>5000000.0</v>
      </c>
      <c r="X49" s="7">
        <v>7500000.0</v>
      </c>
      <c r="Y49" s="7">
        <v>0.0</v>
      </c>
      <c r="Z49" s="7">
        <v>0.0</v>
      </c>
      <c r="AA49" s="6" t="s">
        <v>52</v>
      </c>
      <c r="AB49" s="11" t="str">
        <f t="shared" si="6"/>
        <v>Exclude</v>
      </c>
    </row>
    <row r="50" ht="15.0" customHeight="1">
      <c r="B50" s="6">
        <f t="shared" si="8"/>
        <v>48</v>
      </c>
      <c r="C50" s="1" t="s">
        <v>174</v>
      </c>
      <c r="D50" s="1" t="str">
        <f t="shared" si="2"/>
        <v>VC &amp; Growth</v>
      </c>
      <c r="E50" s="1" t="s">
        <v>270</v>
      </c>
      <c r="F50" s="1" t="s">
        <v>43</v>
      </c>
      <c r="G50" s="1" t="s">
        <v>174</v>
      </c>
      <c r="H50" s="1" t="s">
        <v>131</v>
      </c>
      <c r="I50" s="1" t="s">
        <v>38</v>
      </c>
      <c r="J50" s="1" t="s">
        <v>126</v>
      </c>
      <c r="K50" s="1" t="s">
        <v>126</v>
      </c>
      <c r="L50" s="1" t="s">
        <v>126</v>
      </c>
      <c r="N50" s="6">
        <v>2013.0</v>
      </c>
      <c r="O50" s="10">
        <f t="shared" ref="O50:R50" si="56">IFERROR(V50*INDEX($AH$4:$AH$8,MATCH($AA50,$AG$4:$AG$8,0)),"")</f>
        <v>5000000</v>
      </c>
      <c r="P50" s="10">
        <f t="shared" si="56"/>
        <v>5000000</v>
      </c>
      <c r="Q50" s="10">
        <f t="shared" si="56"/>
        <v>0</v>
      </c>
      <c r="R50" s="10">
        <f t="shared" si="56"/>
        <v>11978935</v>
      </c>
      <c r="S50" s="10">
        <f t="shared" si="4"/>
        <v>11978935</v>
      </c>
      <c r="T50" s="10">
        <f t="shared" si="5"/>
        <v>0</v>
      </c>
      <c r="U50" s="8">
        <v>46112.0</v>
      </c>
      <c r="V50" s="7">
        <v>5000000.0</v>
      </c>
      <c r="W50" s="7">
        <v>5000000.0</v>
      </c>
      <c r="X50" s="7">
        <v>0.0</v>
      </c>
      <c r="Y50" s="7">
        <v>1.1978935E7</v>
      </c>
      <c r="Z50" s="7">
        <v>0.0</v>
      </c>
      <c r="AA50" s="6" t="s">
        <v>52</v>
      </c>
      <c r="AB50" s="11" t="str">
        <f t="shared" si="6"/>
        <v>Include</v>
      </c>
      <c r="AC50" s="1">
        <f t="shared" ref="AC50:AC51" si="58">S50/P50</f>
        <v>2.395787</v>
      </c>
    </row>
    <row r="51" ht="15.0" customHeight="1">
      <c r="B51" s="6">
        <f t="shared" si="8"/>
        <v>49</v>
      </c>
      <c r="C51" s="1" t="s">
        <v>175</v>
      </c>
      <c r="D51" s="1" t="str">
        <f t="shared" si="2"/>
        <v>Private Equity</v>
      </c>
      <c r="E51" s="1" t="s">
        <v>43</v>
      </c>
      <c r="F51" s="1" t="s">
        <v>43</v>
      </c>
      <c r="G51" s="1" t="s">
        <v>175</v>
      </c>
      <c r="H51" s="1" t="s">
        <v>176</v>
      </c>
      <c r="I51" s="1" t="s">
        <v>38</v>
      </c>
      <c r="J51" s="1" t="s">
        <v>121</v>
      </c>
      <c r="K51" s="1" t="s">
        <v>122</v>
      </c>
      <c r="L51" s="1" t="s">
        <v>123</v>
      </c>
      <c r="N51" s="6">
        <v>2016.0</v>
      </c>
      <c r="O51" s="10">
        <f t="shared" ref="O51:R51" si="57">IFERROR(V51*INDEX($AH$4:$AH$8,MATCH($AA51,$AG$4:$AG$8,0)),"")</f>
        <v>7000000</v>
      </c>
      <c r="P51" s="10">
        <f t="shared" si="57"/>
        <v>5224212.54</v>
      </c>
      <c r="Q51" s="10">
        <f t="shared" si="57"/>
        <v>181.37</v>
      </c>
      <c r="R51" s="10">
        <f t="shared" si="57"/>
        <v>8521262</v>
      </c>
      <c r="S51" s="10">
        <f t="shared" si="4"/>
        <v>8521443.37</v>
      </c>
      <c r="T51" s="10">
        <f t="shared" si="5"/>
        <v>2000000</v>
      </c>
      <c r="U51" s="8">
        <v>46112.0</v>
      </c>
      <c r="V51" s="7">
        <v>7000000.0</v>
      </c>
      <c r="W51" s="7">
        <v>5224212.54</v>
      </c>
      <c r="X51" s="7">
        <v>181.37</v>
      </c>
      <c r="Y51" s="7">
        <v>8521262.0</v>
      </c>
      <c r="Z51" s="7">
        <v>2000000.0</v>
      </c>
      <c r="AA51" s="6" t="s">
        <v>52</v>
      </c>
      <c r="AB51" s="11" t="str">
        <f t="shared" si="6"/>
        <v>Include</v>
      </c>
      <c r="AC51" s="1">
        <f t="shared" si="58"/>
        <v>1.631144082</v>
      </c>
    </row>
    <row r="52" ht="15.0" customHeight="1">
      <c r="B52" s="6">
        <f t="shared" si="8"/>
        <v>50</v>
      </c>
      <c r="C52" s="1" t="s">
        <v>177</v>
      </c>
      <c r="D52" s="1" t="str">
        <f t="shared" si="2"/>
        <v>Private Equity</v>
      </c>
      <c r="E52" s="1" t="s">
        <v>43</v>
      </c>
      <c r="F52" s="1" t="s">
        <v>43</v>
      </c>
      <c r="G52" s="1" t="s">
        <v>178</v>
      </c>
      <c r="H52" s="1" t="s">
        <v>179</v>
      </c>
      <c r="I52" s="1" t="s">
        <v>38</v>
      </c>
      <c r="J52" s="1" t="s">
        <v>121</v>
      </c>
      <c r="K52" s="1" t="s">
        <v>122</v>
      </c>
      <c r="L52" s="1" t="s">
        <v>180</v>
      </c>
      <c r="N52" s="6">
        <v>2016.0</v>
      </c>
      <c r="O52" s="10">
        <f t="shared" ref="O52:R52" si="59">IFERROR(V52*INDEX($AH$4:$AH$8,MATCH($AA52,$AG$4:$AG$8,0)),"")</f>
        <v>15901550.54</v>
      </c>
      <c r="P52" s="10">
        <f t="shared" si="59"/>
        <v>16020114.1</v>
      </c>
      <c r="Q52" s="10">
        <f t="shared" si="59"/>
        <v>61823455.73</v>
      </c>
      <c r="R52" s="10">
        <f t="shared" si="59"/>
        <v>0</v>
      </c>
      <c r="S52" s="10">
        <f t="shared" si="4"/>
        <v>61823455.73</v>
      </c>
      <c r="T52" s="10">
        <f t="shared" si="5"/>
        <v>0</v>
      </c>
      <c r="U52" s="8">
        <v>44378.0</v>
      </c>
      <c r="V52" s="7">
        <v>1.202231134E7</v>
      </c>
      <c r="W52" s="7">
        <v>1.21119509E7</v>
      </c>
      <c r="X52" s="7">
        <v>4.674140619E7</v>
      </c>
      <c r="Y52" s="7">
        <v>0.0</v>
      </c>
      <c r="Z52" s="7">
        <v>0.0</v>
      </c>
      <c r="AA52" s="6" t="s">
        <v>106</v>
      </c>
      <c r="AB52" s="11" t="str">
        <f t="shared" si="6"/>
        <v>Exclude</v>
      </c>
    </row>
    <row r="53" ht="15.0" customHeight="1">
      <c r="B53" s="6">
        <f t="shared" si="8"/>
        <v>51</v>
      </c>
      <c r="C53" s="1" t="s">
        <v>181</v>
      </c>
      <c r="D53" s="1" t="str">
        <f t="shared" si="2"/>
        <v>Private Equity</v>
      </c>
      <c r="E53" s="1" t="s">
        <v>43</v>
      </c>
      <c r="F53" s="1" t="s">
        <v>43</v>
      </c>
      <c r="G53" s="1" t="s">
        <v>181</v>
      </c>
      <c r="H53" s="1" t="s">
        <v>182</v>
      </c>
      <c r="I53" s="1" t="s">
        <v>38</v>
      </c>
      <c r="J53" s="1" t="s">
        <v>121</v>
      </c>
      <c r="K53" s="1" t="s">
        <v>122</v>
      </c>
      <c r="L53" s="1" t="s">
        <v>180</v>
      </c>
      <c r="N53" s="6">
        <v>2015.0</v>
      </c>
      <c r="O53" s="10">
        <f t="shared" ref="O53:R53" si="60">IFERROR(V53*INDEX($AH$4:$AH$8,MATCH($AA53,$AG$4:$AG$8,0)),"")</f>
        <v>18599286</v>
      </c>
      <c r="P53" s="10">
        <f t="shared" si="60"/>
        <v>17982515</v>
      </c>
      <c r="Q53" s="10">
        <f t="shared" si="60"/>
        <v>0</v>
      </c>
      <c r="R53" s="10">
        <f t="shared" si="60"/>
        <v>6817988</v>
      </c>
      <c r="S53" s="10">
        <f t="shared" si="4"/>
        <v>6817988</v>
      </c>
      <c r="T53" s="10">
        <f t="shared" si="5"/>
        <v>0</v>
      </c>
      <c r="U53" s="8">
        <v>46112.0</v>
      </c>
      <c r="V53" s="7">
        <v>1.8599286E7</v>
      </c>
      <c r="W53" s="7">
        <v>1.7982515E7</v>
      </c>
      <c r="X53" s="7">
        <v>0.0</v>
      </c>
      <c r="Y53" s="7">
        <v>6817988.0</v>
      </c>
      <c r="Z53" s="7">
        <v>0.0</v>
      </c>
      <c r="AA53" s="6" t="s">
        <v>52</v>
      </c>
      <c r="AB53" s="11" t="str">
        <f t="shared" si="6"/>
        <v>Include</v>
      </c>
      <c r="AC53" s="1">
        <f>S53/P53</f>
        <v>0.3791454087</v>
      </c>
    </row>
    <row r="54" ht="15.0" customHeight="1">
      <c r="B54" s="6">
        <f t="shared" si="8"/>
        <v>52</v>
      </c>
      <c r="C54" s="1" t="s">
        <v>183</v>
      </c>
      <c r="D54" s="1" t="str">
        <f t="shared" si="2"/>
        <v>Private Equity</v>
      </c>
      <c r="E54" s="1" t="s">
        <v>43</v>
      </c>
      <c r="F54" s="1" t="s">
        <v>43</v>
      </c>
      <c r="G54" s="1" t="s">
        <v>183</v>
      </c>
      <c r="H54" s="1" t="s">
        <v>140</v>
      </c>
      <c r="I54" s="1" t="s">
        <v>38</v>
      </c>
      <c r="J54" s="1" t="s">
        <v>121</v>
      </c>
      <c r="K54" s="1" t="s">
        <v>122</v>
      </c>
      <c r="L54" s="1" t="s">
        <v>127</v>
      </c>
      <c r="N54" s="6">
        <v>2016.0</v>
      </c>
      <c r="O54" s="10">
        <f t="shared" ref="O54:R54" si="61">IFERROR(V54*INDEX($AH$4:$AH$8,MATCH($AA54,$AG$4:$AG$8,0)),"")</f>
        <v>15021630</v>
      </c>
      <c r="P54" s="10">
        <f t="shared" si="61"/>
        <v>15140494.66</v>
      </c>
      <c r="Q54" s="10">
        <f t="shared" si="61"/>
        <v>42677449.53</v>
      </c>
      <c r="R54" s="10">
        <f t="shared" si="61"/>
        <v>0</v>
      </c>
      <c r="S54" s="10">
        <f t="shared" si="4"/>
        <v>42677449.53</v>
      </c>
      <c r="T54" s="10">
        <f t="shared" si="5"/>
        <v>0</v>
      </c>
      <c r="U54" s="8">
        <v>44287.0</v>
      </c>
      <c r="V54" s="7">
        <v>1.3E7</v>
      </c>
      <c r="W54" s="7">
        <v>1.31028677E7</v>
      </c>
      <c r="X54" s="7">
        <v>3.693386429E7</v>
      </c>
      <c r="Y54" s="7">
        <v>0.0</v>
      </c>
      <c r="Z54" s="7">
        <v>0.0</v>
      </c>
      <c r="AA54" s="6" t="s">
        <v>45</v>
      </c>
      <c r="AB54" s="11" t="str">
        <f t="shared" si="6"/>
        <v>Exclude</v>
      </c>
    </row>
    <row r="55" ht="15.0" customHeight="1">
      <c r="B55" s="6">
        <f t="shared" si="8"/>
        <v>53</v>
      </c>
      <c r="C55" s="1" t="s">
        <v>184</v>
      </c>
      <c r="D55" s="1" t="str">
        <f t="shared" si="2"/>
        <v>Private Equity</v>
      </c>
      <c r="E55" s="1" t="s">
        <v>43</v>
      </c>
      <c r="F55" s="1" t="s">
        <v>43</v>
      </c>
      <c r="G55" s="1" t="s">
        <v>184</v>
      </c>
      <c r="H55" s="1" t="s">
        <v>185</v>
      </c>
      <c r="I55" s="1" t="s">
        <v>38</v>
      </c>
      <c r="J55" s="1" t="s">
        <v>121</v>
      </c>
      <c r="K55" s="1" t="s">
        <v>122</v>
      </c>
      <c r="L55" s="1" t="s">
        <v>132</v>
      </c>
      <c r="N55" s="6">
        <v>2016.0</v>
      </c>
      <c r="O55" s="10">
        <f t="shared" ref="O55:R55" si="62">IFERROR(V55*INDEX($AH$4:$AH$8,MATCH($AA55,$AG$4:$AG$8,0)),"")</f>
        <v>15000000</v>
      </c>
      <c r="P55" s="10">
        <f t="shared" si="62"/>
        <v>15057858.02</v>
      </c>
      <c r="Q55" s="10">
        <f t="shared" si="62"/>
        <v>16667355.84</v>
      </c>
      <c r="R55" s="10">
        <f t="shared" si="62"/>
        <v>731</v>
      </c>
      <c r="S55" s="10">
        <f t="shared" si="4"/>
        <v>16668086.84</v>
      </c>
      <c r="T55" s="10">
        <f t="shared" si="5"/>
        <v>0</v>
      </c>
      <c r="U55" s="8">
        <v>46022.0</v>
      </c>
      <c r="V55" s="7">
        <v>1.5E7</v>
      </c>
      <c r="W55" s="7">
        <v>1.505785802E7</v>
      </c>
      <c r="X55" s="7">
        <v>1.666735584E7</v>
      </c>
      <c r="Y55" s="7">
        <v>731.0</v>
      </c>
      <c r="Z55" s="7">
        <v>0.0</v>
      </c>
      <c r="AA55" s="6" t="s">
        <v>52</v>
      </c>
      <c r="AB55" s="11" t="str">
        <f t="shared" si="6"/>
        <v>Include</v>
      </c>
      <c r="AC55" s="1">
        <f t="shared" ref="AC55:AC57" si="64">S55/P55</f>
        <v>1.106936114</v>
      </c>
    </row>
    <row r="56" ht="15.0" customHeight="1">
      <c r="B56" s="6">
        <f t="shared" si="8"/>
        <v>54</v>
      </c>
      <c r="C56" s="1" t="s">
        <v>186</v>
      </c>
      <c r="D56" s="1" t="str">
        <f t="shared" si="2"/>
        <v>Private Equity</v>
      </c>
      <c r="E56" s="1" t="s">
        <v>43</v>
      </c>
      <c r="F56" s="1" t="s">
        <v>43</v>
      </c>
      <c r="G56" s="1" t="s">
        <v>186</v>
      </c>
      <c r="H56" s="1" t="s">
        <v>140</v>
      </c>
      <c r="I56" s="1" t="s">
        <v>38</v>
      </c>
      <c r="J56" s="1" t="s">
        <v>121</v>
      </c>
      <c r="K56" s="1" t="s">
        <v>122</v>
      </c>
      <c r="L56" s="1" t="s">
        <v>127</v>
      </c>
      <c r="N56" s="6">
        <v>2016.0</v>
      </c>
      <c r="O56" s="10">
        <f t="shared" ref="O56:R56" si="63">IFERROR(V56*INDEX($AH$4:$AH$8,MATCH($AA56,$AG$4:$AG$8,0)),"")</f>
        <v>15599385</v>
      </c>
      <c r="P56" s="10">
        <f t="shared" si="63"/>
        <v>15438824.91</v>
      </c>
      <c r="Q56" s="10">
        <f t="shared" si="63"/>
        <v>229471.5985</v>
      </c>
      <c r="R56" s="10">
        <f t="shared" si="63"/>
        <v>18197206.49</v>
      </c>
      <c r="S56" s="10">
        <f t="shared" si="4"/>
        <v>18426678.09</v>
      </c>
      <c r="T56" s="10">
        <f t="shared" si="5"/>
        <v>369868.3745</v>
      </c>
      <c r="U56" s="8">
        <v>46112.0</v>
      </c>
      <c r="V56" s="7">
        <v>1.35E7</v>
      </c>
      <c r="W56" s="7">
        <v>1.336104829E7</v>
      </c>
      <c r="X56" s="7">
        <v>198589.02</v>
      </c>
      <c r="Y56" s="7">
        <v>1.574820338E7</v>
      </c>
      <c r="Z56" s="7">
        <v>320091.02</v>
      </c>
      <c r="AA56" s="6" t="s">
        <v>45</v>
      </c>
      <c r="AB56" s="11" t="str">
        <f t="shared" si="6"/>
        <v>Include</v>
      </c>
      <c r="AC56" s="1">
        <f t="shared" si="64"/>
        <v>1.193528536</v>
      </c>
    </row>
    <row r="57" ht="15.0" customHeight="1">
      <c r="B57" s="6">
        <f t="shared" si="8"/>
        <v>55</v>
      </c>
      <c r="C57" s="1" t="s">
        <v>188</v>
      </c>
      <c r="D57" s="1" t="str">
        <f t="shared" si="2"/>
        <v>VC &amp; Growth</v>
      </c>
      <c r="E57" s="1" t="s">
        <v>270</v>
      </c>
      <c r="F57" s="1" t="s">
        <v>43</v>
      </c>
      <c r="G57" s="1" t="s">
        <v>188</v>
      </c>
      <c r="H57" s="1" t="s">
        <v>125</v>
      </c>
      <c r="I57" s="1" t="s">
        <v>38</v>
      </c>
      <c r="J57" s="1" t="s">
        <v>126</v>
      </c>
      <c r="K57" s="1" t="s">
        <v>126</v>
      </c>
      <c r="L57" s="1" t="s">
        <v>126</v>
      </c>
      <c r="N57" s="6">
        <v>2016.0</v>
      </c>
      <c r="O57" s="10">
        <f t="shared" ref="O57:R57" si="65">IFERROR(V57*INDEX($AH$4:$AH$8,MATCH($AA57,$AG$4:$AG$8,0)),"")</f>
        <v>17760000</v>
      </c>
      <c r="P57" s="10">
        <f t="shared" si="65"/>
        <v>15338038.54</v>
      </c>
      <c r="Q57" s="10">
        <f t="shared" si="65"/>
        <v>48005123.46</v>
      </c>
      <c r="R57" s="10">
        <f t="shared" si="65"/>
        <v>17246</v>
      </c>
      <c r="S57" s="10">
        <f t="shared" si="4"/>
        <v>48022369.46</v>
      </c>
      <c r="T57" s="10">
        <f t="shared" si="5"/>
        <v>3171583.83</v>
      </c>
      <c r="U57" s="8">
        <v>46112.0</v>
      </c>
      <c r="V57" s="7">
        <v>1.776E7</v>
      </c>
      <c r="W57" s="7">
        <v>1.533803854E7</v>
      </c>
      <c r="X57" s="7">
        <v>4.800512346E7</v>
      </c>
      <c r="Y57" s="7">
        <v>17246.0</v>
      </c>
      <c r="Z57" s="7">
        <v>3171583.83</v>
      </c>
      <c r="AA57" s="6" t="s">
        <v>52</v>
      </c>
      <c r="AB57" s="11" t="str">
        <f t="shared" si="6"/>
        <v>Include</v>
      </c>
      <c r="AC57" s="1">
        <f t="shared" si="64"/>
        <v>3.130932898</v>
      </c>
    </row>
    <row r="58" ht="15.0" customHeight="1">
      <c r="B58" s="6">
        <f t="shared" si="8"/>
        <v>56</v>
      </c>
      <c r="C58" s="1" t="s">
        <v>189</v>
      </c>
      <c r="D58" s="1" t="str">
        <f t="shared" si="2"/>
        <v>Private Equity</v>
      </c>
      <c r="E58" s="1" t="s">
        <v>43</v>
      </c>
      <c r="F58" s="1" t="s">
        <v>43</v>
      </c>
      <c r="G58" s="1" t="s">
        <v>189</v>
      </c>
      <c r="H58" s="1" t="s">
        <v>190</v>
      </c>
      <c r="I58" s="1" t="s">
        <v>38</v>
      </c>
      <c r="J58" s="1" t="s">
        <v>121</v>
      </c>
      <c r="K58" s="1" t="s">
        <v>122</v>
      </c>
      <c r="L58" s="1" t="s">
        <v>123</v>
      </c>
      <c r="N58" s="6">
        <v>2016.0</v>
      </c>
      <c r="O58" s="10">
        <f t="shared" ref="O58:R58" si="66">IFERROR(V58*INDEX($AH$4:$AH$8,MATCH($AA58,$AG$4:$AG$8,0)),"")</f>
        <v>9900000</v>
      </c>
      <c r="P58" s="10">
        <f t="shared" si="66"/>
        <v>9900000</v>
      </c>
      <c r="Q58" s="10">
        <f t="shared" si="66"/>
        <v>34704896.56</v>
      </c>
      <c r="R58" s="10">
        <f t="shared" si="66"/>
        <v>0</v>
      </c>
      <c r="S58" s="10">
        <f t="shared" si="4"/>
        <v>34704896.56</v>
      </c>
      <c r="T58" s="10">
        <f t="shared" si="5"/>
        <v>0</v>
      </c>
      <c r="U58" s="8">
        <v>44377.0</v>
      </c>
      <c r="V58" s="7">
        <v>9900000.0</v>
      </c>
      <c r="W58" s="7">
        <v>9900000.0</v>
      </c>
      <c r="X58" s="7">
        <v>3.470489656E7</v>
      </c>
      <c r="Y58" s="7">
        <v>0.0</v>
      </c>
      <c r="Z58" s="7">
        <v>0.0</v>
      </c>
      <c r="AA58" s="6" t="s">
        <v>52</v>
      </c>
      <c r="AB58" s="11" t="str">
        <f t="shared" si="6"/>
        <v>Exclude</v>
      </c>
    </row>
    <row r="59" ht="15.0" customHeight="1">
      <c r="B59" s="6">
        <f t="shared" si="8"/>
        <v>57</v>
      </c>
      <c r="C59" s="1" t="s">
        <v>191</v>
      </c>
      <c r="D59" s="1" t="str">
        <f t="shared" si="2"/>
        <v>Private Equity</v>
      </c>
      <c r="E59" s="1" t="s">
        <v>43</v>
      </c>
      <c r="F59" s="1" t="s">
        <v>43</v>
      </c>
      <c r="G59" s="1" t="s">
        <v>192</v>
      </c>
      <c r="H59" s="1" t="s">
        <v>129</v>
      </c>
      <c r="I59" s="1" t="s">
        <v>38</v>
      </c>
      <c r="J59" s="1" t="s">
        <v>121</v>
      </c>
      <c r="K59" s="1" t="s">
        <v>122</v>
      </c>
      <c r="L59" s="1" t="s">
        <v>180</v>
      </c>
      <c r="N59" s="6">
        <v>2017.0</v>
      </c>
      <c r="O59" s="10">
        <f t="shared" ref="O59:R59" si="67">IFERROR(V59*INDEX($AH$4:$AH$8,MATCH($AA59,$AG$4:$AG$8,0)),"")</f>
        <v>10000000</v>
      </c>
      <c r="P59" s="10">
        <f t="shared" si="67"/>
        <v>10055734.17</v>
      </c>
      <c r="Q59" s="10">
        <f t="shared" si="67"/>
        <v>18332070.23</v>
      </c>
      <c r="R59" s="10">
        <f t="shared" si="67"/>
        <v>8387045</v>
      </c>
      <c r="S59" s="10">
        <f t="shared" si="4"/>
        <v>26719115.23</v>
      </c>
      <c r="T59" s="10">
        <f t="shared" si="5"/>
        <v>0</v>
      </c>
      <c r="U59" s="8">
        <v>46112.0</v>
      </c>
      <c r="V59" s="7">
        <v>1.0E7</v>
      </c>
      <c r="W59" s="7">
        <v>1.005573417E7</v>
      </c>
      <c r="X59" s="7">
        <v>1.833207023E7</v>
      </c>
      <c r="Y59" s="7">
        <v>8387045.0</v>
      </c>
      <c r="Z59" s="7">
        <v>0.0</v>
      </c>
      <c r="AA59" s="6" t="s">
        <v>52</v>
      </c>
      <c r="AB59" s="11" t="str">
        <f t="shared" si="6"/>
        <v>Include</v>
      </c>
      <c r="AC59" s="1">
        <f>S59/P59</f>
        <v>2.657102383</v>
      </c>
    </row>
    <row r="60" ht="15.0" customHeight="1">
      <c r="B60" s="6">
        <f t="shared" si="8"/>
        <v>58</v>
      </c>
      <c r="C60" s="1" t="s">
        <v>193</v>
      </c>
      <c r="D60" s="1" t="str">
        <f t="shared" si="2"/>
        <v>Private Equity</v>
      </c>
      <c r="E60" s="1" t="s">
        <v>43</v>
      </c>
      <c r="F60" s="1" t="s">
        <v>43</v>
      </c>
      <c r="G60" s="1" t="s">
        <v>193</v>
      </c>
      <c r="H60" s="1" t="s">
        <v>88</v>
      </c>
      <c r="I60" s="1" t="s">
        <v>38</v>
      </c>
      <c r="J60" s="1" t="s">
        <v>121</v>
      </c>
      <c r="K60" s="1" t="s">
        <v>122</v>
      </c>
      <c r="L60" s="1" t="s">
        <v>164</v>
      </c>
      <c r="N60" s="6">
        <v>2017.0</v>
      </c>
      <c r="O60" s="10">
        <f t="shared" ref="O60:R60" si="68">IFERROR(V60*INDEX($AH$4:$AH$8,MATCH($AA60,$AG$4:$AG$8,0)),"")</f>
        <v>12300000</v>
      </c>
      <c r="P60" s="10">
        <f t="shared" si="68"/>
        <v>10013356.11</v>
      </c>
      <c r="Q60" s="10">
        <f t="shared" si="68"/>
        <v>20617193.55</v>
      </c>
      <c r="R60" s="10">
        <f t="shared" si="68"/>
        <v>0</v>
      </c>
      <c r="S60" s="10">
        <f t="shared" si="4"/>
        <v>20617193.55</v>
      </c>
      <c r="T60" s="10">
        <f t="shared" si="5"/>
        <v>-0.11</v>
      </c>
      <c r="U60" s="8">
        <v>44193.0</v>
      </c>
      <c r="V60" s="7">
        <v>1.23E7</v>
      </c>
      <c r="W60" s="7">
        <v>1.001335611E7</v>
      </c>
      <c r="X60" s="7">
        <v>2.061719355E7</v>
      </c>
      <c r="Y60" s="7">
        <v>0.0</v>
      </c>
      <c r="Z60" s="7">
        <v>-0.11</v>
      </c>
      <c r="AA60" s="6" t="s">
        <v>52</v>
      </c>
      <c r="AB60" s="11" t="str">
        <f t="shared" si="6"/>
        <v>Exclude</v>
      </c>
    </row>
    <row r="61" ht="15.0" customHeight="1">
      <c r="B61" s="6">
        <f t="shared" si="8"/>
        <v>59</v>
      </c>
      <c r="C61" s="1" t="s">
        <v>194</v>
      </c>
      <c r="D61" s="1" t="str">
        <f t="shared" si="2"/>
        <v>Private Equity</v>
      </c>
      <c r="E61" s="1" t="s">
        <v>43</v>
      </c>
      <c r="F61" s="1" t="s">
        <v>43</v>
      </c>
      <c r="G61" s="1" t="s">
        <v>195</v>
      </c>
      <c r="H61" s="1" t="s">
        <v>125</v>
      </c>
      <c r="I61" s="1" t="s">
        <v>38</v>
      </c>
      <c r="J61" s="1" t="s">
        <v>121</v>
      </c>
      <c r="K61" s="1" t="s">
        <v>122</v>
      </c>
      <c r="L61" s="1" t="s">
        <v>123</v>
      </c>
      <c r="N61" s="6">
        <v>2017.0</v>
      </c>
      <c r="O61" s="10">
        <f t="shared" ref="O61:R61" si="69">IFERROR(V61*INDEX($AH$4:$AH$8,MATCH($AA61,$AG$4:$AG$8,0)),"")</f>
        <v>17332650</v>
      </c>
      <c r="P61" s="10">
        <f t="shared" si="69"/>
        <v>14525547.01</v>
      </c>
      <c r="Q61" s="10">
        <f t="shared" si="69"/>
        <v>17681353.16</v>
      </c>
      <c r="R61" s="10">
        <f t="shared" si="69"/>
        <v>12689542.74</v>
      </c>
      <c r="S61" s="10">
        <f t="shared" si="4"/>
        <v>30370895.91</v>
      </c>
      <c r="T61" s="10">
        <f t="shared" si="5"/>
        <v>2807102.987</v>
      </c>
      <c r="U61" s="8">
        <v>46112.0</v>
      </c>
      <c r="V61" s="7">
        <v>1.5E7</v>
      </c>
      <c r="W61" s="7">
        <v>1.257068049E7</v>
      </c>
      <c r="X61" s="7">
        <v>1.530177425E7</v>
      </c>
      <c r="Y61" s="7">
        <v>1.0981768E7</v>
      </c>
      <c r="Z61" s="7">
        <v>2429319.51</v>
      </c>
      <c r="AA61" s="6" t="s">
        <v>45</v>
      </c>
      <c r="AB61" s="11" t="str">
        <f t="shared" si="6"/>
        <v>Include</v>
      </c>
      <c r="AC61" s="1">
        <f>S61/P61</f>
        <v>2.090860735</v>
      </c>
    </row>
    <row r="62" ht="15.0" customHeight="1">
      <c r="B62" s="6">
        <f t="shared" si="8"/>
        <v>60</v>
      </c>
      <c r="C62" s="1" t="s">
        <v>196</v>
      </c>
      <c r="D62" s="1" t="str">
        <f t="shared" si="2"/>
        <v>Private Equity</v>
      </c>
      <c r="E62" s="1" t="s">
        <v>43</v>
      </c>
      <c r="F62" s="1" t="s">
        <v>43</v>
      </c>
      <c r="G62" s="1" t="s">
        <v>197</v>
      </c>
      <c r="H62" s="1" t="s">
        <v>131</v>
      </c>
      <c r="I62" s="1" t="s">
        <v>38</v>
      </c>
      <c r="J62" s="1" t="s">
        <v>121</v>
      </c>
      <c r="K62" s="1" t="s">
        <v>122</v>
      </c>
      <c r="L62" s="1" t="s">
        <v>132</v>
      </c>
      <c r="N62" s="6">
        <v>2017.0</v>
      </c>
      <c r="O62" s="10">
        <f t="shared" ref="O62:R62" si="70">IFERROR(V62*INDEX($AH$4:$AH$8,MATCH($AA62,$AG$4:$AG$8,0)),"")</f>
        <v>15000000</v>
      </c>
      <c r="P62" s="10">
        <f t="shared" si="70"/>
        <v>15000000</v>
      </c>
      <c r="Q62" s="10">
        <f t="shared" si="70"/>
        <v>77772894</v>
      </c>
      <c r="R62" s="10">
        <f t="shared" si="70"/>
        <v>0</v>
      </c>
      <c r="S62" s="10">
        <f t="shared" si="4"/>
        <v>77772894</v>
      </c>
      <c r="T62" s="10">
        <f t="shared" si="5"/>
        <v>0</v>
      </c>
      <c r="U62" s="8">
        <v>45016.0</v>
      </c>
      <c r="V62" s="7">
        <v>1.5E7</v>
      </c>
      <c r="W62" s="7">
        <v>1.5E7</v>
      </c>
      <c r="X62" s="7">
        <v>7.7772894E7</v>
      </c>
      <c r="Y62" s="7">
        <v>0.0</v>
      </c>
      <c r="Z62" s="7">
        <v>0.0</v>
      </c>
      <c r="AA62" s="6" t="s">
        <v>52</v>
      </c>
      <c r="AB62" s="11" t="str">
        <f t="shared" si="6"/>
        <v>Exclude</v>
      </c>
    </row>
    <row r="63" ht="15.0" customHeight="1">
      <c r="B63" s="6">
        <f t="shared" si="8"/>
        <v>61</v>
      </c>
      <c r="C63" s="1" t="s">
        <v>198</v>
      </c>
      <c r="D63" s="1" t="str">
        <f t="shared" si="2"/>
        <v>Private Equity</v>
      </c>
      <c r="E63" s="1" t="s">
        <v>43</v>
      </c>
      <c r="F63" s="1" t="s">
        <v>43</v>
      </c>
      <c r="G63" s="1" t="s">
        <v>198</v>
      </c>
      <c r="H63" s="1" t="s">
        <v>125</v>
      </c>
      <c r="I63" s="1" t="s">
        <v>38</v>
      </c>
      <c r="J63" s="1" t="s">
        <v>121</v>
      </c>
      <c r="K63" s="1" t="s">
        <v>122</v>
      </c>
      <c r="L63" s="1" t="s">
        <v>127</v>
      </c>
      <c r="N63" s="6">
        <v>2017.0</v>
      </c>
      <c r="O63" s="10">
        <f t="shared" ref="O63:R63" si="71">IFERROR(V63*INDEX($AH$4:$AH$8,MATCH($AA63,$AG$4:$AG$8,0)),"")</f>
        <v>5000000</v>
      </c>
      <c r="P63" s="10">
        <f t="shared" si="71"/>
        <v>5000000</v>
      </c>
      <c r="Q63" s="10">
        <f t="shared" si="71"/>
        <v>31680228.88</v>
      </c>
      <c r="R63" s="10">
        <f t="shared" si="71"/>
        <v>46880</v>
      </c>
      <c r="S63" s="10">
        <f t="shared" si="4"/>
        <v>31727108.88</v>
      </c>
      <c r="T63" s="10">
        <f t="shared" si="5"/>
        <v>0</v>
      </c>
      <c r="U63" s="8">
        <v>46112.0</v>
      </c>
      <c r="V63" s="7">
        <v>5000000.0</v>
      </c>
      <c r="W63" s="7">
        <v>5000000.0</v>
      </c>
      <c r="X63" s="7">
        <v>3.168022888E7</v>
      </c>
      <c r="Y63" s="7">
        <v>46880.0</v>
      </c>
      <c r="Z63" s="7">
        <v>0.0</v>
      </c>
      <c r="AA63" s="6" t="s">
        <v>52</v>
      </c>
      <c r="AB63" s="11" t="str">
        <f t="shared" si="6"/>
        <v>Include</v>
      </c>
      <c r="AC63" s="1">
        <f t="shared" ref="AC63:AC70" si="73">S63/P63</f>
        <v>6.345421776</v>
      </c>
    </row>
    <row r="64" ht="15.0" customHeight="1">
      <c r="B64" s="6">
        <f t="shared" si="8"/>
        <v>62</v>
      </c>
      <c r="C64" s="1" t="s">
        <v>199</v>
      </c>
      <c r="D64" s="1" t="str">
        <f t="shared" si="2"/>
        <v>Private Equity</v>
      </c>
      <c r="E64" s="1" t="s">
        <v>43</v>
      </c>
      <c r="F64" s="1" t="s">
        <v>43</v>
      </c>
      <c r="G64" s="1" t="s">
        <v>200</v>
      </c>
      <c r="H64" s="1" t="s">
        <v>179</v>
      </c>
      <c r="I64" s="1" t="s">
        <v>38</v>
      </c>
      <c r="J64" s="1" t="s">
        <v>121</v>
      </c>
      <c r="K64" s="1" t="s">
        <v>122</v>
      </c>
      <c r="L64" s="1" t="s">
        <v>180</v>
      </c>
      <c r="N64" s="6">
        <v>2017.0</v>
      </c>
      <c r="O64" s="10">
        <f t="shared" ref="O64:R64" si="72">IFERROR(V64*INDEX($AH$4:$AH$8,MATCH($AA64,$AG$4:$AG$8,0)),"")</f>
        <v>39593191.32</v>
      </c>
      <c r="P64" s="10">
        <f t="shared" si="72"/>
        <v>14755341.17</v>
      </c>
      <c r="Q64" s="10">
        <f t="shared" si="72"/>
        <v>25043820.86</v>
      </c>
      <c r="R64" s="10">
        <f t="shared" si="72"/>
        <v>6919287.539</v>
      </c>
      <c r="S64" s="10">
        <f t="shared" si="4"/>
        <v>31963108.4</v>
      </c>
      <c r="T64" s="10">
        <f t="shared" si="5"/>
        <v>24837850.15</v>
      </c>
      <c r="U64" s="8">
        <v>46112.0</v>
      </c>
      <c r="V64" s="7">
        <v>2.9934293E7</v>
      </c>
      <c r="W64" s="7">
        <v>1.115572378E7</v>
      </c>
      <c r="X64" s="7">
        <v>1.893429265E7</v>
      </c>
      <c r="Y64" s="7">
        <v>5231303.0</v>
      </c>
      <c r="Z64" s="7">
        <v>1.877856922E7</v>
      </c>
      <c r="AA64" s="6" t="s">
        <v>106</v>
      </c>
      <c r="AB64" s="11" t="str">
        <f t="shared" si="6"/>
        <v>Include</v>
      </c>
      <c r="AC64" s="1">
        <f t="shared" si="73"/>
        <v>2.166205988</v>
      </c>
    </row>
    <row r="65" ht="15.0" customHeight="1">
      <c r="B65" s="6">
        <f t="shared" si="8"/>
        <v>63</v>
      </c>
      <c r="C65" s="1" t="s">
        <v>201</v>
      </c>
      <c r="D65" s="1" t="str">
        <f t="shared" si="2"/>
        <v>Private Equity</v>
      </c>
      <c r="E65" s="1" t="s">
        <v>43</v>
      </c>
      <c r="F65" s="1" t="s">
        <v>43</v>
      </c>
      <c r="G65" s="1" t="s">
        <v>201</v>
      </c>
      <c r="H65" s="1" t="s">
        <v>140</v>
      </c>
      <c r="I65" s="1" t="s">
        <v>38</v>
      </c>
      <c r="J65" s="1" t="s">
        <v>121</v>
      </c>
      <c r="K65" s="1" t="s">
        <v>122</v>
      </c>
      <c r="L65" s="1" t="s">
        <v>127</v>
      </c>
      <c r="N65" s="6">
        <v>2017.0</v>
      </c>
      <c r="O65" s="10">
        <f t="shared" ref="O65:R65" si="74">IFERROR(V65*INDEX($AH$4:$AH$8,MATCH($AA65,$AG$4:$AG$8,0)),"")</f>
        <v>13866120</v>
      </c>
      <c r="P65" s="10">
        <f t="shared" si="74"/>
        <v>14020805.71</v>
      </c>
      <c r="Q65" s="10">
        <f t="shared" si="74"/>
        <v>27868679.93</v>
      </c>
      <c r="R65" s="10">
        <f t="shared" si="74"/>
        <v>10392479.89</v>
      </c>
      <c r="S65" s="10">
        <f t="shared" si="4"/>
        <v>38261159.82</v>
      </c>
      <c r="T65" s="10">
        <f t="shared" si="5"/>
        <v>0</v>
      </c>
      <c r="U65" s="8">
        <v>46112.0</v>
      </c>
      <c r="V65" s="7">
        <v>1.2E7</v>
      </c>
      <c r="W65" s="7">
        <v>1.213386791E7</v>
      </c>
      <c r="X65" s="7">
        <v>2.411807767E7</v>
      </c>
      <c r="Y65" s="7">
        <v>8993846.78</v>
      </c>
      <c r="Z65" s="7">
        <v>0.0</v>
      </c>
      <c r="AA65" s="6" t="s">
        <v>45</v>
      </c>
      <c r="AB65" s="11" t="str">
        <f t="shared" si="6"/>
        <v>Include</v>
      </c>
      <c r="AC65" s="1">
        <f t="shared" si="73"/>
        <v>2.728884532</v>
      </c>
    </row>
    <row r="66" ht="15.0" customHeight="1">
      <c r="B66" s="6">
        <f t="shared" si="8"/>
        <v>64</v>
      </c>
      <c r="C66" s="1" t="s">
        <v>202</v>
      </c>
      <c r="D66" s="1" t="str">
        <f t="shared" si="2"/>
        <v>Private Equity</v>
      </c>
      <c r="E66" s="1" t="s">
        <v>43</v>
      </c>
      <c r="F66" s="1" t="s">
        <v>43</v>
      </c>
      <c r="G66" s="1" t="s">
        <v>202</v>
      </c>
      <c r="H66" s="1" t="s">
        <v>88</v>
      </c>
      <c r="I66" s="1" t="s">
        <v>38</v>
      </c>
      <c r="J66" s="1" t="s">
        <v>121</v>
      </c>
      <c r="K66" s="1" t="s">
        <v>122</v>
      </c>
      <c r="L66" s="1" t="s">
        <v>123</v>
      </c>
      <c r="N66" s="6">
        <v>2018.0</v>
      </c>
      <c r="O66" s="10">
        <f t="shared" ref="O66:R66" si="75">IFERROR(V66*INDEX($AH$4:$AH$8,MATCH($AA66,$AG$4:$AG$8,0)),"")</f>
        <v>16000000</v>
      </c>
      <c r="P66" s="10">
        <f t="shared" si="75"/>
        <v>12572177.53</v>
      </c>
      <c r="Q66" s="10">
        <f t="shared" si="75"/>
        <v>2192.09</v>
      </c>
      <c r="R66" s="10">
        <f t="shared" si="75"/>
        <v>25984241</v>
      </c>
      <c r="S66" s="10">
        <f t="shared" si="4"/>
        <v>25986433.09</v>
      </c>
      <c r="T66" s="10">
        <f t="shared" si="5"/>
        <v>3427822.47</v>
      </c>
      <c r="U66" s="8">
        <v>46112.0</v>
      </c>
      <c r="V66" s="7">
        <v>1.6E7</v>
      </c>
      <c r="W66" s="7">
        <v>1.257217753E7</v>
      </c>
      <c r="X66" s="7">
        <v>2192.09</v>
      </c>
      <c r="Y66" s="7">
        <v>2.5984241E7</v>
      </c>
      <c r="Z66" s="7">
        <v>3427822.47</v>
      </c>
      <c r="AA66" s="6" t="s">
        <v>52</v>
      </c>
      <c r="AB66" s="11" t="str">
        <f t="shared" si="6"/>
        <v>Include</v>
      </c>
      <c r="AC66" s="1">
        <f t="shared" si="73"/>
        <v>2.066979489</v>
      </c>
    </row>
    <row r="67" ht="15.0" customHeight="1">
      <c r="B67" s="6">
        <f t="shared" si="8"/>
        <v>65</v>
      </c>
      <c r="C67" s="1" t="s">
        <v>203</v>
      </c>
      <c r="D67" s="1" t="str">
        <f t="shared" si="2"/>
        <v>Private Equity</v>
      </c>
      <c r="E67" s="1" t="s">
        <v>43</v>
      </c>
      <c r="F67" s="1" t="s">
        <v>43</v>
      </c>
      <c r="G67" s="1" t="s">
        <v>203</v>
      </c>
      <c r="H67" s="1" t="s">
        <v>37</v>
      </c>
      <c r="I67" s="1" t="s">
        <v>38</v>
      </c>
      <c r="J67" s="1" t="s">
        <v>121</v>
      </c>
      <c r="K67" s="1" t="s">
        <v>122</v>
      </c>
      <c r="L67" s="1" t="s">
        <v>204</v>
      </c>
      <c r="N67" s="6">
        <v>2018.0</v>
      </c>
      <c r="O67" s="10">
        <f t="shared" ref="O67:R67" si="76">IFERROR(V67*INDEX($AH$4:$AH$8,MATCH($AA67,$AG$4:$AG$8,0)),"")</f>
        <v>25000000</v>
      </c>
      <c r="P67" s="10">
        <f t="shared" si="76"/>
        <v>19401331.52</v>
      </c>
      <c r="Q67" s="10">
        <f t="shared" si="76"/>
        <v>26393769.57</v>
      </c>
      <c r="R67" s="10">
        <f t="shared" si="76"/>
        <v>5373948</v>
      </c>
      <c r="S67" s="10">
        <f t="shared" si="4"/>
        <v>31767717.57</v>
      </c>
      <c r="T67" s="10">
        <f t="shared" si="5"/>
        <v>759958.8</v>
      </c>
      <c r="U67" s="8">
        <v>46112.0</v>
      </c>
      <c r="V67" s="7">
        <v>2.5E7</v>
      </c>
      <c r="W67" s="7">
        <v>1.940133152E7</v>
      </c>
      <c r="X67" s="7">
        <v>2.639376957E7</v>
      </c>
      <c r="Y67" s="7">
        <v>5373948.0</v>
      </c>
      <c r="Z67" s="7">
        <v>759958.8</v>
      </c>
      <c r="AA67" s="6" t="s">
        <v>52</v>
      </c>
      <c r="AB67" s="11" t="str">
        <f t="shared" si="6"/>
        <v>Include</v>
      </c>
      <c r="AC67" s="1">
        <f t="shared" si="73"/>
        <v>1.637398832</v>
      </c>
    </row>
    <row r="68" ht="15.0" customHeight="1">
      <c r="B68" s="6">
        <f t="shared" si="8"/>
        <v>66</v>
      </c>
      <c r="C68" s="1" t="s">
        <v>205</v>
      </c>
      <c r="D68" s="1" t="str">
        <f t="shared" si="2"/>
        <v>Private Equity</v>
      </c>
      <c r="E68" s="1" t="s">
        <v>43</v>
      </c>
      <c r="F68" s="1" t="s">
        <v>43</v>
      </c>
      <c r="G68" s="1" t="s">
        <v>205</v>
      </c>
      <c r="H68" s="1" t="s">
        <v>163</v>
      </c>
      <c r="I68" s="1" t="s">
        <v>38</v>
      </c>
      <c r="J68" s="1" t="s">
        <v>121</v>
      </c>
      <c r="K68" s="1" t="s">
        <v>122</v>
      </c>
      <c r="L68" s="1" t="s">
        <v>123</v>
      </c>
      <c r="N68" s="6">
        <v>2018.0</v>
      </c>
      <c r="O68" s="10">
        <f t="shared" ref="O68:R68" si="77">IFERROR(V68*INDEX($AH$4:$AH$8,MATCH($AA68,$AG$4:$AG$8,0)),"")</f>
        <v>15000000</v>
      </c>
      <c r="P68" s="10">
        <f t="shared" si="77"/>
        <v>15048294</v>
      </c>
      <c r="Q68" s="10">
        <f t="shared" si="77"/>
        <v>14954121</v>
      </c>
      <c r="R68" s="10">
        <f t="shared" si="77"/>
        <v>9582487</v>
      </c>
      <c r="S68" s="10">
        <f t="shared" si="4"/>
        <v>24536608</v>
      </c>
      <c r="T68" s="10">
        <f t="shared" si="5"/>
        <v>0</v>
      </c>
      <c r="U68" s="8">
        <v>46112.0</v>
      </c>
      <c r="V68" s="7">
        <v>1.5E7</v>
      </c>
      <c r="W68" s="7">
        <v>1.5048294E7</v>
      </c>
      <c r="X68" s="7">
        <v>1.4954121E7</v>
      </c>
      <c r="Y68" s="7">
        <v>9582487.0</v>
      </c>
      <c r="Z68" s="7">
        <v>0.0</v>
      </c>
      <c r="AA68" s="6" t="s">
        <v>52</v>
      </c>
      <c r="AB68" s="11" t="str">
        <f t="shared" si="6"/>
        <v>Include</v>
      </c>
      <c r="AC68" s="1">
        <f t="shared" si="73"/>
        <v>1.630524231</v>
      </c>
    </row>
    <row r="69" ht="15.0" customHeight="1">
      <c r="B69" s="6">
        <f t="shared" si="8"/>
        <v>67</v>
      </c>
      <c r="C69" s="1" t="s">
        <v>206</v>
      </c>
      <c r="D69" s="1" t="str">
        <f t="shared" si="2"/>
        <v>VC &amp; Growth</v>
      </c>
      <c r="E69" s="1" t="s">
        <v>270</v>
      </c>
      <c r="F69" s="1" t="s">
        <v>43</v>
      </c>
      <c r="G69" s="1" t="s">
        <v>206</v>
      </c>
      <c r="H69" s="1" t="s">
        <v>131</v>
      </c>
      <c r="I69" s="1" t="s">
        <v>38</v>
      </c>
      <c r="J69" s="1" t="s">
        <v>126</v>
      </c>
      <c r="K69" s="1" t="s">
        <v>126</v>
      </c>
      <c r="L69" s="1" t="s">
        <v>126</v>
      </c>
      <c r="N69" s="6">
        <v>2018.0</v>
      </c>
      <c r="O69" s="10">
        <f t="shared" ref="O69:R69" si="78">IFERROR(V69*INDEX($AH$4:$AH$8,MATCH($AA69,$AG$4:$AG$8,0)),"")</f>
        <v>22373475</v>
      </c>
      <c r="P69" s="10">
        <f t="shared" si="78"/>
        <v>22394714</v>
      </c>
      <c r="Q69" s="10">
        <f t="shared" si="78"/>
        <v>14500130</v>
      </c>
      <c r="R69" s="10">
        <f t="shared" si="78"/>
        <v>38293</v>
      </c>
      <c r="S69" s="10">
        <f t="shared" si="4"/>
        <v>14538423</v>
      </c>
      <c r="T69" s="10">
        <f t="shared" si="5"/>
        <v>0</v>
      </c>
      <c r="U69" s="8">
        <v>46112.0</v>
      </c>
      <c r="V69" s="7">
        <v>2.2373475E7</v>
      </c>
      <c r="W69" s="7">
        <v>2.2394714E7</v>
      </c>
      <c r="X69" s="7">
        <v>1.450013E7</v>
      </c>
      <c r="Y69" s="7">
        <v>38293.0</v>
      </c>
      <c r="Z69" s="7">
        <v>0.0</v>
      </c>
      <c r="AA69" s="6" t="s">
        <v>52</v>
      </c>
      <c r="AB69" s="11" t="str">
        <f t="shared" si="6"/>
        <v>Include</v>
      </c>
      <c r="AC69" s="1">
        <f t="shared" si="73"/>
        <v>0.6491899383</v>
      </c>
    </row>
    <row r="70" ht="15.0" customHeight="1">
      <c r="B70" s="6">
        <f t="shared" si="8"/>
        <v>68</v>
      </c>
      <c r="C70" s="1" t="s">
        <v>207</v>
      </c>
      <c r="D70" s="1" t="str">
        <f t="shared" si="2"/>
        <v>VC &amp; Growth</v>
      </c>
      <c r="E70" s="1" t="s">
        <v>270</v>
      </c>
      <c r="F70" s="1" t="s">
        <v>43</v>
      </c>
      <c r="G70" s="1" t="s">
        <v>207</v>
      </c>
      <c r="H70" s="1" t="s">
        <v>208</v>
      </c>
      <c r="I70" s="1" t="s">
        <v>38</v>
      </c>
      <c r="J70" s="1" t="s">
        <v>126</v>
      </c>
      <c r="K70" s="1" t="s">
        <v>126</v>
      </c>
      <c r="L70" s="1" t="s">
        <v>126</v>
      </c>
      <c r="N70" s="6">
        <v>2018.0</v>
      </c>
      <c r="O70" s="10">
        <f t="shared" ref="O70:R70" si="79">IFERROR(V70*INDEX($AH$4:$AH$8,MATCH($AA70,$AG$4:$AG$8,0)),"")</f>
        <v>13750569</v>
      </c>
      <c r="P70" s="10">
        <f t="shared" si="79"/>
        <v>14344831.62</v>
      </c>
      <c r="Q70" s="10">
        <f t="shared" si="79"/>
        <v>6766037.893</v>
      </c>
      <c r="R70" s="10">
        <f t="shared" si="79"/>
        <v>31878266.5</v>
      </c>
      <c r="S70" s="10">
        <f t="shared" si="4"/>
        <v>38644304.39</v>
      </c>
      <c r="T70" s="10">
        <f t="shared" si="5"/>
        <v>0</v>
      </c>
      <c r="U70" s="8">
        <v>46112.0</v>
      </c>
      <c r="V70" s="7">
        <v>1.19E7</v>
      </c>
      <c r="W70" s="7">
        <v>1.2414286E7</v>
      </c>
      <c r="X70" s="7">
        <v>5855455.94</v>
      </c>
      <c r="Y70" s="7">
        <v>2.7588049E7</v>
      </c>
      <c r="Z70" s="7">
        <v>0.0</v>
      </c>
      <c r="AA70" s="6" t="s">
        <v>45</v>
      </c>
      <c r="AB70" s="11" t="str">
        <f t="shared" si="6"/>
        <v>Include</v>
      </c>
      <c r="AC70" s="1">
        <f t="shared" si="73"/>
        <v>2.693953155</v>
      </c>
    </row>
    <row r="71" ht="15.0" customHeight="1">
      <c r="B71" s="6">
        <f t="shared" si="8"/>
        <v>69</v>
      </c>
      <c r="C71" s="1" t="s">
        <v>209</v>
      </c>
      <c r="D71" s="1" t="str">
        <f t="shared" si="2"/>
        <v>Private Equity</v>
      </c>
      <c r="E71" s="1" t="s">
        <v>43</v>
      </c>
      <c r="F71" s="1" t="s">
        <v>43</v>
      </c>
      <c r="G71" s="1" t="s">
        <v>209</v>
      </c>
      <c r="H71" s="1" t="s">
        <v>143</v>
      </c>
      <c r="I71" s="1" t="s">
        <v>38</v>
      </c>
      <c r="J71" s="1" t="s">
        <v>121</v>
      </c>
      <c r="K71" s="1" t="s">
        <v>122</v>
      </c>
      <c r="L71" s="1" t="s">
        <v>123</v>
      </c>
      <c r="N71" s="6">
        <v>2018.0</v>
      </c>
      <c r="O71" s="10">
        <f t="shared" ref="O71:R71" si="80">IFERROR(V71*INDEX($AH$4:$AH$8,MATCH($AA71,$AG$4:$AG$8,0)),"")</f>
        <v>10400000</v>
      </c>
      <c r="P71" s="10">
        <f t="shared" si="80"/>
        <v>10400000</v>
      </c>
      <c r="Q71" s="10">
        <f t="shared" si="80"/>
        <v>0</v>
      </c>
      <c r="R71" s="10">
        <f t="shared" si="80"/>
        <v>0</v>
      </c>
      <c r="S71" s="10">
        <f t="shared" si="4"/>
        <v>0</v>
      </c>
      <c r="T71" s="10">
        <f t="shared" si="5"/>
        <v>0</v>
      </c>
      <c r="U71" s="8">
        <v>46112.0</v>
      </c>
      <c r="V71" s="7">
        <v>1.04E7</v>
      </c>
      <c r="W71" s="7">
        <v>1.04E7</v>
      </c>
      <c r="X71" s="7">
        <v>0.0</v>
      </c>
      <c r="Y71" s="7">
        <v>0.0</v>
      </c>
      <c r="Z71" s="7">
        <v>0.0</v>
      </c>
      <c r="AA71" s="6" t="s">
        <v>52</v>
      </c>
      <c r="AB71" s="11" t="str">
        <f t="shared" si="6"/>
        <v>Exclude</v>
      </c>
    </row>
    <row r="72" ht="15.0" customHeight="1">
      <c r="B72" s="6">
        <f t="shared" si="8"/>
        <v>70</v>
      </c>
      <c r="C72" s="1" t="s">
        <v>210</v>
      </c>
      <c r="D72" s="1" t="str">
        <f t="shared" si="2"/>
        <v>Private Equity</v>
      </c>
      <c r="E72" s="1" t="s">
        <v>43</v>
      </c>
      <c r="F72" s="1" t="s">
        <v>43</v>
      </c>
      <c r="G72" s="1" t="s">
        <v>210</v>
      </c>
      <c r="H72" s="1" t="s">
        <v>211</v>
      </c>
      <c r="I72" s="1" t="s">
        <v>38</v>
      </c>
      <c r="J72" s="1" t="s">
        <v>164</v>
      </c>
      <c r="K72" s="1" t="s">
        <v>122</v>
      </c>
      <c r="L72" s="1" t="s">
        <v>127</v>
      </c>
      <c r="N72" s="6">
        <v>2018.0</v>
      </c>
      <c r="O72" s="10">
        <f t="shared" ref="O72:R72" si="81">IFERROR(V72*INDEX($AH$4:$AH$8,MATCH($AA72,$AG$4:$AG$8,0)),"")</f>
        <v>25000000</v>
      </c>
      <c r="P72" s="10">
        <f t="shared" si="81"/>
        <v>26500000</v>
      </c>
      <c r="Q72" s="10">
        <f t="shared" si="81"/>
        <v>0</v>
      </c>
      <c r="R72" s="10">
        <f t="shared" si="81"/>
        <v>15115</v>
      </c>
      <c r="S72" s="10">
        <f t="shared" si="4"/>
        <v>15115</v>
      </c>
      <c r="T72" s="10">
        <f t="shared" si="5"/>
        <v>0</v>
      </c>
      <c r="U72" s="8">
        <v>46112.0</v>
      </c>
      <c r="V72" s="7">
        <v>2.5E7</v>
      </c>
      <c r="W72" s="7">
        <v>2.65E7</v>
      </c>
      <c r="X72" s="7">
        <v>0.0</v>
      </c>
      <c r="Y72" s="7">
        <v>15115.0</v>
      </c>
      <c r="Z72" s="7">
        <v>0.0</v>
      </c>
      <c r="AA72" s="6" t="s">
        <v>52</v>
      </c>
      <c r="AB72" s="11" t="str">
        <f t="shared" si="6"/>
        <v>Include</v>
      </c>
      <c r="AC72" s="1">
        <f t="shared" ref="AC72:AC74" si="83">S72/P72</f>
        <v>0.0005703773585</v>
      </c>
    </row>
    <row r="73" ht="15.0" customHeight="1">
      <c r="B73" s="6">
        <f t="shared" si="8"/>
        <v>71</v>
      </c>
      <c r="C73" s="1" t="s">
        <v>212</v>
      </c>
      <c r="D73" s="1" t="str">
        <f t="shared" si="2"/>
        <v>Private Equity</v>
      </c>
      <c r="E73" s="1" t="s">
        <v>43</v>
      </c>
      <c r="F73" s="1" t="s">
        <v>43</v>
      </c>
      <c r="G73" s="1" t="s">
        <v>213</v>
      </c>
      <c r="H73" s="1" t="s">
        <v>214</v>
      </c>
      <c r="I73" s="1" t="s">
        <v>38</v>
      </c>
      <c r="J73" s="1" t="s">
        <v>121</v>
      </c>
      <c r="K73" s="1" t="s">
        <v>122</v>
      </c>
      <c r="L73" s="1" t="s">
        <v>180</v>
      </c>
      <c r="N73" s="6">
        <v>2018.0</v>
      </c>
      <c r="O73" s="10">
        <f t="shared" ref="O73:R73" si="82">IFERROR(V73*INDEX($AH$4:$AH$8,MATCH($AA73,$AG$4:$AG$8,0)),"")</f>
        <v>25000000</v>
      </c>
      <c r="P73" s="10">
        <f t="shared" si="82"/>
        <v>25048635</v>
      </c>
      <c r="Q73" s="10">
        <f t="shared" si="82"/>
        <v>25200280</v>
      </c>
      <c r="R73" s="10">
        <f t="shared" si="82"/>
        <v>25023936</v>
      </c>
      <c r="S73" s="10">
        <f t="shared" si="4"/>
        <v>50224216</v>
      </c>
      <c r="T73" s="10">
        <f t="shared" si="5"/>
        <v>0</v>
      </c>
      <c r="U73" s="8">
        <v>46112.0</v>
      </c>
      <c r="V73" s="7">
        <v>2.5E7</v>
      </c>
      <c r="W73" s="7">
        <v>2.5048635E7</v>
      </c>
      <c r="X73" s="7">
        <v>2.520028E7</v>
      </c>
      <c r="Y73" s="7">
        <v>2.5023936E7</v>
      </c>
      <c r="Z73" s="7">
        <v>0.0</v>
      </c>
      <c r="AA73" s="6" t="s">
        <v>52</v>
      </c>
      <c r="AB73" s="11" t="str">
        <f t="shared" si="6"/>
        <v>Include</v>
      </c>
      <c r="AC73" s="1">
        <f t="shared" si="83"/>
        <v>2.005067981</v>
      </c>
    </row>
    <row r="74" ht="15.0" customHeight="1">
      <c r="B74" s="6">
        <f t="shared" si="8"/>
        <v>72</v>
      </c>
      <c r="C74" s="1" t="s">
        <v>215</v>
      </c>
      <c r="D74" s="1" t="str">
        <f t="shared" si="2"/>
        <v>VC &amp; Growth</v>
      </c>
      <c r="E74" s="1" t="s">
        <v>270</v>
      </c>
      <c r="F74" s="1" t="s">
        <v>43</v>
      </c>
      <c r="G74" s="1" t="s">
        <v>215</v>
      </c>
      <c r="H74" s="1" t="s">
        <v>88</v>
      </c>
      <c r="I74" s="1" t="s">
        <v>38</v>
      </c>
      <c r="J74" s="1" t="s">
        <v>126</v>
      </c>
      <c r="K74" s="1" t="s">
        <v>126</v>
      </c>
      <c r="L74" s="1" t="s">
        <v>126</v>
      </c>
      <c r="N74" s="6">
        <v>2018.0</v>
      </c>
      <c r="O74" s="10">
        <f t="shared" ref="O74:R74" si="84">IFERROR(V74*INDEX($AH$4:$AH$8,MATCH($AA74,$AG$4:$AG$8,0)),"")</f>
        <v>14750000</v>
      </c>
      <c r="P74" s="10">
        <f t="shared" si="84"/>
        <v>13682826.27</v>
      </c>
      <c r="Q74" s="10">
        <f t="shared" si="84"/>
        <v>1223.34</v>
      </c>
      <c r="R74" s="10">
        <f t="shared" si="84"/>
        <v>13818823</v>
      </c>
      <c r="S74" s="10">
        <f t="shared" si="4"/>
        <v>13820046.34</v>
      </c>
      <c r="T74" s="10">
        <f t="shared" si="5"/>
        <v>1067173.73</v>
      </c>
      <c r="U74" s="8">
        <v>46112.0</v>
      </c>
      <c r="V74" s="7">
        <v>1.475E7</v>
      </c>
      <c r="W74" s="7">
        <v>1.368282627E7</v>
      </c>
      <c r="X74" s="7">
        <v>1223.34</v>
      </c>
      <c r="Y74" s="7">
        <v>1.3818823E7</v>
      </c>
      <c r="Z74" s="7">
        <v>1067173.73</v>
      </c>
      <c r="AA74" s="6" t="s">
        <v>52</v>
      </c>
      <c r="AB74" s="11" t="str">
        <f t="shared" si="6"/>
        <v>Include</v>
      </c>
      <c r="AC74" s="1">
        <f t="shared" si="83"/>
        <v>1.010028635</v>
      </c>
    </row>
    <row r="75" ht="15.0" customHeight="1">
      <c r="B75" s="6">
        <f t="shared" si="8"/>
        <v>73</v>
      </c>
      <c r="C75" s="1" t="s">
        <v>216</v>
      </c>
      <c r="D75" s="1" t="str">
        <f t="shared" si="2"/>
        <v>Private Equity</v>
      </c>
      <c r="E75" s="1" t="s">
        <v>43</v>
      </c>
      <c r="F75" s="1" t="s">
        <v>43</v>
      </c>
      <c r="G75" s="1" t="s">
        <v>216</v>
      </c>
      <c r="H75" s="1" t="s">
        <v>137</v>
      </c>
      <c r="I75" s="1" t="s">
        <v>38</v>
      </c>
      <c r="J75" s="1" t="s">
        <v>121</v>
      </c>
      <c r="K75" s="1" t="s">
        <v>122</v>
      </c>
      <c r="L75" s="1" t="s">
        <v>127</v>
      </c>
      <c r="N75" s="6">
        <v>2018.0</v>
      </c>
      <c r="O75" s="10">
        <f t="shared" ref="O75:R75" si="85">IFERROR(V75*INDEX($AH$4:$AH$8,MATCH($AA75,$AG$4:$AG$8,0)),"")</f>
        <v>10013736</v>
      </c>
      <c r="P75" s="10">
        <f t="shared" si="85"/>
        <v>10085521</v>
      </c>
      <c r="Q75" s="10">
        <f t="shared" si="85"/>
        <v>45474116</v>
      </c>
      <c r="R75" s="10">
        <f t="shared" si="85"/>
        <v>0</v>
      </c>
      <c r="S75" s="10">
        <f t="shared" si="4"/>
        <v>45474116</v>
      </c>
      <c r="T75" s="10">
        <f t="shared" si="5"/>
        <v>0</v>
      </c>
      <c r="U75" s="8">
        <v>44916.0</v>
      </c>
      <c r="V75" s="7">
        <v>1.0013736E7</v>
      </c>
      <c r="W75" s="7">
        <v>1.0085521E7</v>
      </c>
      <c r="X75" s="7">
        <v>4.5474116E7</v>
      </c>
      <c r="Y75" s="7">
        <v>0.0</v>
      </c>
      <c r="Z75" s="7">
        <v>0.0</v>
      </c>
      <c r="AA75" s="6" t="s">
        <v>52</v>
      </c>
      <c r="AB75" s="11" t="str">
        <f t="shared" si="6"/>
        <v>Exclude</v>
      </c>
    </row>
    <row r="76" ht="15.0" customHeight="1">
      <c r="B76" s="6">
        <f t="shared" si="8"/>
        <v>74</v>
      </c>
      <c r="C76" s="1" t="s">
        <v>217</v>
      </c>
      <c r="D76" s="1" t="str">
        <f t="shared" si="2"/>
        <v>Private Equity</v>
      </c>
      <c r="E76" s="1" t="s">
        <v>43</v>
      </c>
      <c r="F76" s="1" t="s">
        <v>43</v>
      </c>
      <c r="G76" s="1" t="s">
        <v>217</v>
      </c>
      <c r="H76" s="1" t="s">
        <v>140</v>
      </c>
      <c r="I76" s="1" t="s">
        <v>38</v>
      </c>
      <c r="J76" s="1" t="s">
        <v>121</v>
      </c>
      <c r="K76" s="1" t="s">
        <v>122</v>
      </c>
      <c r="L76" s="1" t="s">
        <v>127</v>
      </c>
      <c r="N76" s="6">
        <v>2018.0</v>
      </c>
      <c r="O76" s="10">
        <f t="shared" ref="O76:R76" si="86">IFERROR(V76*INDEX($AH$4:$AH$8,MATCH($AA76,$AG$4:$AG$8,0)),"")</f>
        <v>18656882.6</v>
      </c>
      <c r="P76" s="10">
        <f t="shared" si="86"/>
        <v>18825639.23</v>
      </c>
      <c r="Q76" s="10">
        <f t="shared" si="86"/>
        <v>43931568.01</v>
      </c>
      <c r="R76" s="10">
        <f t="shared" si="86"/>
        <v>20915.37809</v>
      </c>
      <c r="S76" s="10">
        <f t="shared" si="4"/>
        <v>43952483.39</v>
      </c>
      <c r="T76" s="10">
        <f t="shared" si="5"/>
        <v>0.0231102</v>
      </c>
      <c r="U76" s="8">
        <v>46022.0</v>
      </c>
      <c r="V76" s="7">
        <v>1.61460157E7</v>
      </c>
      <c r="W76" s="7">
        <v>1.629206085E7</v>
      </c>
      <c r="X76" s="7">
        <v>3.801920192E7</v>
      </c>
      <c r="Y76" s="7">
        <v>18100.56</v>
      </c>
      <c r="Z76" s="7">
        <v>0.02</v>
      </c>
      <c r="AA76" s="6" t="s">
        <v>45</v>
      </c>
      <c r="AB76" s="11" t="str">
        <f t="shared" si="6"/>
        <v>Include</v>
      </c>
      <c r="AC76" s="1">
        <f>S76/P76</f>
        <v>2.334713995</v>
      </c>
    </row>
    <row r="77" ht="15.0" customHeight="1">
      <c r="B77" s="6">
        <f t="shared" si="8"/>
        <v>75</v>
      </c>
      <c r="C77" s="1" t="s">
        <v>218</v>
      </c>
      <c r="D77" s="1" t="str">
        <f t="shared" si="2"/>
        <v>VC &amp; Growth</v>
      </c>
      <c r="E77" s="1" t="s">
        <v>270</v>
      </c>
      <c r="F77" s="1" t="s">
        <v>43</v>
      </c>
      <c r="G77" s="1" t="s">
        <v>218</v>
      </c>
      <c r="H77" s="1" t="s">
        <v>219</v>
      </c>
      <c r="I77" s="1" t="s">
        <v>38</v>
      </c>
      <c r="J77" s="1" t="s">
        <v>126</v>
      </c>
      <c r="K77" s="1" t="s">
        <v>126</v>
      </c>
      <c r="L77" s="1" t="s">
        <v>126</v>
      </c>
      <c r="N77" s="6">
        <v>2018.0</v>
      </c>
      <c r="O77" s="10">
        <f t="shared" ref="O77:R77" si="87">IFERROR(V77*INDEX($AH$4:$AH$8,MATCH($AA77,$AG$4:$AG$8,0)),"")</f>
        <v>25000000</v>
      </c>
      <c r="P77" s="10">
        <f t="shared" si="87"/>
        <v>25095412.82</v>
      </c>
      <c r="Q77" s="10">
        <f t="shared" si="87"/>
        <v>0</v>
      </c>
      <c r="R77" s="10">
        <f t="shared" si="87"/>
        <v>0</v>
      </c>
      <c r="S77" s="10">
        <f t="shared" si="4"/>
        <v>0</v>
      </c>
      <c r="T77" s="10">
        <f t="shared" si="5"/>
        <v>0</v>
      </c>
      <c r="U77" s="8">
        <v>46022.0</v>
      </c>
      <c r="V77" s="7">
        <v>2.5E7</v>
      </c>
      <c r="W77" s="7">
        <v>2.509541282E7</v>
      </c>
      <c r="X77" s="7">
        <v>0.0</v>
      </c>
      <c r="Y77" s="7">
        <v>0.0</v>
      </c>
      <c r="Z77" s="7">
        <v>0.0</v>
      </c>
      <c r="AA77" s="6" t="s">
        <v>52</v>
      </c>
      <c r="AB77" s="11" t="str">
        <f t="shared" si="6"/>
        <v>Exclude</v>
      </c>
    </row>
    <row r="78" ht="15.0" customHeight="1">
      <c r="B78" s="6">
        <f t="shared" si="8"/>
        <v>76</v>
      </c>
      <c r="C78" s="1" t="s">
        <v>220</v>
      </c>
      <c r="D78" s="1" t="str">
        <f t="shared" si="2"/>
        <v>Private Equity</v>
      </c>
      <c r="E78" s="1" t="s">
        <v>43</v>
      </c>
      <c r="F78" s="1" t="s">
        <v>43</v>
      </c>
      <c r="G78" s="1" t="s">
        <v>220</v>
      </c>
      <c r="H78" s="1" t="s">
        <v>91</v>
      </c>
      <c r="I78" s="1" t="s">
        <v>38</v>
      </c>
      <c r="J78" s="1" t="s">
        <v>121</v>
      </c>
      <c r="K78" s="1" t="s">
        <v>122</v>
      </c>
      <c r="L78" s="1" t="s">
        <v>127</v>
      </c>
      <c r="N78" s="6">
        <v>2019.0</v>
      </c>
      <c r="O78" s="10">
        <f t="shared" ref="O78:R78" si="88">IFERROR(V78*INDEX($AH$4:$AH$8,MATCH($AA78,$AG$4:$AG$8,0)),"")</f>
        <v>25000000</v>
      </c>
      <c r="P78" s="10">
        <f t="shared" si="88"/>
        <v>24784286.52</v>
      </c>
      <c r="Q78" s="10">
        <f t="shared" si="88"/>
        <v>27708529.52</v>
      </c>
      <c r="R78" s="10">
        <f t="shared" si="88"/>
        <v>20949620</v>
      </c>
      <c r="S78" s="10">
        <f t="shared" si="4"/>
        <v>48658149.52</v>
      </c>
      <c r="T78" s="10">
        <f t="shared" si="5"/>
        <v>246269.04</v>
      </c>
      <c r="U78" s="8">
        <v>46112.0</v>
      </c>
      <c r="V78" s="7">
        <v>2.5E7</v>
      </c>
      <c r="W78" s="7">
        <v>2.478428652E7</v>
      </c>
      <c r="X78" s="7">
        <v>2.770852952E7</v>
      </c>
      <c r="Y78" s="7">
        <v>2.094962E7</v>
      </c>
      <c r="Z78" s="7">
        <v>246269.04</v>
      </c>
      <c r="AA78" s="6" t="s">
        <v>52</v>
      </c>
      <c r="AB78" s="11" t="str">
        <f t="shared" si="6"/>
        <v>Include</v>
      </c>
      <c r="AC78" s="1">
        <f>S78/P78</f>
        <v>1.963266099</v>
      </c>
    </row>
    <row r="79" ht="15.0" customHeight="1">
      <c r="B79" s="6">
        <f t="shared" si="8"/>
        <v>77</v>
      </c>
      <c r="C79" s="1" t="s">
        <v>221</v>
      </c>
      <c r="D79" s="1" t="str">
        <f t="shared" si="2"/>
        <v>Private Equity</v>
      </c>
      <c r="E79" s="1" t="s">
        <v>43</v>
      </c>
      <c r="F79" s="1" t="s">
        <v>43</v>
      </c>
      <c r="G79" s="1" t="s">
        <v>221</v>
      </c>
      <c r="H79" s="1" t="s">
        <v>190</v>
      </c>
      <c r="I79" s="1" t="s">
        <v>38</v>
      </c>
      <c r="J79" s="1" t="s">
        <v>121</v>
      </c>
      <c r="K79" s="1" t="s">
        <v>122</v>
      </c>
      <c r="L79" s="1" t="s">
        <v>123</v>
      </c>
      <c r="N79" s="6">
        <v>2018.0</v>
      </c>
      <c r="O79" s="10">
        <f t="shared" ref="O79:R79" si="89">IFERROR(V79*INDEX($AH$4:$AH$8,MATCH($AA79,$AG$4:$AG$8,0)),"")</f>
        <v>15000000</v>
      </c>
      <c r="P79" s="10">
        <f t="shared" si="89"/>
        <v>15000000</v>
      </c>
      <c r="Q79" s="10">
        <f t="shared" si="89"/>
        <v>42809695.24</v>
      </c>
      <c r="R79" s="10">
        <f t="shared" si="89"/>
        <v>0</v>
      </c>
      <c r="S79" s="10">
        <f t="shared" si="4"/>
        <v>42809695.24</v>
      </c>
      <c r="T79" s="10">
        <f t="shared" si="5"/>
        <v>0</v>
      </c>
      <c r="U79" s="8">
        <v>44663.0</v>
      </c>
      <c r="V79" s="7">
        <v>1.5E7</v>
      </c>
      <c r="W79" s="7">
        <v>1.5E7</v>
      </c>
      <c r="X79" s="7">
        <v>4.280969524E7</v>
      </c>
      <c r="Y79" s="7">
        <v>0.0</v>
      </c>
      <c r="Z79" s="7">
        <v>0.0</v>
      </c>
      <c r="AA79" s="6" t="s">
        <v>52</v>
      </c>
      <c r="AB79" s="11" t="str">
        <f t="shared" si="6"/>
        <v>Exclude</v>
      </c>
    </row>
    <row r="80" ht="15.0" customHeight="1">
      <c r="B80" s="6">
        <f t="shared" si="8"/>
        <v>78</v>
      </c>
      <c r="C80" s="1" t="s">
        <v>222</v>
      </c>
      <c r="D80" s="1" t="str">
        <f t="shared" si="2"/>
        <v>Private Equity</v>
      </c>
      <c r="E80" s="1" t="s">
        <v>43</v>
      </c>
      <c r="F80" s="1" t="s">
        <v>43</v>
      </c>
      <c r="G80" s="1" t="s">
        <v>222</v>
      </c>
      <c r="H80" s="1" t="s">
        <v>223</v>
      </c>
      <c r="I80" s="1" t="s">
        <v>38</v>
      </c>
      <c r="J80" s="1" t="s">
        <v>121</v>
      </c>
      <c r="K80" s="1" t="s">
        <v>122</v>
      </c>
      <c r="L80" s="1" t="s">
        <v>164</v>
      </c>
      <c r="N80" s="6">
        <v>2019.0</v>
      </c>
      <c r="O80" s="10">
        <f t="shared" ref="O80:R80" si="90">IFERROR(V80*INDEX($AH$4:$AH$8,MATCH($AA80,$AG$4:$AG$8,0)),"")</f>
        <v>25504837.33</v>
      </c>
      <c r="P80" s="10">
        <f t="shared" si="90"/>
        <v>26092737.95</v>
      </c>
      <c r="Q80" s="10">
        <f t="shared" si="90"/>
        <v>53587307.45</v>
      </c>
      <c r="R80" s="10">
        <f t="shared" si="90"/>
        <v>0</v>
      </c>
      <c r="S80" s="10">
        <f t="shared" si="4"/>
        <v>53587307.45</v>
      </c>
      <c r="T80" s="10">
        <f t="shared" si="5"/>
        <v>0</v>
      </c>
      <c r="U80" s="8">
        <v>45377.0</v>
      </c>
      <c r="V80" s="7">
        <v>2.2072364E7</v>
      </c>
      <c r="W80" s="7">
        <v>2.258114421E7</v>
      </c>
      <c r="X80" s="7">
        <v>4.637545971E7</v>
      </c>
      <c r="Y80" s="7">
        <v>0.0</v>
      </c>
      <c r="Z80" s="7">
        <v>0.0</v>
      </c>
      <c r="AA80" s="6" t="s">
        <v>45</v>
      </c>
      <c r="AB80" s="11" t="str">
        <f t="shared" si="6"/>
        <v>Exclude</v>
      </c>
    </row>
    <row r="81" ht="15.0" customHeight="1">
      <c r="B81" s="6">
        <f t="shared" si="8"/>
        <v>79</v>
      </c>
      <c r="C81" s="1" t="s">
        <v>224</v>
      </c>
      <c r="D81" s="1" t="str">
        <f t="shared" si="2"/>
        <v>Private Equity</v>
      </c>
      <c r="E81" s="1" t="s">
        <v>43</v>
      </c>
      <c r="F81" s="1" t="s">
        <v>43</v>
      </c>
      <c r="G81" s="1" t="s">
        <v>224</v>
      </c>
      <c r="H81" s="1" t="s">
        <v>179</v>
      </c>
      <c r="I81" s="1" t="s">
        <v>38</v>
      </c>
      <c r="J81" s="1" t="s">
        <v>121</v>
      </c>
      <c r="K81" s="1" t="s">
        <v>122</v>
      </c>
      <c r="L81" s="1" t="s">
        <v>132</v>
      </c>
      <c r="N81" s="6">
        <v>2019.0</v>
      </c>
      <c r="O81" s="10">
        <f t="shared" ref="O81:R81" si="91">IFERROR(V81*INDEX($AH$4:$AH$8,MATCH($AA81,$AG$4:$AG$8,0)),"")</f>
        <v>14284836</v>
      </c>
      <c r="P81" s="10">
        <f t="shared" si="91"/>
        <v>11921980.52</v>
      </c>
      <c r="Q81" s="10">
        <f t="shared" si="91"/>
        <v>31279950.85</v>
      </c>
      <c r="R81" s="10">
        <f t="shared" si="91"/>
        <v>0</v>
      </c>
      <c r="S81" s="10">
        <f t="shared" si="4"/>
        <v>31279950.85</v>
      </c>
      <c r="T81" s="10">
        <f t="shared" si="5"/>
        <v>0</v>
      </c>
      <c r="U81" s="8">
        <v>45470.0</v>
      </c>
      <c r="V81" s="7">
        <v>1.08E7</v>
      </c>
      <c r="W81" s="7">
        <v>9013571.43</v>
      </c>
      <c r="X81" s="7">
        <v>2.364909679E7</v>
      </c>
      <c r="Y81" s="7">
        <v>0.0</v>
      </c>
      <c r="Z81" s="7">
        <v>0.0</v>
      </c>
      <c r="AA81" s="6" t="s">
        <v>106</v>
      </c>
      <c r="AB81" s="11" t="str">
        <f t="shared" si="6"/>
        <v>Exclude</v>
      </c>
    </row>
    <row r="82" ht="15.0" customHeight="1">
      <c r="B82" s="6">
        <f t="shared" si="8"/>
        <v>80</v>
      </c>
      <c r="C82" s="1" t="s">
        <v>225</v>
      </c>
      <c r="D82" s="1" t="str">
        <f t="shared" si="2"/>
        <v>VC &amp; Growth</v>
      </c>
      <c r="E82" s="1" t="s">
        <v>270</v>
      </c>
      <c r="F82" s="1" t="s">
        <v>43</v>
      </c>
      <c r="G82" s="1" t="s">
        <v>226</v>
      </c>
      <c r="H82" s="1" t="s">
        <v>227</v>
      </c>
      <c r="I82" s="1" t="s">
        <v>38</v>
      </c>
      <c r="J82" s="1" t="s">
        <v>126</v>
      </c>
      <c r="K82" s="1" t="s">
        <v>126</v>
      </c>
      <c r="L82" s="1" t="s">
        <v>126</v>
      </c>
      <c r="N82" s="6">
        <v>2019.0</v>
      </c>
      <c r="O82" s="10">
        <f t="shared" ref="O82:R82" si="92">IFERROR(V82*INDEX($AH$4:$AH$8,MATCH($AA82,$AG$4:$AG$8,0)),"")</f>
        <v>12726041.08</v>
      </c>
      <c r="P82" s="10">
        <f t="shared" si="92"/>
        <v>12726041.08</v>
      </c>
      <c r="Q82" s="10">
        <f t="shared" si="92"/>
        <v>37704187.2</v>
      </c>
      <c r="R82" s="10">
        <f t="shared" si="92"/>
        <v>245864.11</v>
      </c>
      <c r="S82" s="10">
        <f t="shared" si="4"/>
        <v>37950051.31</v>
      </c>
      <c r="T82" s="10">
        <f t="shared" si="5"/>
        <v>0</v>
      </c>
      <c r="U82" s="8">
        <v>46112.0</v>
      </c>
      <c r="V82" s="7">
        <v>1.272604108E7</v>
      </c>
      <c r="W82" s="7">
        <v>1.272604108E7</v>
      </c>
      <c r="X82" s="7">
        <v>3.77041872E7</v>
      </c>
      <c r="Y82" s="7">
        <v>245864.11</v>
      </c>
      <c r="Z82" s="7">
        <v>0.0</v>
      </c>
      <c r="AA82" s="6" t="s">
        <v>52</v>
      </c>
      <c r="AB82" s="11" t="str">
        <f t="shared" si="6"/>
        <v>Include</v>
      </c>
      <c r="AC82" s="1">
        <f>S82/P82</f>
        <v>2.982078328</v>
      </c>
    </row>
    <row r="83" ht="15.0" customHeight="1">
      <c r="B83" s="6">
        <f t="shared" si="8"/>
        <v>81</v>
      </c>
      <c r="C83" s="1" t="s">
        <v>228</v>
      </c>
      <c r="D83" s="1" t="str">
        <f t="shared" si="2"/>
        <v>Private Equity</v>
      </c>
      <c r="E83" s="1" t="s">
        <v>43</v>
      </c>
      <c r="F83" s="1" t="s">
        <v>43</v>
      </c>
      <c r="G83" s="1" t="s">
        <v>228</v>
      </c>
      <c r="H83" s="1" t="s">
        <v>125</v>
      </c>
      <c r="I83" s="1" t="s">
        <v>38</v>
      </c>
      <c r="J83" s="1" t="s">
        <v>121</v>
      </c>
      <c r="K83" s="1" t="s">
        <v>122</v>
      </c>
      <c r="L83" s="1" t="s">
        <v>132</v>
      </c>
      <c r="N83" s="6">
        <v>2019.0</v>
      </c>
      <c r="O83" s="10">
        <f t="shared" ref="O83:R83" si="93">IFERROR(V83*INDEX($AH$4:$AH$8,MATCH($AA83,$AG$4:$AG$8,0)),"")</f>
        <v>22500000</v>
      </c>
      <c r="P83" s="10">
        <f t="shared" si="93"/>
        <v>22832411.22</v>
      </c>
      <c r="Q83" s="10">
        <f t="shared" si="93"/>
        <v>39974919.35</v>
      </c>
      <c r="R83" s="10">
        <f t="shared" si="93"/>
        <v>0</v>
      </c>
      <c r="S83" s="10">
        <f t="shared" si="4"/>
        <v>39974919.35</v>
      </c>
      <c r="T83" s="10">
        <f t="shared" si="5"/>
        <v>0</v>
      </c>
      <c r="U83" s="8">
        <v>45359.0</v>
      </c>
      <c r="V83" s="7">
        <v>2.25E7</v>
      </c>
      <c r="W83" s="7">
        <v>2.283241122E7</v>
      </c>
      <c r="X83" s="7">
        <v>3.997491935E7</v>
      </c>
      <c r="Y83" s="7">
        <v>0.0</v>
      </c>
      <c r="Z83" s="7">
        <v>0.0</v>
      </c>
      <c r="AA83" s="6" t="s">
        <v>52</v>
      </c>
      <c r="AB83" s="11" t="str">
        <f t="shared" si="6"/>
        <v>Exclude</v>
      </c>
    </row>
    <row r="84" ht="15.0" customHeight="1">
      <c r="B84" s="6">
        <f t="shared" si="8"/>
        <v>82</v>
      </c>
      <c r="C84" s="1" t="s">
        <v>229</v>
      </c>
      <c r="D84" s="1" t="str">
        <f t="shared" si="2"/>
        <v>VC &amp; Growth</v>
      </c>
      <c r="E84" s="1" t="s">
        <v>270</v>
      </c>
      <c r="F84" s="1" t="s">
        <v>43</v>
      </c>
      <c r="G84" s="1" t="s">
        <v>229</v>
      </c>
      <c r="H84" s="1" t="s">
        <v>208</v>
      </c>
      <c r="I84" s="1" t="s">
        <v>38</v>
      </c>
      <c r="J84" s="1" t="s">
        <v>126</v>
      </c>
      <c r="K84" s="1" t="s">
        <v>126</v>
      </c>
      <c r="L84" s="1" t="s">
        <v>126</v>
      </c>
      <c r="N84" s="6">
        <v>2019.0</v>
      </c>
      <c r="O84" s="10">
        <f t="shared" ref="O84:R84" si="94">IFERROR(V84*INDEX($AH$4:$AH$8,MATCH($AA84,$AG$4:$AG$8,0)),"")</f>
        <v>15616406.82</v>
      </c>
      <c r="P84" s="10">
        <f t="shared" si="94"/>
        <v>15709258.98</v>
      </c>
      <c r="Q84" s="10">
        <f t="shared" si="94"/>
        <v>41553292.86</v>
      </c>
      <c r="R84" s="10">
        <f t="shared" si="94"/>
        <v>0</v>
      </c>
      <c r="S84" s="10">
        <f t="shared" si="4"/>
        <v>41553292.86</v>
      </c>
      <c r="T84" s="10">
        <f t="shared" si="5"/>
        <v>0</v>
      </c>
      <c r="U84" s="8">
        <v>45985.0</v>
      </c>
      <c r="V84" s="7">
        <v>1.3514731E7</v>
      </c>
      <c r="W84" s="7">
        <v>1.3595087E7</v>
      </c>
      <c r="X84" s="7">
        <v>3.596099805E7</v>
      </c>
      <c r="Y84" s="7">
        <v>0.0</v>
      </c>
      <c r="Z84" s="7">
        <v>0.0</v>
      </c>
      <c r="AA84" s="6" t="s">
        <v>45</v>
      </c>
      <c r="AB84" s="11" t="str">
        <f t="shared" si="6"/>
        <v>Exclude</v>
      </c>
    </row>
    <row r="85" ht="15.0" customHeight="1">
      <c r="B85" s="6">
        <f t="shared" si="8"/>
        <v>83</v>
      </c>
      <c r="C85" s="1" t="s">
        <v>230</v>
      </c>
      <c r="D85" s="1" t="str">
        <f t="shared" si="2"/>
        <v>Private Equity</v>
      </c>
      <c r="E85" s="1" t="s">
        <v>43</v>
      </c>
      <c r="F85" s="1" t="s">
        <v>43</v>
      </c>
      <c r="G85" s="1" t="s">
        <v>230</v>
      </c>
      <c r="H85" s="1" t="s">
        <v>211</v>
      </c>
      <c r="I85" s="1" t="s">
        <v>38</v>
      </c>
      <c r="J85" s="1" t="s">
        <v>164</v>
      </c>
      <c r="K85" s="1" t="s">
        <v>122</v>
      </c>
      <c r="L85" s="1" t="s">
        <v>127</v>
      </c>
      <c r="N85" s="6">
        <v>2019.0</v>
      </c>
      <c r="O85" s="10">
        <f t="shared" ref="O85:R85" si="95">IFERROR(V85*INDEX($AH$4:$AH$8,MATCH($AA85,$AG$4:$AG$8,0)),"")</f>
        <v>25000000</v>
      </c>
      <c r="P85" s="10">
        <f t="shared" si="95"/>
        <v>25137718</v>
      </c>
      <c r="Q85" s="10">
        <f t="shared" si="95"/>
        <v>0</v>
      </c>
      <c r="R85" s="10">
        <f t="shared" si="95"/>
        <v>101418</v>
      </c>
      <c r="S85" s="10">
        <f t="shared" si="4"/>
        <v>101418</v>
      </c>
      <c r="T85" s="10">
        <f t="shared" si="5"/>
        <v>0</v>
      </c>
      <c r="U85" s="8">
        <v>46112.0</v>
      </c>
      <c r="V85" s="7">
        <v>2.5E7</v>
      </c>
      <c r="W85" s="7">
        <v>2.5137718E7</v>
      </c>
      <c r="X85" s="7">
        <v>0.0</v>
      </c>
      <c r="Y85" s="7">
        <v>101418.0</v>
      </c>
      <c r="Z85" s="7">
        <v>0.0</v>
      </c>
      <c r="AA85" s="6" t="s">
        <v>52</v>
      </c>
      <c r="AB85" s="11" t="str">
        <f t="shared" si="6"/>
        <v>Include</v>
      </c>
      <c r="AC85" s="1">
        <f t="shared" ref="AC85:AC86" si="97">S85/P85</f>
        <v>0.004034495096</v>
      </c>
    </row>
    <row r="86" ht="15.0" customHeight="1">
      <c r="B86" s="6">
        <f t="shared" si="8"/>
        <v>84</v>
      </c>
      <c r="C86" s="1" t="s">
        <v>231</v>
      </c>
      <c r="D86" s="1" t="str">
        <f t="shared" si="2"/>
        <v>Private Equity</v>
      </c>
      <c r="E86" s="1" t="s">
        <v>43</v>
      </c>
      <c r="F86" s="1" t="s">
        <v>43</v>
      </c>
      <c r="G86" s="1" t="s">
        <v>231</v>
      </c>
      <c r="H86" s="1" t="s">
        <v>232</v>
      </c>
      <c r="I86" s="1" t="s">
        <v>38</v>
      </c>
      <c r="J86" s="1" t="s">
        <v>121</v>
      </c>
      <c r="K86" s="1" t="s">
        <v>122</v>
      </c>
      <c r="L86" s="1" t="s">
        <v>127</v>
      </c>
      <c r="N86" s="6">
        <v>2019.0</v>
      </c>
      <c r="O86" s="10">
        <f t="shared" ref="O86:R86" si="96">IFERROR(V86*INDEX($AH$4:$AH$8,MATCH($AA86,$AG$4:$AG$8,0)),"")</f>
        <v>16400000</v>
      </c>
      <c r="P86" s="10">
        <f t="shared" si="96"/>
        <v>16400000</v>
      </c>
      <c r="Q86" s="10">
        <f t="shared" si="96"/>
        <v>18315509.14</v>
      </c>
      <c r="R86" s="10">
        <f t="shared" si="96"/>
        <v>39359081</v>
      </c>
      <c r="S86" s="10">
        <f t="shared" si="4"/>
        <v>57674590.14</v>
      </c>
      <c r="T86" s="10">
        <f t="shared" si="5"/>
        <v>0</v>
      </c>
      <c r="U86" s="8">
        <v>46112.0</v>
      </c>
      <c r="V86" s="7">
        <v>1.64E7</v>
      </c>
      <c r="W86" s="7">
        <v>1.64E7</v>
      </c>
      <c r="X86" s="7">
        <v>1.831550914E7</v>
      </c>
      <c r="Y86" s="7">
        <v>3.9359081E7</v>
      </c>
      <c r="Z86" s="7">
        <v>0.0</v>
      </c>
      <c r="AA86" s="6" t="s">
        <v>52</v>
      </c>
      <c r="AB86" s="11" t="str">
        <f t="shared" si="6"/>
        <v>Include</v>
      </c>
      <c r="AC86" s="1">
        <f t="shared" si="97"/>
        <v>3.516743301</v>
      </c>
    </row>
    <row r="87" ht="15.0" customHeight="1">
      <c r="B87" s="6">
        <f t="shared" si="8"/>
        <v>85</v>
      </c>
      <c r="C87" s="1" t="s">
        <v>233</v>
      </c>
      <c r="D87" s="1" t="str">
        <f t="shared" si="2"/>
        <v>VC &amp; Growth</v>
      </c>
      <c r="E87" s="1" t="s">
        <v>270</v>
      </c>
      <c r="F87" s="1" t="s">
        <v>43</v>
      </c>
      <c r="G87" s="1" t="s">
        <v>233</v>
      </c>
      <c r="H87" s="1" t="s">
        <v>234</v>
      </c>
      <c r="I87" s="1" t="s">
        <v>38</v>
      </c>
      <c r="J87" s="1" t="s">
        <v>126</v>
      </c>
      <c r="K87" s="1" t="s">
        <v>126</v>
      </c>
      <c r="L87" s="1" t="s">
        <v>132</v>
      </c>
      <c r="N87" s="6">
        <v>2019.0</v>
      </c>
      <c r="O87" s="10">
        <f t="shared" ref="O87:R87" si="98">IFERROR(V87*INDEX($AH$4:$AH$8,MATCH($AA87,$AG$4:$AG$8,0)),"")</f>
        <v>17684906.18</v>
      </c>
      <c r="P87" s="10">
        <f t="shared" si="98"/>
        <v>15860410.96</v>
      </c>
      <c r="Q87" s="10">
        <f t="shared" si="98"/>
        <v>42166842.87</v>
      </c>
      <c r="R87" s="10">
        <f t="shared" si="98"/>
        <v>0</v>
      </c>
      <c r="S87" s="10">
        <f t="shared" si="4"/>
        <v>42166842.87</v>
      </c>
      <c r="T87" s="10">
        <f t="shared" si="5"/>
        <v>0</v>
      </c>
      <c r="U87" s="8">
        <v>45279.0</v>
      </c>
      <c r="V87" s="7">
        <v>1.768490618E7</v>
      </c>
      <c r="W87" s="7">
        <v>1.586041096E7</v>
      </c>
      <c r="X87" s="7">
        <v>4.216684287E7</v>
      </c>
      <c r="Y87" s="7">
        <v>0.0</v>
      </c>
      <c r="Z87" s="7">
        <v>0.0</v>
      </c>
      <c r="AA87" s="6" t="s">
        <v>52</v>
      </c>
      <c r="AB87" s="11" t="str">
        <f t="shared" si="6"/>
        <v>Exclude</v>
      </c>
    </row>
    <row r="88" ht="15.0" customHeight="1">
      <c r="B88" s="6">
        <f t="shared" si="8"/>
        <v>86</v>
      </c>
      <c r="C88" s="1" t="s">
        <v>235</v>
      </c>
      <c r="D88" s="1" t="str">
        <f t="shared" si="2"/>
        <v>VC &amp; Growth</v>
      </c>
      <c r="E88" s="1" t="s">
        <v>270</v>
      </c>
      <c r="F88" s="1" t="s">
        <v>43</v>
      </c>
      <c r="G88" s="1" t="s">
        <v>235</v>
      </c>
      <c r="H88" s="1" t="s">
        <v>227</v>
      </c>
      <c r="I88" s="1" t="s">
        <v>38</v>
      </c>
      <c r="J88" s="1" t="s">
        <v>126</v>
      </c>
      <c r="K88" s="1" t="s">
        <v>126</v>
      </c>
      <c r="L88" s="1" t="s">
        <v>126</v>
      </c>
      <c r="N88" s="6">
        <v>2020.0</v>
      </c>
      <c r="O88" s="10">
        <f t="shared" ref="O88:R88" si="99">IFERROR(V88*INDEX($AH$4:$AH$8,MATCH($AA88,$AG$4:$AG$8,0)),"")</f>
        <v>12959210.46</v>
      </c>
      <c r="P88" s="10">
        <f t="shared" si="99"/>
        <v>12659210.46</v>
      </c>
      <c r="Q88" s="10">
        <f t="shared" si="99"/>
        <v>45818932.63</v>
      </c>
      <c r="R88" s="10">
        <f t="shared" si="99"/>
        <v>44810983.19</v>
      </c>
      <c r="S88" s="10">
        <f t="shared" si="4"/>
        <v>90629915.82</v>
      </c>
      <c r="T88" s="10">
        <f t="shared" si="5"/>
        <v>300000</v>
      </c>
      <c r="U88" s="8">
        <v>46112.0</v>
      </c>
      <c r="V88" s="7">
        <v>1.295921046E7</v>
      </c>
      <c r="W88" s="7">
        <v>1.265921046E7</v>
      </c>
      <c r="X88" s="7">
        <v>4.581893263E7</v>
      </c>
      <c r="Y88" s="7">
        <v>4.481098319E7</v>
      </c>
      <c r="Z88" s="7">
        <v>300000.0</v>
      </c>
      <c r="AA88" s="6" t="s">
        <v>52</v>
      </c>
      <c r="AB88" s="11" t="str">
        <f t="shared" si="6"/>
        <v>Include</v>
      </c>
      <c r="AC88" s="1">
        <f>S88/P88</f>
        <v>7.159207607</v>
      </c>
    </row>
    <row r="89" ht="15.0" customHeight="1">
      <c r="B89" s="6">
        <f t="shared" si="8"/>
        <v>87</v>
      </c>
      <c r="C89" s="1" t="s">
        <v>236</v>
      </c>
      <c r="D89" s="1" t="str">
        <f t="shared" si="2"/>
        <v>Private Equity</v>
      </c>
      <c r="E89" s="1" t="s">
        <v>43</v>
      </c>
      <c r="F89" s="1" t="s">
        <v>43</v>
      </c>
      <c r="G89" s="1" t="s">
        <v>236</v>
      </c>
      <c r="H89" s="1" t="s">
        <v>91</v>
      </c>
      <c r="I89" s="1" t="s">
        <v>38</v>
      </c>
      <c r="J89" s="1" t="s">
        <v>121</v>
      </c>
      <c r="K89" s="1" t="s">
        <v>122</v>
      </c>
      <c r="L89" s="1" t="s">
        <v>180</v>
      </c>
      <c r="N89" s="6">
        <v>2020.0</v>
      </c>
      <c r="O89" s="10">
        <f t="shared" ref="O89:R89" si="100">IFERROR(V89*INDEX($AH$4:$AH$8,MATCH($AA89,$AG$4:$AG$8,0)),"")</f>
        <v>25312500</v>
      </c>
      <c r="P89" s="10">
        <f t="shared" si="100"/>
        <v>16276709.39</v>
      </c>
      <c r="Q89" s="10">
        <f t="shared" si="100"/>
        <v>33321576.3</v>
      </c>
      <c r="R89" s="10">
        <f t="shared" si="100"/>
        <v>0</v>
      </c>
      <c r="S89" s="10">
        <f t="shared" si="4"/>
        <v>33321576.3</v>
      </c>
      <c r="T89" s="10">
        <f t="shared" si="5"/>
        <v>-0.39</v>
      </c>
      <c r="U89" s="8">
        <v>46010.0</v>
      </c>
      <c r="V89" s="7">
        <v>2.53125E7</v>
      </c>
      <c r="W89" s="7">
        <v>1.627670939E7</v>
      </c>
      <c r="X89" s="7">
        <v>3.33215763E7</v>
      </c>
      <c r="Y89" s="7">
        <v>0.0</v>
      </c>
      <c r="Z89" s="7">
        <v>-0.39</v>
      </c>
      <c r="AA89" s="6" t="s">
        <v>52</v>
      </c>
      <c r="AB89" s="11" t="str">
        <f t="shared" si="6"/>
        <v>Exclude</v>
      </c>
    </row>
    <row r="90" ht="15.0" customHeight="1">
      <c r="B90" s="6">
        <f t="shared" si="8"/>
        <v>88</v>
      </c>
      <c r="C90" s="1" t="s">
        <v>237</v>
      </c>
      <c r="D90" s="1" t="str">
        <f t="shared" si="2"/>
        <v>Private Equity</v>
      </c>
      <c r="E90" s="1" t="s">
        <v>43</v>
      </c>
      <c r="F90" s="1" t="s">
        <v>43</v>
      </c>
      <c r="G90" s="1" t="s">
        <v>237</v>
      </c>
      <c r="H90" s="1" t="s">
        <v>238</v>
      </c>
      <c r="I90" s="1" t="s">
        <v>38</v>
      </c>
      <c r="J90" s="1" t="s">
        <v>121</v>
      </c>
      <c r="K90" s="1" t="s">
        <v>122</v>
      </c>
      <c r="L90" s="1" t="s">
        <v>127</v>
      </c>
      <c r="N90" s="6">
        <v>2020.0</v>
      </c>
      <c r="O90" s="10">
        <f t="shared" ref="O90:R90" si="101">IFERROR(V90*INDEX($AH$4:$AH$8,MATCH($AA90,$AG$4:$AG$8,0)),"")</f>
        <v>25000000</v>
      </c>
      <c r="P90" s="10">
        <f t="shared" si="101"/>
        <v>25625000</v>
      </c>
      <c r="Q90" s="10">
        <f t="shared" si="101"/>
        <v>12318656</v>
      </c>
      <c r="R90" s="10">
        <f t="shared" si="101"/>
        <v>36353789</v>
      </c>
      <c r="S90" s="10">
        <f t="shared" si="4"/>
        <v>48672445</v>
      </c>
      <c r="T90" s="10">
        <f t="shared" si="5"/>
        <v>0</v>
      </c>
      <c r="U90" s="8">
        <v>46112.0</v>
      </c>
      <c r="V90" s="7">
        <v>2.5E7</v>
      </c>
      <c r="W90" s="7">
        <v>2.5625E7</v>
      </c>
      <c r="X90" s="7">
        <v>1.2318656E7</v>
      </c>
      <c r="Y90" s="7">
        <v>3.6353789E7</v>
      </c>
      <c r="Z90" s="7">
        <v>0.0</v>
      </c>
      <c r="AA90" s="6" t="s">
        <v>52</v>
      </c>
      <c r="AB90" s="11" t="str">
        <f t="shared" si="6"/>
        <v>Include</v>
      </c>
      <c r="AC90" s="1">
        <f t="shared" ref="AC90:AC104" si="103">S90/P90</f>
        <v>1.899412488</v>
      </c>
    </row>
    <row r="91" ht="15.0" customHeight="1">
      <c r="B91" s="6">
        <f t="shared" si="8"/>
        <v>89</v>
      </c>
      <c r="C91" s="1" t="s">
        <v>239</v>
      </c>
      <c r="D91" s="1" t="str">
        <f t="shared" si="2"/>
        <v>Private Equity</v>
      </c>
      <c r="E91" s="1" t="s">
        <v>43</v>
      </c>
      <c r="F91" s="1" t="s">
        <v>43</v>
      </c>
      <c r="G91" s="1" t="s">
        <v>239</v>
      </c>
      <c r="H91" s="1" t="s">
        <v>78</v>
      </c>
      <c r="I91" s="1" t="s">
        <v>38</v>
      </c>
      <c r="J91" s="1" t="s">
        <v>121</v>
      </c>
      <c r="K91" s="1" t="s">
        <v>122</v>
      </c>
      <c r="L91" s="1" t="s">
        <v>123</v>
      </c>
      <c r="N91" s="6">
        <v>2015.0</v>
      </c>
      <c r="O91" s="10">
        <f t="shared" ref="O91:R91" si="102">IFERROR(V91*INDEX($AH$4:$AH$8,MATCH($AA91,$AG$4:$AG$8,0)),"")</f>
        <v>68410029.08</v>
      </c>
      <c r="P91" s="10">
        <f t="shared" si="102"/>
        <v>68410029</v>
      </c>
      <c r="Q91" s="10">
        <f t="shared" si="102"/>
        <v>98816313</v>
      </c>
      <c r="R91" s="10">
        <f t="shared" si="102"/>
        <v>41670737</v>
      </c>
      <c r="S91" s="10">
        <f t="shared" si="4"/>
        <v>140487050</v>
      </c>
      <c r="T91" s="10">
        <f t="shared" si="5"/>
        <v>267733.08</v>
      </c>
      <c r="U91" s="8">
        <v>46112.0</v>
      </c>
      <c r="V91" s="7">
        <v>6.841002908E7</v>
      </c>
      <c r="W91" s="7">
        <v>6.8410029E7</v>
      </c>
      <c r="X91" s="7">
        <v>9.8816313E7</v>
      </c>
      <c r="Y91" s="7">
        <v>4.1670737E7</v>
      </c>
      <c r="Z91" s="7">
        <v>267733.08</v>
      </c>
      <c r="AA91" s="6" t="s">
        <v>52</v>
      </c>
      <c r="AB91" s="11" t="str">
        <f t="shared" si="6"/>
        <v>Include</v>
      </c>
      <c r="AC91" s="1">
        <f t="shared" si="103"/>
        <v>2.053603135</v>
      </c>
    </row>
    <row r="92" ht="15.0" customHeight="1">
      <c r="B92" s="6">
        <f t="shared" si="8"/>
        <v>90</v>
      </c>
      <c r="C92" s="1" t="s">
        <v>240</v>
      </c>
      <c r="D92" s="1" t="str">
        <f t="shared" si="2"/>
        <v>Private Equity</v>
      </c>
      <c r="E92" s="1" t="s">
        <v>43</v>
      </c>
      <c r="F92" s="1" t="s">
        <v>43</v>
      </c>
      <c r="G92" s="1" t="s">
        <v>240</v>
      </c>
      <c r="H92" s="1" t="s">
        <v>179</v>
      </c>
      <c r="I92" s="1" t="s">
        <v>38</v>
      </c>
      <c r="J92" s="1" t="s">
        <v>121</v>
      </c>
      <c r="K92" s="1" t="s">
        <v>122</v>
      </c>
      <c r="L92" s="1" t="s">
        <v>180</v>
      </c>
      <c r="N92" s="6">
        <v>2020.0</v>
      </c>
      <c r="O92" s="10">
        <f t="shared" ref="O92:R92" si="104">IFERROR(V92*INDEX($AH$4:$AH$8,MATCH($AA92,$AG$4:$AG$8,0)),"")</f>
        <v>34154829</v>
      </c>
      <c r="P92" s="10">
        <f t="shared" si="104"/>
        <v>25024872.73</v>
      </c>
      <c r="Q92" s="10">
        <f t="shared" si="104"/>
        <v>9154829.21</v>
      </c>
      <c r="R92" s="10">
        <f t="shared" si="104"/>
        <v>46037903</v>
      </c>
      <c r="S92" s="10">
        <f t="shared" si="4"/>
        <v>55192732.21</v>
      </c>
      <c r="T92" s="10">
        <f t="shared" si="5"/>
        <v>9129956.27</v>
      </c>
      <c r="U92" s="8">
        <v>46112.0</v>
      </c>
      <c r="V92" s="7">
        <v>3.4154829E7</v>
      </c>
      <c r="W92" s="7">
        <v>2.502487273E7</v>
      </c>
      <c r="X92" s="7">
        <v>9154829.21</v>
      </c>
      <c r="Y92" s="7">
        <v>4.6037903E7</v>
      </c>
      <c r="Z92" s="7">
        <v>9129956.27</v>
      </c>
      <c r="AA92" s="6" t="s">
        <v>52</v>
      </c>
      <c r="AB92" s="11" t="str">
        <f t="shared" si="6"/>
        <v>Include</v>
      </c>
      <c r="AC92" s="1">
        <f t="shared" si="103"/>
        <v>2.205515001</v>
      </c>
    </row>
    <row r="93" ht="15.0" customHeight="1">
      <c r="B93" s="6">
        <f t="shared" si="8"/>
        <v>91</v>
      </c>
      <c r="C93" s="1" t="s">
        <v>241</v>
      </c>
      <c r="D93" s="1" t="str">
        <f t="shared" si="2"/>
        <v>Private Equity</v>
      </c>
      <c r="E93" s="1" t="s">
        <v>43</v>
      </c>
      <c r="F93" s="1" t="s">
        <v>43</v>
      </c>
      <c r="G93" s="1" t="s">
        <v>241</v>
      </c>
      <c r="H93" s="1" t="s">
        <v>179</v>
      </c>
      <c r="I93" s="1" t="s">
        <v>38</v>
      </c>
      <c r="J93" s="1" t="s">
        <v>121</v>
      </c>
      <c r="K93" s="1" t="s">
        <v>122</v>
      </c>
      <c r="L93" s="1" t="s">
        <v>180</v>
      </c>
      <c r="N93" s="6">
        <v>2020.0</v>
      </c>
      <c r="O93" s="10">
        <f t="shared" ref="O93:R93" si="105">IFERROR(V93*INDEX($AH$4:$AH$8,MATCH($AA93,$AG$4:$AG$8,0)),"")</f>
        <v>42000000</v>
      </c>
      <c r="P93" s="10">
        <f t="shared" si="105"/>
        <v>35106741.58</v>
      </c>
      <c r="Q93" s="10">
        <f t="shared" si="105"/>
        <v>0</v>
      </c>
      <c r="R93" s="10">
        <f t="shared" si="105"/>
        <v>46312072</v>
      </c>
      <c r="S93" s="10">
        <f t="shared" si="4"/>
        <v>46312072</v>
      </c>
      <c r="T93" s="10">
        <f t="shared" si="5"/>
        <v>6893258.42</v>
      </c>
      <c r="U93" s="8">
        <v>46112.0</v>
      </c>
      <c r="V93" s="7">
        <v>4.2E7</v>
      </c>
      <c r="W93" s="7">
        <v>3.510674158E7</v>
      </c>
      <c r="X93" s="7">
        <v>0.0</v>
      </c>
      <c r="Y93" s="7">
        <v>4.6312072E7</v>
      </c>
      <c r="Z93" s="7">
        <v>6893258.42</v>
      </c>
      <c r="AA93" s="6" t="s">
        <v>52</v>
      </c>
      <c r="AB93" s="11" t="str">
        <f t="shared" si="6"/>
        <v>Include</v>
      </c>
      <c r="AC93" s="1">
        <f t="shared" si="103"/>
        <v>1.319178879</v>
      </c>
    </row>
    <row r="94" ht="15.0" customHeight="1">
      <c r="B94" s="6">
        <f t="shared" si="8"/>
        <v>92</v>
      </c>
      <c r="C94" s="1" t="s">
        <v>242</v>
      </c>
      <c r="D94" s="1" t="str">
        <f t="shared" si="2"/>
        <v>Private Equity</v>
      </c>
      <c r="E94" s="1" t="s">
        <v>43</v>
      </c>
      <c r="F94" s="1" t="s">
        <v>43</v>
      </c>
      <c r="G94" s="1" t="s">
        <v>242</v>
      </c>
      <c r="H94" s="1" t="s">
        <v>88</v>
      </c>
      <c r="I94" s="1" t="s">
        <v>38</v>
      </c>
      <c r="J94" s="1" t="s">
        <v>121</v>
      </c>
      <c r="K94" s="1" t="s">
        <v>122</v>
      </c>
      <c r="L94" s="1" t="s">
        <v>123</v>
      </c>
      <c r="N94" s="6">
        <v>2020.0</v>
      </c>
      <c r="O94" s="10">
        <f t="shared" ref="O94:R94" si="106">IFERROR(V94*INDEX($AH$4:$AH$8,MATCH($AA94,$AG$4:$AG$8,0)),"")</f>
        <v>19950000</v>
      </c>
      <c r="P94" s="10">
        <f t="shared" si="106"/>
        <v>16661020.51</v>
      </c>
      <c r="Q94" s="10">
        <f t="shared" si="106"/>
        <v>197811.98</v>
      </c>
      <c r="R94" s="10">
        <f t="shared" si="106"/>
        <v>19276381</v>
      </c>
      <c r="S94" s="10">
        <f t="shared" si="4"/>
        <v>19474192.98</v>
      </c>
      <c r="T94" s="10">
        <f t="shared" si="5"/>
        <v>1038979.49</v>
      </c>
      <c r="U94" s="8">
        <v>46112.0</v>
      </c>
      <c r="V94" s="7">
        <v>1.995E7</v>
      </c>
      <c r="W94" s="7">
        <v>1.666102051E7</v>
      </c>
      <c r="X94" s="7">
        <v>197811.98</v>
      </c>
      <c r="Y94" s="7">
        <v>1.9276381E7</v>
      </c>
      <c r="Z94" s="7">
        <v>1038979.49</v>
      </c>
      <c r="AA94" s="6" t="s">
        <v>52</v>
      </c>
      <c r="AB94" s="11" t="str">
        <f t="shared" si="6"/>
        <v>Include</v>
      </c>
      <c r="AC94" s="1">
        <f t="shared" si="103"/>
        <v>1.168847549</v>
      </c>
    </row>
    <row r="95" ht="15.0" customHeight="1">
      <c r="B95" s="6">
        <f t="shared" si="8"/>
        <v>93</v>
      </c>
      <c r="C95" s="1" t="s">
        <v>243</v>
      </c>
      <c r="D95" s="1" t="str">
        <f t="shared" si="2"/>
        <v>Private Equity</v>
      </c>
      <c r="E95" s="1" t="s">
        <v>43</v>
      </c>
      <c r="F95" s="1" t="s">
        <v>43</v>
      </c>
      <c r="G95" s="1" t="s">
        <v>243</v>
      </c>
      <c r="H95" s="1" t="s">
        <v>125</v>
      </c>
      <c r="I95" s="1" t="s">
        <v>38</v>
      </c>
      <c r="J95" s="1" t="s">
        <v>121</v>
      </c>
      <c r="K95" s="1" t="s">
        <v>122</v>
      </c>
      <c r="L95" s="1" t="s">
        <v>127</v>
      </c>
      <c r="N95" s="6">
        <v>2020.0</v>
      </c>
      <c r="O95" s="10">
        <f t="shared" ref="O95:R95" si="107">IFERROR(V95*INDEX($AH$4:$AH$8,MATCH($AA95,$AG$4:$AG$8,0)),"")</f>
        <v>17332650</v>
      </c>
      <c r="P95" s="10">
        <f t="shared" si="107"/>
        <v>18558884.49</v>
      </c>
      <c r="Q95" s="10">
        <f t="shared" si="107"/>
        <v>37856439.22</v>
      </c>
      <c r="R95" s="10">
        <f t="shared" si="107"/>
        <v>1484004.16</v>
      </c>
      <c r="S95" s="10">
        <f t="shared" si="4"/>
        <v>39340443.38</v>
      </c>
      <c r="T95" s="10">
        <f t="shared" si="5"/>
        <v>0.808857</v>
      </c>
      <c r="U95" s="8">
        <v>46112.0</v>
      </c>
      <c r="V95" s="7">
        <v>1.5E7</v>
      </c>
      <c r="W95" s="7">
        <v>1.60612063E7</v>
      </c>
      <c r="X95" s="7">
        <v>3.276167166E7</v>
      </c>
      <c r="Y95" s="7">
        <v>1284285.0</v>
      </c>
      <c r="Z95" s="7">
        <v>0.7</v>
      </c>
      <c r="AA95" s="6" t="s">
        <v>45</v>
      </c>
      <c r="AB95" s="11" t="str">
        <f t="shared" si="6"/>
        <v>Include</v>
      </c>
      <c r="AC95" s="1">
        <f t="shared" si="103"/>
        <v>2.119763362</v>
      </c>
    </row>
    <row r="96" ht="15.0" customHeight="1">
      <c r="B96" s="6">
        <f t="shared" si="8"/>
        <v>94</v>
      </c>
      <c r="C96" s="1" t="s">
        <v>244</v>
      </c>
      <c r="D96" s="1" t="str">
        <f t="shared" si="2"/>
        <v>VC &amp; Growth</v>
      </c>
      <c r="E96" s="1" t="s">
        <v>270</v>
      </c>
      <c r="F96" s="1" t="s">
        <v>43</v>
      </c>
      <c r="G96" s="1" t="s">
        <v>244</v>
      </c>
      <c r="H96" s="1" t="s">
        <v>245</v>
      </c>
      <c r="I96" s="1" t="s">
        <v>38</v>
      </c>
      <c r="J96" s="1" t="s">
        <v>126</v>
      </c>
      <c r="K96" s="1" t="s">
        <v>126</v>
      </c>
      <c r="L96" s="1" t="s">
        <v>126</v>
      </c>
      <c r="N96" s="6">
        <v>2021.0</v>
      </c>
      <c r="O96" s="10">
        <f t="shared" ref="O96:R96" si="108">IFERROR(V96*INDEX($AH$4:$AH$8,MATCH($AA96,$AG$4:$AG$8,0)),"")</f>
        <v>20000000</v>
      </c>
      <c r="P96" s="10">
        <f t="shared" si="108"/>
        <v>20000000</v>
      </c>
      <c r="Q96" s="10">
        <f t="shared" si="108"/>
        <v>0</v>
      </c>
      <c r="R96" s="10">
        <f t="shared" si="108"/>
        <v>31276215</v>
      </c>
      <c r="S96" s="10">
        <f t="shared" si="4"/>
        <v>31276215</v>
      </c>
      <c r="T96" s="10">
        <f t="shared" si="5"/>
        <v>0</v>
      </c>
      <c r="U96" s="8">
        <v>46112.0</v>
      </c>
      <c r="V96" s="7">
        <v>2.0E7</v>
      </c>
      <c r="W96" s="7">
        <v>2.0E7</v>
      </c>
      <c r="X96" s="7">
        <v>0.0</v>
      </c>
      <c r="Y96" s="7">
        <v>3.1276215E7</v>
      </c>
      <c r="Z96" s="7">
        <v>0.0</v>
      </c>
      <c r="AA96" s="6" t="s">
        <v>52</v>
      </c>
      <c r="AB96" s="11" t="str">
        <f t="shared" si="6"/>
        <v>Include</v>
      </c>
      <c r="AC96" s="1">
        <f t="shared" si="103"/>
        <v>1.56381075</v>
      </c>
    </row>
    <row r="97" ht="15.0" customHeight="1">
      <c r="B97" s="6">
        <f t="shared" si="8"/>
        <v>95</v>
      </c>
      <c r="C97" s="1" t="s">
        <v>246</v>
      </c>
      <c r="D97" s="1" t="str">
        <f t="shared" si="2"/>
        <v>Private Equity</v>
      </c>
      <c r="E97" s="1" t="s">
        <v>43</v>
      </c>
      <c r="F97" s="1" t="s">
        <v>43</v>
      </c>
      <c r="G97" s="1" t="s">
        <v>246</v>
      </c>
      <c r="H97" s="1" t="s">
        <v>179</v>
      </c>
      <c r="I97" s="1" t="s">
        <v>38</v>
      </c>
      <c r="J97" s="1" t="s">
        <v>121</v>
      </c>
      <c r="K97" s="1" t="s">
        <v>122</v>
      </c>
      <c r="L97" s="1" t="s">
        <v>180</v>
      </c>
      <c r="N97" s="6">
        <v>2021.0</v>
      </c>
      <c r="O97" s="10">
        <f t="shared" ref="O97:R97" si="109">IFERROR(V97*INDEX($AH$4:$AH$8,MATCH($AA97,$AG$4:$AG$8,0)),"")</f>
        <v>60620056.15</v>
      </c>
      <c r="P97" s="10">
        <f t="shared" si="109"/>
        <v>50787096.42</v>
      </c>
      <c r="Q97" s="10">
        <f t="shared" si="109"/>
        <v>0</v>
      </c>
      <c r="R97" s="10">
        <f t="shared" si="109"/>
        <v>67517975</v>
      </c>
      <c r="S97" s="10">
        <f t="shared" si="4"/>
        <v>67517975</v>
      </c>
      <c r="T97" s="10">
        <f t="shared" si="5"/>
        <v>9832959.73</v>
      </c>
      <c r="U97" s="8">
        <v>46112.0</v>
      </c>
      <c r="V97" s="7">
        <v>6.062005615E7</v>
      </c>
      <c r="W97" s="7">
        <v>5.078709642E7</v>
      </c>
      <c r="X97" s="7">
        <v>0.0</v>
      </c>
      <c r="Y97" s="7">
        <v>6.7517975E7</v>
      </c>
      <c r="Z97" s="7">
        <v>9832959.73</v>
      </c>
      <c r="AA97" s="6" t="s">
        <v>52</v>
      </c>
      <c r="AB97" s="11" t="str">
        <f t="shared" si="6"/>
        <v>Include</v>
      </c>
      <c r="AC97" s="1">
        <f t="shared" si="103"/>
        <v>1.329431682</v>
      </c>
    </row>
    <row r="98" ht="15.0" customHeight="1">
      <c r="B98" s="6">
        <f t="shared" si="8"/>
        <v>96</v>
      </c>
      <c r="C98" s="1" t="s">
        <v>247</v>
      </c>
      <c r="D98" s="1" t="str">
        <f t="shared" si="2"/>
        <v>Private Equity</v>
      </c>
      <c r="E98" s="1" t="s">
        <v>43</v>
      </c>
      <c r="F98" s="1" t="s">
        <v>43</v>
      </c>
      <c r="G98" s="1" t="s">
        <v>247</v>
      </c>
      <c r="H98" s="1" t="s">
        <v>208</v>
      </c>
      <c r="I98" s="1" t="s">
        <v>38</v>
      </c>
      <c r="J98" s="1" t="s">
        <v>121</v>
      </c>
      <c r="K98" s="1" t="s">
        <v>122</v>
      </c>
      <c r="L98" s="1" t="s">
        <v>132</v>
      </c>
      <c r="N98" s="6">
        <v>2021.0</v>
      </c>
      <c r="O98" s="10">
        <f t="shared" ref="O98:R98" si="110">IFERROR(V98*INDEX($AH$4:$AH$8,MATCH($AA98,$AG$4:$AG$8,0)),"")</f>
        <v>30000000</v>
      </c>
      <c r="P98" s="10">
        <f t="shared" si="110"/>
        <v>30244302</v>
      </c>
      <c r="Q98" s="10">
        <f t="shared" si="110"/>
        <v>8100807</v>
      </c>
      <c r="R98" s="10">
        <f t="shared" si="110"/>
        <v>24054996</v>
      </c>
      <c r="S98" s="10">
        <f t="shared" si="4"/>
        <v>32155803</v>
      </c>
      <c r="T98" s="10">
        <f t="shared" si="5"/>
        <v>0</v>
      </c>
      <c r="U98" s="8">
        <v>46112.0</v>
      </c>
      <c r="V98" s="7">
        <v>3.0E7</v>
      </c>
      <c r="W98" s="7">
        <v>3.0244302E7</v>
      </c>
      <c r="X98" s="7">
        <v>8100807.0</v>
      </c>
      <c r="Y98" s="7">
        <v>2.4054996E7</v>
      </c>
      <c r="Z98" s="7">
        <v>0.0</v>
      </c>
      <c r="AA98" s="6" t="s">
        <v>52</v>
      </c>
      <c r="AB98" s="11" t="str">
        <f t="shared" si="6"/>
        <v>Include</v>
      </c>
      <c r="AC98" s="1">
        <f t="shared" si="103"/>
        <v>1.063202021</v>
      </c>
    </row>
    <row r="99" ht="15.0" customHeight="1">
      <c r="B99" s="6">
        <f t="shared" si="8"/>
        <v>97</v>
      </c>
      <c r="C99" s="1" t="s">
        <v>248</v>
      </c>
      <c r="D99" s="1" t="str">
        <f t="shared" si="2"/>
        <v>Private Equity</v>
      </c>
      <c r="E99" s="1" t="s">
        <v>43</v>
      </c>
      <c r="F99" s="1" t="s">
        <v>43</v>
      </c>
      <c r="G99" s="1" t="s">
        <v>248</v>
      </c>
      <c r="H99" s="1" t="s">
        <v>88</v>
      </c>
      <c r="I99" s="1" t="s">
        <v>38</v>
      </c>
      <c r="J99" s="1" t="s">
        <v>121</v>
      </c>
      <c r="K99" s="1" t="s">
        <v>122</v>
      </c>
      <c r="L99" s="1" t="s">
        <v>180</v>
      </c>
      <c r="N99" s="6">
        <v>2021.0</v>
      </c>
      <c r="O99" s="10">
        <f t="shared" ref="O99:R99" si="111">IFERROR(V99*INDEX($AH$4:$AH$8,MATCH($AA99,$AG$4:$AG$8,0)),"")</f>
        <v>20000000</v>
      </c>
      <c r="P99" s="10">
        <f t="shared" si="111"/>
        <v>14567221.83</v>
      </c>
      <c r="Q99" s="10">
        <f t="shared" si="111"/>
        <v>3225764.24</v>
      </c>
      <c r="R99" s="10">
        <f t="shared" si="111"/>
        <v>19638070</v>
      </c>
      <c r="S99" s="10">
        <f t="shared" si="4"/>
        <v>22863834.24</v>
      </c>
      <c r="T99" s="10">
        <f t="shared" si="5"/>
        <v>8658120.86</v>
      </c>
      <c r="U99" s="8">
        <v>46112.0</v>
      </c>
      <c r="V99" s="7">
        <v>2.0E7</v>
      </c>
      <c r="W99" s="7">
        <v>1.456722183E7</v>
      </c>
      <c r="X99" s="7">
        <v>3225764.24</v>
      </c>
      <c r="Y99" s="7">
        <v>1.963807E7</v>
      </c>
      <c r="Z99" s="7">
        <v>8658120.86</v>
      </c>
      <c r="AA99" s="6" t="s">
        <v>52</v>
      </c>
      <c r="AB99" s="11" t="str">
        <f t="shared" si="6"/>
        <v>Include</v>
      </c>
      <c r="AC99" s="1">
        <f t="shared" si="103"/>
        <v>1.569539786</v>
      </c>
    </row>
    <row r="100" ht="15.0" customHeight="1">
      <c r="B100" s="6">
        <f t="shared" si="8"/>
        <v>98</v>
      </c>
      <c r="C100" s="1" t="s">
        <v>249</v>
      </c>
      <c r="D100" s="1" t="str">
        <f t="shared" si="2"/>
        <v>Private Equity</v>
      </c>
      <c r="E100" s="1" t="s">
        <v>43</v>
      </c>
      <c r="F100" s="1" t="s">
        <v>43</v>
      </c>
      <c r="G100" s="1" t="s">
        <v>249</v>
      </c>
      <c r="H100" s="1" t="s">
        <v>137</v>
      </c>
      <c r="I100" s="1" t="s">
        <v>38</v>
      </c>
      <c r="J100" s="1" t="s">
        <v>121</v>
      </c>
      <c r="K100" s="1" t="s">
        <v>122</v>
      </c>
      <c r="L100" s="1" t="s">
        <v>180</v>
      </c>
      <c r="N100" s="6">
        <v>2021.0</v>
      </c>
      <c r="O100" s="10">
        <f t="shared" ref="O100:R100" si="112">IFERROR(V100*INDEX($AH$4:$AH$8,MATCH($AA100,$AG$4:$AG$8,0)),"")</f>
        <v>20000000</v>
      </c>
      <c r="P100" s="10">
        <f t="shared" si="112"/>
        <v>20325204</v>
      </c>
      <c r="Q100" s="10">
        <f t="shared" si="112"/>
        <v>39281258</v>
      </c>
      <c r="R100" s="10">
        <f t="shared" si="112"/>
        <v>88049899</v>
      </c>
      <c r="S100" s="10">
        <f t="shared" si="4"/>
        <v>127331157</v>
      </c>
      <c r="T100" s="10">
        <f t="shared" si="5"/>
        <v>0</v>
      </c>
      <c r="U100" s="8">
        <v>46112.0</v>
      </c>
      <c r="V100" s="7">
        <v>2.0E7</v>
      </c>
      <c r="W100" s="7">
        <v>2.0325204E7</v>
      </c>
      <c r="X100" s="7">
        <v>3.9281258E7</v>
      </c>
      <c r="Y100" s="7">
        <v>8.8049899E7</v>
      </c>
      <c r="Z100" s="7">
        <v>0.0</v>
      </c>
      <c r="AA100" s="6" t="s">
        <v>52</v>
      </c>
      <c r="AB100" s="11" t="str">
        <f t="shared" si="6"/>
        <v>Include</v>
      </c>
      <c r="AC100" s="1">
        <f t="shared" si="103"/>
        <v>6.264692694</v>
      </c>
    </row>
    <row r="101" ht="15.0" customHeight="1">
      <c r="B101" s="6">
        <f t="shared" si="8"/>
        <v>99</v>
      </c>
      <c r="C101" s="1" t="s">
        <v>250</v>
      </c>
      <c r="D101" s="1" t="str">
        <f t="shared" si="2"/>
        <v>VC &amp; Growth</v>
      </c>
      <c r="E101" s="1" t="s">
        <v>270</v>
      </c>
      <c r="F101" s="1" t="s">
        <v>43</v>
      </c>
      <c r="G101" s="1" t="s">
        <v>250</v>
      </c>
      <c r="H101" s="1" t="s">
        <v>208</v>
      </c>
      <c r="I101" s="1" t="s">
        <v>38</v>
      </c>
      <c r="J101" s="1" t="s">
        <v>126</v>
      </c>
      <c r="K101" s="1" t="s">
        <v>126</v>
      </c>
      <c r="L101" s="1" t="s">
        <v>126</v>
      </c>
      <c r="N101" s="6">
        <v>2021.0</v>
      </c>
      <c r="O101" s="10">
        <f t="shared" ref="O101:R101" si="113">IFERROR(V101*INDEX($AH$4:$AH$8,MATCH($AA101,$AG$4:$AG$8,0)),"")</f>
        <v>15000000</v>
      </c>
      <c r="P101" s="10">
        <f t="shared" si="113"/>
        <v>13949111.29</v>
      </c>
      <c r="Q101" s="10">
        <f t="shared" si="113"/>
        <v>0</v>
      </c>
      <c r="R101" s="10">
        <f t="shared" si="113"/>
        <v>18558110</v>
      </c>
      <c r="S101" s="10">
        <f t="shared" si="4"/>
        <v>18558110</v>
      </c>
      <c r="T101" s="10">
        <f t="shared" si="5"/>
        <v>0</v>
      </c>
      <c r="U101" s="8">
        <v>46112.0</v>
      </c>
      <c r="V101" s="7">
        <v>1.5E7</v>
      </c>
      <c r="W101" s="7">
        <v>1.394911129E7</v>
      </c>
      <c r="X101" s="7">
        <v>0.0</v>
      </c>
      <c r="Y101" s="7">
        <v>1.855811E7</v>
      </c>
      <c r="Z101" s="7">
        <v>0.0</v>
      </c>
      <c r="AA101" s="6" t="s">
        <v>52</v>
      </c>
      <c r="AB101" s="11" t="str">
        <f t="shared" si="6"/>
        <v>Include</v>
      </c>
      <c r="AC101" s="1">
        <f t="shared" si="103"/>
        <v>1.330415222</v>
      </c>
    </row>
    <row r="102" ht="15.0" customHeight="1">
      <c r="B102" s="6">
        <f t="shared" si="8"/>
        <v>100</v>
      </c>
      <c r="C102" s="1" t="s">
        <v>251</v>
      </c>
      <c r="D102" s="1" t="str">
        <f t="shared" si="2"/>
        <v>Private Equity</v>
      </c>
      <c r="E102" s="1" t="s">
        <v>43</v>
      </c>
      <c r="F102" s="1" t="s">
        <v>43</v>
      </c>
      <c r="G102" s="1" t="s">
        <v>252</v>
      </c>
      <c r="H102" s="1" t="s">
        <v>214</v>
      </c>
      <c r="I102" s="1" t="s">
        <v>38</v>
      </c>
      <c r="J102" s="1" t="s">
        <v>121</v>
      </c>
      <c r="K102" s="1" t="s">
        <v>122</v>
      </c>
      <c r="L102" s="1" t="s">
        <v>180</v>
      </c>
      <c r="N102" s="6">
        <v>2021.0</v>
      </c>
      <c r="O102" s="10">
        <f t="shared" ref="O102:R102" si="114">IFERROR(V102*INDEX($AH$4:$AH$8,MATCH($AA102,$AG$4:$AG$8,0)),"")</f>
        <v>40000000</v>
      </c>
      <c r="P102" s="10">
        <f t="shared" si="114"/>
        <v>32000000</v>
      </c>
      <c r="Q102" s="10">
        <f t="shared" si="114"/>
        <v>60126994</v>
      </c>
      <c r="R102" s="10">
        <f t="shared" si="114"/>
        <v>35773403</v>
      </c>
      <c r="S102" s="10">
        <f t="shared" si="4"/>
        <v>95900397</v>
      </c>
      <c r="T102" s="10">
        <f t="shared" si="5"/>
        <v>8000000</v>
      </c>
      <c r="U102" s="8">
        <v>46112.0</v>
      </c>
      <c r="V102" s="7">
        <v>4.0E7</v>
      </c>
      <c r="W102" s="7">
        <v>3.2E7</v>
      </c>
      <c r="X102" s="7">
        <v>6.0126994E7</v>
      </c>
      <c r="Y102" s="7">
        <v>3.5773403E7</v>
      </c>
      <c r="Z102" s="7">
        <v>8000000.0</v>
      </c>
      <c r="AA102" s="6" t="s">
        <v>52</v>
      </c>
      <c r="AB102" s="11" t="str">
        <f t="shared" si="6"/>
        <v>Include</v>
      </c>
      <c r="AC102" s="1">
        <f t="shared" si="103"/>
        <v>2.996887406</v>
      </c>
    </row>
    <row r="103" ht="15.0" customHeight="1">
      <c r="B103" s="6">
        <f t="shared" si="8"/>
        <v>101</v>
      </c>
      <c r="C103" s="1" t="s">
        <v>253</v>
      </c>
      <c r="D103" s="1" t="str">
        <f t="shared" si="2"/>
        <v>Private Equity</v>
      </c>
      <c r="E103" s="1" t="s">
        <v>43</v>
      </c>
      <c r="F103" s="1" t="s">
        <v>43</v>
      </c>
      <c r="G103" s="1" t="s">
        <v>253</v>
      </c>
      <c r="H103" s="1" t="s">
        <v>91</v>
      </c>
      <c r="I103" s="1" t="s">
        <v>38</v>
      </c>
      <c r="J103" s="1" t="s">
        <v>121</v>
      </c>
      <c r="K103" s="1" t="s">
        <v>122</v>
      </c>
      <c r="L103" s="1" t="s">
        <v>180</v>
      </c>
      <c r="N103" s="6">
        <v>2022.0</v>
      </c>
      <c r="O103" s="10">
        <f t="shared" ref="O103:R103" si="115">IFERROR(V103*INDEX($AH$4:$AH$8,MATCH($AA103,$AG$4:$AG$8,0)),"")</f>
        <v>35437500</v>
      </c>
      <c r="P103" s="10">
        <f t="shared" si="115"/>
        <v>32397875.38</v>
      </c>
      <c r="Q103" s="10">
        <f t="shared" si="115"/>
        <v>0</v>
      </c>
      <c r="R103" s="10">
        <f t="shared" si="115"/>
        <v>7151516</v>
      </c>
      <c r="S103" s="10">
        <f t="shared" si="4"/>
        <v>7151516</v>
      </c>
      <c r="T103" s="10">
        <f t="shared" si="5"/>
        <v>-0.36</v>
      </c>
      <c r="U103" s="8">
        <v>46112.0</v>
      </c>
      <c r="V103" s="7">
        <v>3.54375E7</v>
      </c>
      <c r="W103" s="7">
        <v>3.239787538E7</v>
      </c>
      <c r="X103" s="7">
        <v>0.0</v>
      </c>
      <c r="Y103" s="7">
        <v>7151516.0</v>
      </c>
      <c r="Z103" s="7">
        <v>-0.36</v>
      </c>
      <c r="AA103" s="6" t="s">
        <v>52</v>
      </c>
      <c r="AB103" s="11" t="str">
        <f t="shared" si="6"/>
        <v>Include</v>
      </c>
      <c r="AC103" s="1">
        <f t="shared" si="103"/>
        <v>0.2207402774</v>
      </c>
    </row>
    <row r="104" ht="15.0" customHeight="1">
      <c r="B104" s="6">
        <f t="shared" si="8"/>
        <v>102</v>
      </c>
      <c r="C104" s="1" t="s">
        <v>254</v>
      </c>
      <c r="D104" s="1" t="str">
        <f t="shared" si="2"/>
        <v>Private Equity</v>
      </c>
      <c r="E104" s="1" t="s">
        <v>43</v>
      </c>
      <c r="F104" s="1" t="s">
        <v>43</v>
      </c>
      <c r="G104" s="1" t="s">
        <v>255</v>
      </c>
      <c r="H104" s="1" t="s">
        <v>88</v>
      </c>
      <c r="I104" s="1" t="s">
        <v>38</v>
      </c>
      <c r="J104" s="1" t="s">
        <v>121</v>
      </c>
      <c r="K104" s="1" t="s">
        <v>122</v>
      </c>
      <c r="L104" s="1" t="s">
        <v>180</v>
      </c>
      <c r="N104" s="6">
        <v>2022.0</v>
      </c>
      <c r="O104" s="10">
        <f t="shared" ref="O104:R104" si="116">IFERROR(V104*INDEX($AH$4:$AH$8,MATCH($AA104,$AG$4:$AG$8,0)),"")</f>
        <v>41400000</v>
      </c>
      <c r="P104" s="10">
        <f t="shared" si="116"/>
        <v>31680682.34</v>
      </c>
      <c r="Q104" s="10">
        <f t="shared" si="116"/>
        <v>326924</v>
      </c>
      <c r="R104" s="10">
        <f t="shared" si="116"/>
        <v>31318689</v>
      </c>
      <c r="S104" s="10">
        <f t="shared" si="4"/>
        <v>31645613</v>
      </c>
      <c r="T104" s="10">
        <f t="shared" si="5"/>
        <v>9759304.07</v>
      </c>
      <c r="U104" s="8">
        <v>46112.0</v>
      </c>
      <c r="V104" s="7">
        <v>4.14E7</v>
      </c>
      <c r="W104" s="7">
        <v>3.168068234E7</v>
      </c>
      <c r="X104" s="7">
        <v>326924.0</v>
      </c>
      <c r="Y104" s="7">
        <v>3.1318689E7</v>
      </c>
      <c r="Z104" s="7">
        <v>9759304.07</v>
      </c>
      <c r="AA104" s="6" t="s">
        <v>52</v>
      </c>
      <c r="AB104" s="11" t="str">
        <f t="shared" si="6"/>
        <v>Include</v>
      </c>
      <c r="AC104" s="1">
        <f t="shared" si="103"/>
        <v>0.9988930371</v>
      </c>
    </row>
    <row r="105" ht="15.0" customHeight="1">
      <c r="B105" s="6">
        <f t="shared" si="8"/>
        <v>103</v>
      </c>
      <c r="C105" s="1" t="s">
        <v>256</v>
      </c>
      <c r="D105" s="1" t="str">
        <f t="shared" si="2"/>
        <v>Private Equity</v>
      </c>
      <c r="E105" s="1" t="s">
        <v>43</v>
      </c>
      <c r="F105" s="1" t="s">
        <v>43</v>
      </c>
      <c r="G105" s="1" t="s">
        <v>257</v>
      </c>
      <c r="H105" s="1" t="s">
        <v>258</v>
      </c>
      <c r="I105" s="1" t="s">
        <v>38</v>
      </c>
      <c r="J105" s="1" t="s">
        <v>121</v>
      </c>
      <c r="K105" s="1" t="s">
        <v>122</v>
      </c>
      <c r="L105" s="1" t="s">
        <v>127</v>
      </c>
      <c r="N105" s="6">
        <v>2021.0</v>
      </c>
      <c r="O105" s="10">
        <f t="shared" ref="O105:R105" si="117">IFERROR(V105*INDEX($AH$4:$AH$8,MATCH($AA105,$AG$4:$AG$8,0)),"")</f>
        <v>37500000</v>
      </c>
      <c r="P105" s="10">
        <f t="shared" si="117"/>
        <v>31184839</v>
      </c>
      <c r="Q105" s="10">
        <f t="shared" si="117"/>
        <v>92752744</v>
      </c>
      <c r="R105" s="10">
        <f t="shared" si="117"/>
        <v>0</v>
      </c>
      <c r="S105" s="10">
        <f t="shared" si="4"/>
        <v>92752744</v>
      </c>
      <c r="T105" s="10">
        <f t="shared" si="5"/>
        <v>0</v>
      </c>
      <c r="U105" s="8">
        <v>46022.0</v>
      </c>
      <c r="V105" s="7">
        <v>3.75E7</v>
      </c>
      <c r="W105" s="7">
        <v>3.1184839E7</v>
      </c>
      <c r="X105" s="7">
        <v>9.2752744E7</v>
      </c>
      <c r="Y105" s="7">
        <v>0.0</v>
      </c>
      <c r="Z105" s="7">
        <v>0.0</v>
      </c>
      <c r="AA105" s="6" t="s">
        <v>52</v>
      </c>
      <c r="AB105" s="11" t="str">
        <f t="shared" si="6"/>
        <v>Exclude</v>
      </c>
    </row>
    <row r="106" ht="15.0" customHeight="1">
      <c r="B106" s="6">
        <f t="shared" si="8"/>
        <v>104</v>
      </c>
      <c r="C106" s="1" t="s">
        <v>259</v>
      </c>
      <c r="D106" s="1" t="str">
        <f t="shared" si="2"/>
        <v>VC &amp; Growth</v>
      </c>
      <c r="E106" s="1" t="s">
        <v>270</v>
      </c>
      <c r="F106" s="1" t="s">
        <v>43</v>
      </c>
      <c r="G106" s="1" t="s">
        <v>259</v>
      </c>
      <c r="H106" s="1" t="s">
        <v>227</v>
      </c>
      <c r="I106" s="1" t="s">
        <v>38</v>
      </c>
      <c r="J106" s="1" t="s">
        <v>121</v>
      </c>
      <c r="K106" s="1" t="s">
        <v>122</v>
      </c>
      <c r="L106" s="1" t="s">
        <v>127</v>
      </c>
      <c r="N106" s="6">
        <v>2022.0</v>
      </c>
      <c r="O106" s="10">
        <f t="shared" ref="O106:R106" si="118">IFERROR(V106*INDEX($AH$4:$AH$8,MATCH($AA106,$AG$4:$AG$8,0)),"")</f>
        <v>41200000</v>
      </c>
      <c r="P106" s="10">
        <f t="shared" si="118"/>
        <v>40058675.45</v>
      </c>
      <c r="Q106" s="10">
        <f t="shared" si="118"/>
        <v>0</v>
      </c>
      <c r="R106" s="10">
        <f t="shared" si="118"/>
        <v>53462559.41</v>
      </c>
      <c r="S106" s="10">
        <f t="shared" si="4"/>
        <v>53462559.41</v>
      </c>
      <c r="T106" s="10">
        <f t="shared" si="5"/>
        <v>1141324.55</v>
      </c>
      <c r="U106" s="8">
        <v>46112.0</v>
      </c>
      <c r="V106" s="7">
        <v>4.12E7</v>
      </c>
      <c r="W106" s="7">
        <v>4.005867545E7</v>
      </c>
      <c r="X106" s="7">
        <v>0.0</v>
      </c>
      <c r="Y106" s="7">
        <v>5.346255941E7</v>
      </c>
      <c r="Z106" s="7">
        <v>1141324.55</v>
      </c>
      <c r="AA106" s="6" t="s">
        <v>52</v>
      </c>
      <c r="AB106" s="11" t="str">
        <f t="shared" si="6"/>
        <v>Include</v>
      </c>
      <c r="AC106" s="1">
        <f t="shared" ref="AC106:AC112" si="120">S106/P106</f>
        <v>1.33460627</v>
      </c>
    </row>
    <row r="107" ht="15.0" customHeight="1">
      <c r="B107" s="6">
        <f t="shared" si="8"/>
        <v>105</v>
      </c>
      <c r="C107" s="1" t="s">
        <v>260</v>
      </c>
      <c r="D107" s="1" t="str">
        <f t="shared" si="2"/>
        <v>Private Equity</v>
      </c>
      <c r="E107" s="1" t="s">
        <v>43</v>
      </c>
      <c r="F107" s="1" t="s">
        <v>43</v>
      </c>
      <c r="G107" s="1" t="s">
        <v>260</v>
      </c>
      <c r="H107" s="1" t="s">
        <v>137</v>
      </c>
      <c r="I107" s="1" t="s">
        <v>38</v>
      </c>
      <c r="J107" s="1" t="s">
        <v>121</v>
      </c>
      <c r="K107" s="1" t="s">
        <v>122</v>
      </c>
      <c r="L107" s="1" t="s">
        <v>127</v>
      </c>
      <c r="N107" s="6">
        <v>2022.0</v>
      </c>
      <c r="O107" s="10">
        <f t="shared" ref="O107:R107" si="119">IFERROR(V107*INDEX($AH$4:$AH$8,MATCH($AA107,$AG$4:$AG$8,0)),"")</f>
        <v>20000000</v>
      </c>
      <c r="P107" s="10">
        <f t="shared" si="119"/>
        <v>20348718</v>
      </c>
      <c r="Q107" s="10">
        <f t="shared" si="119"/>
        <v>0</v>
      </c>
      <c r="R107" s="10">
        <f t="shared" si="119"/>
        <v>15982909</v>
      </c>
      <c r="S107" s="10">
        <f t="shared" si="4"/>
        <v>15982909</v>
      </c>
      <c r="T107" s="10">
        <f t="shared" si="5"/>
        <v>0</v>
      </c>
      <c r="U107" s="8">
        <v>46112.0</v>
      </c>
      <c r="V107" s="7">
        <v>2.0E7</v>
      </c>
      <c r="W107" s="7">
        <v>2.0348718E7</v>
      </c>
      <c r="X107" s="7">
        <v>0.0</v>
      </c>
      <c r="Y107" s="7">
        <v>1.5982909E7</v>
      </c>
      <c r="Z107" s="7">
        <v>0.0</v>
      </c>
      <c r="AA107" s="6" t="s">
        <v>52</v>
      </c>
      <c r="AB107" s="11" t="str">
        <f t="shared" si="6"/>
        <v>Include</v>
      </c>
      <c r="AC107" s="1">
        <f t="shared" si="120"/>
        <v>0.7854504151</v>
      </c>
    </row>
    <row r="108" ht="15.0" customHeight="1">
      <c r="B108" s="6">
        <f t="shared" si="8"/>
        <v>106</v>
      </c>
      <c r="C108" s="1" t="s">
        <v>261</v>
      </c>
      <c r="D108" s="1" t="str">
        <f t="shared" si="2"/>
        <v>Private Equity</v>
      </c>
      <c r="E108" s="1" t="s">
        <v>43</v>
      </c>
      <c r="F108" s="1" t="s">
        <v>43</v>
      </c>
      <c r="G108" s="1" t="s">
        <v>261</v>
      </c>
      <c r="H108" s="1" t="s">
        <v>238</v>
      </c>
      <c r="I108" s="1" t="s">
        <v>38</v>
      </c>
      <c r="J108" s="1" t="s">
        <v>121</v>
      </c>
      <c r="K108" s="1" t="s">
        <v>122</v>
      </c>
      <c r="L108" s="1" t="s">
        <v>127</v>
      </c>
      <c r="N108" s="6">
        <v>2022.0</v>
      </c>
      <c r="O108" s="10">
        <f t="shared" ref="O108:R108" si="121">IFERROR(V108*INDEX($AH$4:$AH$8,MATCH($AA108,$AG$4:$AG$8,0)),"")</f>
        <v>21000000</v>
      </c>
      <c r="P108" s="10">
        <f t="shared" si="121"/>
        <v>21525000</v>
      </c>
      <c r="Q108" s="10">
        <f t="shared" si="121"/>
        <v>12260542</v>
      </c>
      <c r="R108" s="10">
        <f t="shared" si="121"/>
        <v>40917965</v>
      </c>
      <c r="S108" s="10">
        <f t="shared" si="4"/>
        <v>53178507</v>
      </c>
      <c r="T108" s="10">
        <f t="shared" si="5"/>
        <v>0</v>
      </c>
      <c r="U108" s="8">
        <v>46112.0</v>
      </c>
      <c r="V108" s="7">
        <v>2.1E7</v>
      </c>
      <c r="W108" s="7">
        <v>2.1525E7</v>
      </c>
      <c r="X108" s="7">
        <v>1.2260542E7</v>
      </c>
      <c r="Y108" s="7">
        <v>4.0917965E7</v>
      </c>
      <c r="Z108" s="7">
        <v>0.0</v>
      </c>
      <c r="AA108" s="6" t="s">
        <v>52</v>
      </c>
      <c r="AB108" s="11" t="str">
        <f t="shared" si="6"/>
        <v>Include</v>
      </c>
      <c r="AC108" s="1">
        <f t="shared" si="120"/>
        <v>2.470546202</v>
      </c>
    </row>
    <row r="109" ht="15.0" customHeight="1">
      <c r="B109" s="6">
        <f t="shared" si="8"/>
        <v>107</v>
      </c>
      <c r="C109" s="1" t="s">
        <v>262</v>
      </c>
      <c r="D109" s="1" t="str">
        <f t="shared" si="2"/>
        <v>VC &amp; Growth</v>
      </c>
      <c r="E109" s="1" t="s">
        <v>270</v>
      </c>
      <c r="F109" s="1" t="s">
        <v>43</v>
      </c>
      <c r="G109" s="1" t="s">
        <v>263</v>
      </c>
      <c r="H109" s="1" t="s">
        <v>208</v>
      </c>
      <c r="I109" s="1" t="s">
        <v>38</v>
      </c>
      <c r="J109" s="1" t="s">
        <v>126</v>
      </c>
      <c r="K109" s="1" t="s">
        <v>126</v>
      </c>
      <c r="L109" s="1" t="s">
        <v>126</v>
      </c>
      <c r="N109" s="6">
        <v>2024.0</v>
      </c>
      <c r="O109" s="10">
        <f t="shared" ref="O109:R109" si="122">IFERROR(V109*INDEX($AH$4:$AH$8,MATCH($AA109,$AG$4:$AG$8,0)),"")</f>
        <v>15000000</v>
      </c>
      <c r="P109" s="10">
        <f t="shared" si="122"/>
        <v>15140769.23</v>
      </c>
      <c r="Q109" s="10">
        <f t="shared" si="122"/>
        <v>0</v>
      </c>
      <c r="R109" s="10">
        <f t="shared" si="122"/>
        <v>21570758</v>
      </c>
      <c r="S109" s="10">
        <f t="shared" si="4"/>
        <v>21570758</v>
      </c>
      <c r="T109" s="10">
        <f t="shared" si="5"/>
        <v>0</v>
      </c>
      <c r="U109" s="8">
        <v>46022.0</v>
      </c>
      <c r="V109" s="7">
        <v>1.5E7</v>
      </c>
      <c r="W109" s="7">
        <v>1.514076923E7</v>
      </c>
      <c r="X109" s="7">
        <v>0.0</v>
      </c>
      <c r="Y109" s="7">
        <v>2.1570758E7</v>
      </c>
      <c r="Z109" s="7">
        <v>0.0</v>
      </c>
      <c r="AA109" s="6" t="s">
        <v>52</v>
      </c>
      <c r="AB109" s="11" t="str">
        <f t="shared" si="6"/>
        <v>Include</v>
      </c>
      <c r="AC109" s="1">
        <f t="shared" si="120"/>
        <v>1.424680455</v>
      </c>
    </row>
    <row r="110" ht="15.0" customHeight="1">
      <c r="B110" s="6">
        <f t="shared" si="8"/>
        <v>108</v>
      </c>
      <c r="C110" s="1" t="s">
        <v>264</v>
      </c>
      <c r="D110" s="1" t="str">
        <f t="shared" si="2"/>
        <v>Private Equity</v>
      </c>
      <c r="E110" s="1" t="s">
        <v>43</v>
      </c>
      <c r="F110" s="1" t="s">
        <v>43</v>
      </c>
      <c r="G110" s="1" t="s">
        <v>264</v>
      </c>
      <c r="H110" s="1" t="s">
        <v>258</v>
      </c>
      <c r="I110" s="1" t="s">
        <v>38</v>
      </c>
      <c r="J110" s="1" t="s">
        <v>121</v>
      </c>
      <c r="K110" s="1" t="s">
        <v>122</v>
      </c>
      <c r="L110" s="1" t="s">
        <v>132</v>
      </c>
      <c r="N110" s="6">
        <v>2024.0</v>
      </c>
      <c r="O110" s="10">
        <f t="shared" ref="O110:R110" si="123">IFERROR(V110*INDEX($AH$4:$AH$8,MATCH($AA110,$AG$4:$AG$8,0)),"")</f>
        <v>35749209</v>
      </c>
      <c r="P110" s="10">
        <f t="shared" si="123"/>
        <v>30296175</v>
      </c>
      <c r="Q110" s="10">
        <f t="shared" si="123"/>
        <v>7605022</v>
      </c>
      <c r="R110" s="10">
        <f t="shared" si="123"/>
        <v>42401778</v>
      </c>
      <c r="S110" s="10">
        <f t="shared" si="4"/>
        <v>50006800</v>
      </c>
      <c r="T110" s="10">
        <f t="shared" si="5"/>
        <v>5453034</v>
      </c>
      <c r="U110" s="8">
        <v>46112.0</v>
      </c>
      <c r="V110" s="7">
        <v>3.5749209E7</v>
      </c>
      <c r="W110" s="7">
        <v>3.0296175E7</v>
      </c>
      <c r="X110" s="7">
        <v>7605022.0</v>
      </c>
      <c r="Y110" s="7">
        <v>4.2401778E7</v>
      </c>
      <c r="Z110" s="7">
        <v>5453034.0</v>
      </c>
      <c r="AA110" s="6" t="s">
        <v>52</v>
      </c>
      <c r="AB110" s="11" t="str">
        <f t="shared" si="6"/>
        <v>Include</v>
      </c>
      <c r="AC110" s="1">
        <f t="shared" si="120"/>
        <v>1.650597806</v>
      </c>
    </row>
    <row r="111" ht="15.0" customHeight="1">
      <c r="B111" s="6">
        <f t="shared" si="8"/>
        <v>109</v>
      </c>
      <c r="C111" s="1" t="s">
        <v>265</v>
      </c>
      <c r="D111" s="1" t="str">
        <f t="shared" si="2"/>
        <v>Private Equity</v>
      </c>
      <c r="E111" s="1" t="s">
        <v>43</v>
      </c>
      <c r="F111" s="1" t="s">
        <v>43</v>
      </c>
      <c r="G111" s="1" t="s">
        <v>266</v>
      </c>
      <c r="H111" s="1" t="s">
        <v>258</v>
      </c>
      <c r="I111" s="1" t="s">
        <v>38</v>
      </c>
      <c r="J111" s="1" t="s">
        <v>121</v>
      </c>
      <c r="K111" s="1" t="s">
        <v>122</v>
      </c>
      <c r="L111" s="1" t="s">
        <v>127</v>
      </c>
      <c r="N111" s="6">
        <v>2025.0</v>
      </c>
      <c r="O111" s="10">
        <f t="shared" ref="O111:R111" si="124">IFERROR(V111*INDEX($AH$4:$AH$8,MATCH($AA111,$AG$4:$AG$8,0)),"")</f>
        <v>10000000</v>
      </c>
      <c r="P111" s="10">
        <f t="shared" si="124"/>
        <v>6196990.01</v>
      </c>
      <c r="Q111" s="10">
        <f t="shared" si="124"/>
        <v>2874913</v>
      </c>
      <c r="R111" s="10">
        <f t="shared" si="124"/>
        <v>6453830</v>
      </c>
      <c r="S111" s="10">
        <f t="shared" si="4"/>
        <v>9328743</v>
      </c>
      <c r="T111" s="10">
        <f t="shared" si="5"/>
        <v>3803009.99</v>
      </c>
      <c r="U111" s="8">
        <v>46112.0</v>
      </c>
      <c r="V111" s="7">
        <v>1.0E7</v>
      </c>
      <c r="W111" s="7">
        <v>6196990.01</v>
      </c>
      <c r="X111" s="7">
        <v>2874913.0</v>
      </c>
      <c r="Y111" s="7">
        <v>6453830.0</v>
      </c>
      <c r="Z111" s="7">
        <v>3803009.99</v>
      </c>
      <c r="AA111" s="6" t="s">
        <v>52</v>
      </c>
      <c r="AB111" s="11" t="str">
        <f t="shared" si="6"/>
        <v>Include</v>
      </c>
      <c r="AC111" s="1">
        <f t="shared" si="120"/>
        <v>1.505366797</v>
      </c>
    </row>
    <row r="112" ht="15.0" customHeight="1">
      <c r="B112" s="6">
        <f t="shared" si="8"/>
        <v>110</v>
      </c>
      <c r="C112" s="1" t="s">
        <v>267</v>
      </c>
      <c r="D112" s="1" t="str">
        <f t="shared" si="2"/>
        <v>Private Equity</v>
      </c>
      <c r="E112" s="1" t="s">
        <v>43</v>
      </c>
      <c r="F112" s="1" t="s">
        <v>43</v>
      </c>
      <c r="G112" s="1" t="s">
        <v>267</v>
      </c>
      <c r="H112" s="1" t="s">
        <v>88</v>
      </c>
      <c r="I112" s="1" t="s">
        <v>38</v>
      </c>
      <c r="J112" s="1" t="s">
        <v>164</v>
      </c>
      <c r="K112" s="1" t="s">
        <v>164</v>
      </c>
      <c r="L112" s="1" t="s">
        <v>164</v>
      </c>
      <c r="N112" s="6">
        <v>2025.0</v>
      </c>
      <c r="O112" s="10">
        <f t="shared" ref="O112:R112" si="125">IFERROR(V112*INDEX($AH$4:$AH$8,MATCH($AA112,$AG$4:$AG$8,0)),"")</f>
        <v>10000000</v>
      </c>
      <c r="P112" s="10">
        <f t="shared" si="125"/>
        <v>7898626.65</v>
      </c>
      <c r="Q112" s="10">
        <f t="shared" si="125"/>
        <v>0</v>
      </c>
      <c r="R112" s="10">
        <f t="shared" si="125"/>
        <v>9911255</v>
      </c>
      <c r="S112" s="10">
        <f t="shared" si="4"/>
        <v>9911255</v>
      </c>
      <c r="T112" s="10">
        <f t="shared" si="5"/>
        <v>2187500</v>
      </c>
      <c r="U112" s="8">
        <v>46112.0</v>
      </c>
      <c r="V112" s="7">
        <v>1.0E7</v>
      </c>
      <c r="W112" s="7">
        <v>7898626.65</v>
      </c>
      <c r="X112" s="7">
        <v>0.0</v>
      </c>
      <c r="Y112" s="7">
        <v>9911255.0</v>
      </c>
      <c r="Z112" s="7">
        <v>2187500.0</v>
      </c>
      <c r="AA112" s="6" t="s">
        <v>52</v>
      </c>
      <c r="AB112" s="11" t="str">
        <f t="shared" si="6"/>
        <v>Include</v>
      </c>
      <c r="AC112" s="1">
        <f t="shared" si="120"/>
        <v>1.254807378</v>
      </c>
    </row>
    <row r="113" ht="15.0" customHeight="1">
      <c r="B113" s="6">
        <f t="shared" si="8"/>
        <v>111</v>
      </c>
      <c r="C113" s="1" t="s">
        <v>268</v>
      </c>
      <c r="D113" s="1" t="str">
        <f t="shared" si="2"/>
        <v>Private Equity</v>
      </c>
      <c r="E113" s="1" t="s">
        <v>43</v>
      </c>
      <c r="F113" s="1" t="s">
        <v>43</v>
      </c>
      <c r="G113" s="1" t="s">
        <v>268</v>
      </c>
      <c r="H113" s="1" t="s">
        <v>269</v>
      </c>
      <c r="I113" s="1" t="s">
        <v>38</v>
      </c>
      <c r="J113" s="1" t="s">
        <v>121</v>
      </c>
      <c r="K113" s="1" t="s">
        <v>122</v>
      </c>
      <c r="L113" s="1" t="s">
        <v>180</v>
      </c>
      <c r="N113" s="6">
        <v>2026.0</v>
      </c>
      <c r="O113" s="10">
        <f t="shared" ref="O113:R113" si="126">IFERROR(V113*INDEX($AH$4:$AH$8,MATCH($AA113,$AG$4:$AG$8,0)),"")</f>
        <v>25000000</v>
      </c>
      <c r="P113" s="10">
        <f t="shared" si="126"/>
        <v>25064480.86</v>
      </c>
      <c r="Q113" s="10">
        <f t="shared" si="126"/>
        <v>0</v>
      </c>
      <c r="R113" s="10">
        <f t="shared" si="126"/>
        <v>0</v>
      </c>
      <c r="S113" s="10">
        <f t="shared" si="4"/>
        <v>0</v>
      </c>
      <c r="T113" s="10">
        <f t="shared" si="5"/>
        <v>0</v>
      </c>
      <c r="U113" s="8"/>
      <c r="V113" s="7">
        <v>2.5E7</v>
      </c>
      <c r="W113" s="7">
        <v>2.506448086E7</v>
      </c>
      <c r="X113" s="7">
        <v>0.0</v>
      </c>
      <c r="Y113" s="7"/>
      <c r="Z113" s="7">
        <v>0.0</v>
      </c>
      <c r="AA113" s="6" t="s">
        <v>52</v>
      </c>
      <c r="AB113" s="11" t="str">
        <f t="shared" si="6"/>
        <v>Exclude</v>
      </c>
    </row>
    <row r="114" ht="15.0" customHeight="1">
      <c r="B114" s="6">
        <f t="shared" si="8"/>
        <v>112</v>
      </c>
      <c r="C114" s="1" t="s">
        <v>271</v>
      </c>
      <c r="D114" s="1" t="str">
        <f t="shared" si="2"/>
        <v>Private Equity</v>
      </c>
      <c r="E114" s="1" t="s">
        <v>43</v>
      </c>
      <c r="F114" s="1" t="s">
        <v>43</v>
      </c>
      <c r="G114" s="1" t="s">
        <v>272</v>
      </c>
      <c r="H114" s="1" t="s">
        <v>273</v>
      </c>
      <c r="I114" s="1" t="s">
        <v>38</v>
      </c>
      <c r="J114" s="1" t="s">
        <v>121</v>
      </c>
      <c r="K114" s="1" t="s">
        <v>274</v>
      </c>
      <c r="L114" s="1" t="s">
        <v>275</v>
      </c>
      <c r="N114" s="6">
        <v>2026.0</v>
      </c>
      <c r="O114" s="10">
        <f t="shared" ref="O114:R114" si="127">IFERROR(V114*INDEX($AH$4:$AH$8,MATCH($AA114,$AG$4:$AG$8,0)),"")</f>
        <v>200000000</v>
      </c>
      <c r="P114" s="10">
        <f t="shared" si="127"/>
        <v>9000000</v>
      </c>
      <c r="Q114" s="10">
        <f t="shared" si="127"/>
        <v>0</v>
      </c>
      <c r="R114" s="10">
        <f t="shared" si="127"/>
        <v>0</v>
      </c>
      <c r="S114" s="10">
        <f t="shared" si="4"/>
        <v>0</v>
      </c>
      <c r="T114" s="10">
        <f t="shared" si="5"/>
        <v>191000000</v>
      </c>
      <c r="U114" s="8"/>
      <c r="V114" s="7">
        <v>2.0E8</v>
      </c>
      <c r="W114" s="7">
        <v>9000000.0</v>
      </c>
      <c r="X114" s="7">
        <v>0.0</v>
      </c>
      <c r="Y114" s="7"/>
      <c r="Z114" s="7">
        <v>1.91E8</v>
      </c>
      <c r="AA114" s="6" t="s">
        <v>52</v>
      </c>
      <c r="AB114" s="11" t="str">
        <f t="shared" si="6"/>
        <v>Exclude</v>
      </c>
    </row>
    <row r="115" ht="15.0" customHeight="1">
      <c r="B115" s="6">
        <f t="shared" si="8"/>
        <v>113</v>
      </c>
      <c r="C115" s="1" t="s">
        <v>276</v>
      </c>
      <c r="D115" s="1" t="str">
        <f t="shared" si="2"/>
        <v>Private Equity</v>
      </c>
      <c r="E115" s="1" t="s">
        <v>43</v>
      </c>
      <c r="F115" s="1" t="s">
        <v>43</v>
      </c>
      <c r="G115" s="1" t="s">
        <v>277</v>
      </c>
      <c r="H115" s="1" t="s">
        <v>273</v>
      </c>
      <c r="I115" s="1" t="s">
        <v>38</v>
      </c>
      <c r="J115" s="1" t="s">
        <v>121</v>
      </c>
      <c r="K115" s="1" t="s">
        <v>274</v>
      </c>
      <c r="L115" s="1" t="s">
        <v>204</v>
      </c>
      <c r="N115" s="6">
        <v>2026.0</v>
      </c>
      <c r="O115" s="10">
        <f t="shared" ref="O115:R115" si="128">IFERROR(V115*INDEX($AH$4:$AH$8,MATCH($AA115,$AG$4:$AG$8,0)),"")</f>
        <v>75250000</v>
      </c>
      <c r="P115" s="10">
        <f t="shared" si="128"/>
        <v>50500000</v>
      </c>
      <c r="Q115" s="10">
        <f t="shared" si="128"/>
        <v>0</v>
      </c>
      <c r="R115" s="10">
        <f t="shared" si="128"/>
        <v>0</v>
      </c>
      <c r="S115" s="10">
        <f t="shared" si="4"/>
        <v>0</v>
      </c>
      <c r="T115" s="10">
        <f t="shared" si="5"/>
        <v>24750000</v>
      </c>
      <c r="U115" s="8"/>
      <c r="V115" s="7">
        <v>7.525E7</v>
      </c>
      <c r="W115" s="7">
        <v>5.05E7</v>
      </c>
      <c r="X115" s="7">
        <v>0.0</v>
      </c>
      <c r="Y115" s="7"/>
      <c r="Z115" s="7">
        <v>2.475E7</v>
      </c>
      <c r="AA115" s="6" t="s">
        <v>52</v>
      </c>
      <c r="AB115" s="11" t="str">
        <f t="shared" si="6"/>
        <v>Exclude</v>
      </c>
    </row>
    <row r="116" ht="15.0" customHeight="1">
      <c r="B116" s="6">
        <f t="shared" si="8"/>
        <v>114</v>
      </c>
      <c r="C116" s="1" t="s">
        <v>278</v>
      </c>
      <c r="D116" s="1" t="str">
        <f t="shared" si="2"/>
        <v>Real Estate &amp; Infra</v>
      </c>
      <c r="E116" s="1" t="s">
        <v>44</v>
      </c>
      <c r="F116" s="1" t="s">
        <v>44</v>
      </c>
      <c r="G116" s="1" t="s">
        <v>278</v>
      </c>
      <c r="H116" s="1" t="s">
        <v>279</v>
      </c>
      <c r="I116" s="1" t="s">
        <v>38</v>
      </c>
      <c r="J116" s="1" t="s">
        <v>280</v>
      </c>
      <c r="K116" s="1" t="s">
        <v>281</v>
      </c>
      <c r="L116" s="1" t="s">
        <v>282</v>
      </c>
      <c r="N116" s="6">
        <v>2013.0</v>
      </c>
      <c r="O116" s="10">
        <f t="shared" ref="O116:R116" si="129">IFERROR(V116*INDEX($AH$4:$AH$8,MATCH($AA116,$AG$4:$AG$8,0)),"")</f>
        <v>15000000</v>
      </c>
      <c r="P116" s="10">
        <f t="shared" si="129"/>
        <v>15000000</v>
      </c>
      <c r="Q116" s="10">
        <f t="shared" si="129"/>
        <v>28413698.43</v>
      </c>
      <c r="R116" s="10">
        <f t="shared" si="129"/>
        <v>0</v>
      </c>
      <c r="S116" s="10">
        <f t="shared" si="4"/>
        <v>28413698.43</v>
      </c>
      <c r="T116" s="10">
        <f t="shared" si="5"/>
        <v>0</v>
      </c>
      <c r="U116" s="8">
        <v>42598.0</v>
      </c>
      <c r="V116" s="7">
        <v>1.5E7</v>
      </c>
      <c r="W116" s="7">
        <v>1.5E7</v>
      </c>
      <c r="X116" s="7">
        <v>2.841369843E7</v>
      </c>
      <c r="Y116" s="7">
        <v>0.0</v>
      </c>
      <c r="Z116" s="7">
        <v>0.0</v>
      </c>
      <c r="AA116" s="6" t="s">
        <v>52</v>
      </c>
      <c r="AB116" s="11" t="str">
        <f t="shared" si="6"/>
        <v>Exclude</v>
      </c>
    </row>
    <row r="117" ht="15.0" customHeight="1">
      <c r="B117" s="6">
        <f t="shared" si="8"/>
        <v>115</v>
      </c>
      <c r="C117" s="1" t="s">
        <v>283</v>
      </c>
      <c r="D117" s="1" t="str">
        <f t="shared" si="2"/>
        <v>Real Estate &amp; Infra</v>
      </c>
      <c r="E117" s="1" t="s">
        <v>44</v>
      </c>
      <c r="F117" s="1" t="s">
        <v>44</v>
      </c>
      <c r="G117" s="1" t="s">
        <v>283</v>
      </c>
      <c r="H117" s="1" t="s">
        <v>37</v>
      </c>
      <c r="I117" s="1" t="s">
        <v>38</v>
      </c>
      <c r="J117" s="1" t="s">
        <v>280</v>
      </c>
      <c r="K117" s="1" t="s">
        <v>281</v>
      </c>
      <c r="L117" s="1" t="s">
        <v>282</v>
      </c>
      <c r="N117" s="6">
        <v>2013.0</v>
      </c>
      <c r="O117" s="10">
        <f t="shared" ref="O117:R117" si="130">IFERROR(V117*INDEX($AH$4:$AH$8,MATCH($AA117,$AG$4:$AG$8,0)),"")</f>
        <v>15000000</v>
      </c>
      <c r="P117" s="10">
        <f t="shared" si="130"/>
        <v>13656851.96</v>
      </c>
      <c r="Q117" s="10">
        <f t="shared" si="130"/>
        <v>29237097.33</v>
      </c>
      <c r="R117" s="10">
        <f t="shared" si="130"/>
        <v>37610</v>
      </c>
      <c r="S117" s="10">
        <f t="shared" si="4"/>
        <v>29274707.33</v>
      </c>
      <c r="T117" s="10">
        <f t="shared" si="5"/>
        <v>109803.04</v>
      </c>
      <c r="U117" s="8">
        <v>46112.0</v>
      </c>
      <c r="V117" s="7">
        <v>1.5E7</v>
      </c>
      <c r="W117" s="7">
        <v>1.365685196E7</v>
      </c>
      <c r="X117" s="7">
        <v>2.923709733E7</v>
      </c>
      <c r="Y117" s="7">
        <v>37610.0</v>
      </c>
      <c r="Z117" s="7">
        <v>109803.04</v>
      </c>
      <c r="AA117" s="6" t="s">
        <v>52</v>
      </c>
      <c r="AB117" s="11" t="str">
        <f t="shared" si="6"/>
        <v>Include</v>
      </c>
      <c r="AC117" s="1">
        <f>S117/P117</f>
        <v>2.143591174</v>
      </c>
    </row>
    <row r="118" ht="15.0" customHeight="1">
      <c r="B118" s="6">
        <f t="shared" si="8"/>
        <v>116</v>
      </c>
      <c r="C118" s="1" t="s">
        <v>284</v>
      </c>
      <c r="D118" s="1" t="str">
        <f t="shared" si="2"/>
        <v>Real Estate &amp; Infra</v>
      </c>
      <c r="E118" s="1" t="s">
        <v>44</v>
      </c>
      <c r="F118" s="1" t="s">
        <v>44</v>
      </c>
      <c r="G118" s="1" t="s">
        <v>284</v>
      </c>
      <c r="H118" s="1" t="s">
        <v>285</v>
      </c>
      <c r="I118" s="1" t="s">
        <v>38</v>
      </c>
      <c r="J118" s="1" t="s">
        <v>280</v>
      </c>
      <c r="K118" s="1" t="s">
        <v>54</v>
      </c>
      <c r="L118" s="1" t="s">
        <v>286</v>
      </c>
      <c r="N118" s="6">
        <v>2014.0</v>
      </c>
      <c r="O118" s="10">
        <f t="shared" ref="O118:R118" si="131">IFERROR(V118*INDEX($AH$4:$AH$8,MATCH($AA118,$AG$4:$AG$8,0)),"")</f>
        <v>1371558</v>
      </c>
      <c r="P118" s="10">
        <f t="shared" si="131"/>
        <v>1371558</v>
      </c>
      <c r="Q118" s="10">
        <f t="shared" si="131"/>
        <v>1502087.66</v>
      </c>
      <c r="R118" s="10">
        <f t="shared" si="131"/>
        <v>0</v>
      </c>
      <c r="S118" s="10">
        <f t="shared" si="4"/>
        <v>1502087.66</v>
      </c>
      <c r="T118" s="10">
        <f t="shared" si="5"/>
        <v>0</v>
      </c>
      <c r="U118" s="8">
        <v>42369.0</v>
      </c>
      <c r="V118" s="7">
        <v>1371558.0</v>
      </c>
      <c r="W118" s="7">
        <v>1371558.0</v>
      </c>
      <c r="X118" s="7">
        <v>1502087.66</v>
      </c>
      <c r="Y118" s="7">
        <v>0.0</v>
      </c>
      <c r="Z118" s="7">
        <v>0.0</v>
      </c>
      <c r="AA118" s="6" t="s">
        <v>52</v>
      </c>
      <c r="AB118" s="11" t="str">
        <f t="shared" si="6"/>
        <v>Exclude</v>
      </c>
    </row>
    <row r="119" ht="15.0" customHeight="1">
      <c r="B119" s="6">
        <f t="shared" si="8"/>
        <v>117</v>
      </c>
      <c r="C119" s="1" t="s">
        <v>287</v>
      </c>
      <c r="D119" s="1" t="str">
        <f t="shared" si="2"/>
        <v>Real Estate &amp; Infra</v>
      </c>
      <c r="E119" s="1" t="s">
        <v>44</v>
      </c>
      <c r="F119" s="1" t="s">
        <v>44</v>
      </c>
      <c r="G119" s="1" t="s">
        <v>287</v>
      </c>
      <c r="H119" s="1" t="s">
        <v>288</v>
      </c>
      <c r="I119" s="1" t="s">
        <v>38</v>
      </c>
      <c r="J119" s="1" t="s">
        <v>280</v>
      </c>
      <c r="K119" s="1" t="s">
        <v>62</v>
      </c>
      <c r="L119" s="1" t="s">
        <v>289</v>
      </c>
      <c r="N119" s="6">
        <v>2014.0</v>
      </c>
      <c r="O119" s="10">
        <f t="shared" ref="O119:R119" si="132">IFERROR(V119*INDEX($AH$4:$AH$8,MATCH($AA119,$AG$4:$AG$8,0)),"")</f>
        <v>15000000</v>
      </c>
      <c r="P119" s="10">
        <f t="shared" si="132"/>
        <v>15318455.5</v>
      </c>
      <c r="Q119" s="10">
        <f t="shared" si="132"/>
        <v>23582846.4</v>
      </c>
      <c r="R119" s="10">
        <f t="shared" si="132"/>
        <v>0</v>
      </c>
      <c r="S119" s="10">
        <f t="shared" si="4"/>
        <v>23582846.4</v>
      </c>
      <c r="T119" s="10">
        <f t="shared" si="5"/>
        <v>0</v>
      </c>
      <c r="U119" s="8">
        <v>42949.0</v>
      </c>
      <c r="V119" s="7">
        <v>1.5E7</v>
      </c>
      <c r="W119" s="7">
        <v>1.53184555E7</v>
      </c>
      <c r="X119" s="7">
        <v>2.35828464E7</v>
      </c>
      <c r="Y119" s="7">
        <v>0.0</v>
      </c>
      <c r="Z119" s="7">
        <v>0.0</v>
      </c>
      <c r="AA119" s="6" t="s">
        <v>52</v>
      </c>
      <c r="AB119" s="11" t="str">
        <f t="shared" si="6"/>
        <v>Exclude</v>
      </c>
    </row>
    <row r="120" ht="15.0" customHeight="1">
      <c r="B120" s="6">
        <f t="shared" si="8"/>
        <v>118</v>
      </c>
      <c r="C120" s="1" t="s">
        <v>290</v>
      </c>
      <c r="D120" s="1" t="str">
        <f t="shared" si="2"/>
        <v>Real Estate &amp; Infra</v>
      </c>
      <c r="E120" s="1" t="s">
        <v>44</v>
      </c>
      <c r="F120" s="1" t="s">
        <v>44</v>
      </c>
      <c r="G120" s="1" t="s">
        <v>290</v>
      </c>
      <c r="H120" s="1" t="s">
        <v>291</v>
      </c>
      <c r="I120" s="1" t="s">
        <v>38</v>
      </c>
      <c r="J120" s="1" t="s">
        <v>280</v>
      </c>
      <c r="K120" s="1" t="s">
        <v>62</v>
      </c>
      <c r="L120" s="1" t="s">
        <v>289</v>
      </c>
      <c r="N120" s="6">
        <v>2014.0</v>
      </c>
      <c r="O120" s="10">
        <f t="shared" ref="O120:R120" si="133">IFERROR(V120*INDEX($AH$4:$AH$8,MATCH($AA120,$AG$4:$AG$8,0)),"")</f>
        <v>10000000</v>
      </c>
      <c r="P120" s="10">
        <f t="shared" si="133"/>
        <v>10301500</v>
      </c>
      <c r="Q120" s="10">
        <f t="shared" si="133"/>
        <v>24942722.29</v>
      </c>
      <c r="R120" s="10">
        <f t="shared" si="133"/>
        <v>0</v>
      </c>
      <c r="S120" s="10">
        <f t="shared" si="4"/>
        <v>24942722.29</v>
      </c>
      <c r="T120" s="10">
        <f t="shared" si="5"/>
        <v>0</v>
      </c>
      <c r="U120" s="8">
        <v>45071.0</v>
      </c>
      <c r="V120" s="7">
        <v>1.0E7</v>
      </c>
      <c r="W120" s="7">
        <v>1.03015E7</v>
      </c>
      <c r="X120" s="7">
        <v>2.494272229E7</v>
      </c>
      <c r="Y120" s="7">
        <v>0.0</v>
      </c>
      <c r="Z120" s="7">
        <v>0.0</v>
      </c>
      <c r="AA120" s="6" t="s">
        <v>52</v>
      </c>
      <c r="AB120" s="11" t="str">
        <f t="shared" si="6"/>
        <v>Exclude</v>
      </c>
    </row>
    <row r="121" ht="15.0" customHeight="1">
      <c r="B121" s="6">
        <f t="shared" si="8"/>
        <v>119</v>
      </c>
      <c r="C121" s="1" t="s">
        <v>292</v>
      </c>
      <c r="D121" s="1" t="str">
        <f t="shared" si="2"/>
        <v>Real Estate &amp; Infra</v>
      </c>
      <c r="E121" s="1" t="s">
        <v>44</v>
      </c>
      <c r="F121" s="1" t="s">
        <v>44</v>
      </c>
      <c r="G121" s="1" t="s">
        <v>292</v>
      </c>
      <c r="H121" s="1" t="s">
        <v>293</v>
      </c>
      <c r="I121" s="1" t="s">
        <v>38</v>
      </c>
      <c r="J121" s="1" t="s">
        <v>280</v>
      </c>
      <c r="K121" s="1" t="s">
        <v>62</v>
      </c>
      <c r="L121" s="1" t="s">
        <v>294</v>
      </c>
      <c r="N121" s="6">
        <v>2015.0</v>
      </c>
      <c r="O121" s="10">
        <f t="shared" ref="O121:R121" si="134">IFERROR(V121*INDEX($AH$4:$AH$8,MATCH($AA121,$AG$4:$AG$8,0)),"")</f>
        <v>15000000</v>
      </c>
      <c r="P121" s="10">
        <f t="shared" si="134"/>
        <v>5597250</v>
      </c>
      <c r="Q121" s="10">
        <f t="shared" si="134"/>
        <v>7692510</v>
      </c>
      <c r="R121" s="10">
        <f t="shared" si="134"/>
        <v>0</v>
      </c>
      <c r="S121" s="10">
        <f t="shared" si="4"/>
        <v>7692510</v>
      </c>
      <c r="T121" s="10">
        <f t="shared" si="5"/>
        <v>0</v>
      </c>
      <c r="U121" s="8">
        <v>43441.0</v>
      </c>
      <c r="V121" s="7">
        <v>1.5E7</v>
      </c>
      <c r="W121" s="7">
        <v>5597250.0</v>
      </c>
      <c r="X121" s="7">
        <v>7692510.0</v>
      </c>
      <c r="Y121" s="7">
        <v>0.0</v>
      </c>
      <c r="Z121" s="7">
        <v>0.0</v>
      </c>
      <c r="AA121" s="6" t="s">
        <v>52</v>
      </c>
      <c r="AB121" s="11" t="str">
        <f t="shared" si="6"/>
        <v>Exclude</v>
      </c>
    </row>
    <row r="122" ht="15.0" customHeight="1">
      <c r="B122" s="6">
        <f t="shared" si="8"/>
        <v>120</v>
      </c>
      <c r="C122" s="1" t="s">
        <v>295</v>
      </c>
      <c r="D122" s="1" t="str">
        <f t="shared" si="2"/>
        <v>Real Estate &amp; Infra</v>
      </c>
      <c r="E122" s="1" t="s">
        <v>44</v>
      </c>
      <c r="F122" s="1" t="s">
        <v>44</v>
      </c>
      <c r="G122" s="1" t="s">
        <v>295</v>
      </c>
      <c r="H122" s="1" t="s">
        <v>285</v>
      </c>
      <c r="I122" s="1" t="s">
        <v>38</v>
      </c>
      <c r="J122" s="1" t="s">
        <v>280</v>
      </c>
      <c r="K122" s="1" t="s">
        <v>54</v>
      </c>
      <c r="L122" s="1" t="s">
        <v>286</v>
      </c>
      <c r="N122" s="6">
        <v>2015.0</v>
      </c>
      <c r="O122" s="10">
        <f t="shared" ref="O122:R122" si="135">IFERROR(V122*INDEX($AH$4:$AH$8,MATCH($AA122,$AG$4:$AG$8,0)),"")</f>
        <v>12000000</v>
      </c>
      <c r="P122" s="10">
        <f t="shared" si="135"/>
        <v>12000000</v>
      </c>
      <c r="Q122" s="10">
        <f t="shared" si="135"/>
        <v>18001675.96</v>
      </c>
      <c r="R122" s="10">
        <f t="shared" si="135"/>
        <v>0</v>
      </c>
      <c r="S122" s="10">
        <f t="shared" si="4"/>
        <v>18001675.96</v>
      </c>
      <c r="T122" s="10">
        <f t="shared" si="5"/>
        <v>0</v>
      </c>
      <c r="U122" s="8">
        <v>45962.0</v>
      </c>
      <c r="V122" s="7">
        <v>1.2E7</v>
      </c>
      <c r="W122" s="7">
        <v>1.2E7</v>
      </c>
      <c r="X122" s="7">
        <v>1.800167596E7</v>
      </c>
      <c r="Y122" s="7">
        <v>0.0</v>
      </c>
      <c r="Z122" s="7">
        <v>0.0</v>
      </c>
      <c r="AA122" s="6" t="s">
        <v>52</v>
      </c>
      <c r="AB122" s="11" t="str">
        <f t="shared" si="6"/>
        <v>Exclude</v>
      </c>
    </row>
    <row r="123" ht="15.0" customHeight="1">
      <c r="B123" s="6">
        <f t="shared" si="8"/>
        <v>121</v>
      </c>
      <c r="C123" s="1" t="s">
        <v>296</v>
      </c>
      <c r="D123" s="1" t="str">
        <f t="shared" si="2"/>
        <v>Real Estate &amp; Infra</v>
      </c>
      <c r="E123" s="1" t="s">
        <v>44</v>
      </c>
      <c r="F123" s="1" t="s">
        <v>44</v>
      </c>
      <c r="G123" s="1" t="s">
        <v>296</v>
      </c>
      <c r="H123" s="1" t="s">
        <v>297</v>
      </c>
      <c r="I123" s="1" t="s">
        <v>38</v>
      </c>
      <c r="J123" s="1" t="s">
        <v>280</v>
      </c>
      <c r="K123" s="1" t="s">
        <v>62</v>
      </c>
      <c r="L123" s="1" t="s">
        <v>289</v>
      </c>
      <c r="N123" s="6">
        <v>2015.0</v>
      </c>
      <c r="O123" s="10">
        <f t="shared" ref="O123:R123" si="136">IFERROR(V123*INDEX($AH$4:$AH$8,MATCH($AA123,$AG$4:$AG$8,0)),"")</f>
        <v>15000000</v>
      </c>
      <c r="P123" s="10">
        <f t="shared" si="136"/>
        <v>15000000</v>
      </c>
      <c r="Q123" s="10">
        <f t="shared" si="136"/>
        <v>5580493</v>
      </c>
      <c r="R123" s="10">
        <f t="shared" si="136"/>
        <v>0</v>
      </c>
      <c r="S123" s="10">
        <f t="shared" si="4"/>
        <v>5580493</v>
      </c>
      <c r="T123" s="10">
        <f t="shared" si="5"/>
        <v>0</v>
      </c>
      <c r="U123" s="8">
        <v>46022.0</v>
      </c>
      <c r="V123" s="7">
        <v>1.5E7</v>
      </c>
      <c r="W123" s="7">
        <v>1.5E7</v>
      </c>
      <c r="X123" s="7">
        <v>5580493.0</v>
      </c>
      <c r="Y123" s="7">
        <v>0.0</v>
      </c>
      <c r="Z123" s="7">
        <v>0.0</v>
      </c>
      <c r="AA123" s="6" t="s">
        <v>52</v>
      </c>
      <c r="AB123" s="11" t="str">
        <f t="shared" si="6"/>
        <v>Exclude</v>
      </c>
    </row>
    <row r="124" ht="15.0" customHeight="1">
      <c r="B124" s="6">
        <f t="shared" si="8"/>
        <v>122</v>
      </c>
      <c r="C124" s="1" t="s">
        <v>298</v>
      </c>
      <c r="D124" s="1" t="str">
        <f t="shared" si="2"/>
        <v>Real Estate &amp; Infra</v>
      </c>
      <c r="E124" s="1" t="s">
        <v>44</v>
      </c>
      <c r="F124" s="1" t="s">
        <v>44</v>
      </c>
      <c r="G124" s="1" t="s">
        <v>298</v>
      </c>
      <c r="H124" s="1" t="s">
        <v>297</v>
      </c>
      <c r="I124" s="1" t="s">
        <v>38</v>
      </c>
      <c r="J124" s="1" t="s">
        <v>280</v>
      </c>
      <c r="K124" s="1" t="s">
        <v>62</v>
      </c>
      <c r="L124" s="1" t="s">
        <v>289</v>
      </c>
      <c r="N124" s="6">
        <v>2017.0</v>
      </c>
      <c r="O124" s="10">
        <f t="shared" ref="O124:R124" si="137">IFERROR(V124*INDEX($AH$4:$AH$8,MATCH($AA124,$AG$4:$AG$8,0)),"")</f>
        <v>15000000</v>
      </c>
      <c r="P124" s="10">
        <f t="shared" si="137"/>
        <v>14679462</v>
      </c>
      <c r="Q124" s="10">
        <f t="shared" si="137"/>
        <v>35654317</v>
      </c>
      <c r="R124" s="10">
        <f t="shared" si="137"/>
        <v>0</v>
      </c>
      <c r="S124" s="10">
        <f t="shared" si="4"/>
        <v>35654317</v>
      </c>
      <c r="T124" s="10">
        <f t="shared" si="5"/>
        <v>0</v>
      </c>
      <c r="U124" s="8">
        <v>46018.0</v>
      </c>
      <c r="V124" s="7">
        <v>1.5E7</v>
      </c>
      <c r="W124" s="7">
        <v>1.4679462E7</v>
      </c>
      <c r="X124" s="7">
        <v>3.5654317E7</v>
      </c>
      <c r="Y124" s="7">
        <v>0.0</v>
      </c>
      <c r="Z124" s="7">
        <v>0.0</v>
      </c>
      <c r="AA124" s="6" t="s">
        <v>52</v>
      </c>
      <c r="AB124" s="11" t="str">
        <f t="shared" si="6"/>
        <v>Exclude</v>
      </c>
    </row>
    <row r="125" ht="15.0" customHeight="1">
      <c r="B125" s="6">
        <f t="shared" si="8"/>
        <v>123</v>
      </c>
      <c r="C125" s="1" t="s">
        <v>299</v>
      </c>
      <c r="D125" s="1" t="str">
        <f t="shared" si="2"/>
        <v>Real Estate &amp; Infra</v>
      </c>
      <c r="E125" s="1" t="s">
        <v>44</v>
      </c>
      <c r="F125" s="1" t="s">
        <v>44</v>
      </c>
      <c r="G125" s="1" t="s">
        <v>299</v>
      </c>
      <c r="H125" s="1" t="s">
        <v>293</v>
      </c>
      <c r="I125" s="1" t="s">
        <v>38</v>
      </c>
      <c r="J125" s="1" t="s">
        <v>280</v>
      </c>
      <c r="K125" s="1" t="s">
        <v>62</v>
      </c>
      <c r="L125" s="1" t="s">
        <v>294</v>
      </c>
      <c r="N125" s="6">
        <v>2017.0</v>
      </c>
      <c r="O125" s="10">
        <f t="shared" ref="O125:R125" si="138">IFERROR(V125*INDEX($AH$4:$AH$8,MATCH($AA125,$AG$4:$AG$8,0)),"")</f>
        <v>11000000</v>
      </c>
      <c r="P125" s="10">
        <f t="shared" si="138"/>
        <v>10267830</v>
      </c>
      <c r="Q125" s="10">
        <f t="shared" si="138"/>
        <v>11626927</v>
      </c>
      <c r="R125" s="10">
        <f t="shared" si="138"/>
        <v>0</v>
      </c>
      <c r="S125" s="10">
        <f t="shared" si="4"/>
        <v>11626927</v>
      </c>
      <c r="T125" s="10">
        <f t="shared" si="5"/>
        <v>0</v>
      </c>
      <c r="U125" s="8">
        <v>43280.0</v>
      </c>
      <c r="V125" s="7">
        <v>1.1E7</v>
      </c>
      <c r="W125" s="7">
        <v>1.026783E7</v>
      </c>
      <c r="X125" s="7">
        <v>1.1626927E7</v>
      </c>
      <c r="Y125" s="7">
        <v>0.0</v>
      </c>
      <c r="Z125" s="7">
        <v>0.0</v>
      </c>
      <c r="AA125" s="6" t="s">
        <v>52</v>
      </c>
      <c r="AB125" s="11" t="str">
        <f t="shared" si="6"/>
        <v>Exclude</v>
      </c>
    </row>
    <row r="126" ht="15.0" customHeight="1">
      <c r="B126" s="6">
        <f t="shared" si="8"/>
        <v>124</v>
      </c>
      <c r="C126" s="1" t="s">
        <v>300</v>
      </c>
      <c r="D126" s="1" t="str">
        <f t="shared" si="2"/>
        <v>Real Estate &amp; Infra</v>
      </c>
      <c r="E126" s="1" t="s">
        <v>44</v>
      </c>
      <c r="F126" s="1" t="s">
        <v>44</v>
      </c>
      <c r="G126" s="1" t="s">
        <v>300</v>
      </c>
      <c r="H126" s="1" t="s">
        <v>293</v>
      </c>
      <c r="I126" s="1" t="s">
        <v>38</v>
      </c>
      <c r="J126" s="1" t="s">
        <v>280</v>
      </c>
      <c r="K126" s="1" t="s">
        <v>62</v>
      </c>
      <c r="L126" s="1" t="s">
        <v>301</v>
      </c>
      <c r="N126" s="6">
        <v>2017.0</v>
      </c>
      <c r="O126" s="10">
        <f t="shared" ref="O126:R126" si="139">IFERROR(V126*INDEX($AH$4:$AH$8,MATCH($AA126,$AG$4:$AG$8,0)),"")</f>
        <v>15000000</v>
      </c>
      <c r="P126" s="10">
        <f t="shared" si="139"/>
        <v>11876251</v>
      </c>
      <c r="Q126" s="10">
        <f t="shared" si="139"/>
        <v>4710869</v>
      </c>
      <c r="R126" s="10">
        <f t="shared" si="139"/>
        <v>0</v>
      </c>
      <c r="S126" s="10">
        <f t="shared" si="4"/>
        <v>4710869</v>
      </c>
      <c r="T126" s="10">
        <f t="shared" si="5"/>
        <v>0</v>
      </c>
      <c r="U126" s="8">
        <v>45657.0</v>
      </c>
      <c r="V126" s="7">
        <v>1.5E7</v>
      </c>
      <c r="W126" s="7">
        <v>1.1876251E7</v>
      </c>
      <c r="X126" s="7">
        <v>4710869.0</v>
      </c>
      <c r="Y126" s="7">
        <v>0.0</v>
      </c>
      <c r="Z126" s="7">
        <v>0.0</v>
      </c>
      <c r="AA126" s="6" t="s">
        <v>52</v>
      </c>
      <c r="AB126" s="11" t="str">
        <f t="shared" si="6"/>
        <v>Exclude</v>
      </c>
    </row>
    <row r="127" ht="15.0" customHeight="1">
      <c r="B127" s="6">
        <f t="shared" si="8"/>
        <v>125</v>
      </c>
      <c r="C127" s="1" t="s">
        <v>302</v>
      </c>
      <c r="D127" s="1" t="str">
        <f t="shared" si="2"/>
        <v>Real Estate &amp; Infra</v>
      </c>
      <c r="E127" s="1" t="s">
        <v>44</v>
      </c>
      <c r="F127" s="1" t="s">
        <v>44</v>
      </c>
      <c r="G127" s="1" t="s">
        <v>302</v>
      </c>
      <c r="H127" s="1" t="s">
        <v>293</v>
      </c>
      <c r="I127" s="1" t="s">
        <v>38</v>
      </c>
      <c r="J127" s="1" t="s">
        <v>280</v>
      </c>
      <c r="K127" s="1" t="s">
        <v>62</v>
      </c>
      <c r="L127" s="1" t="s">
        <v>294</v>
      </c>
      <c r="N127" s="6">
        <v>2017.0</v>
      </c>
      <c r="O127" s="10">
        <f t="shared" ref="O127:R127" si="140">IFERROR(V127*INDEX($AH$4:$AH$8,MATCH($AA127,$AG$4:$AG$8,0)),"")</f>
        <v>12000000</v>
      </c>
      <c r="P127" s="10">
        <f t="shared" si="140"/>
        <v>9742996</v>
      </c>
      <c r="Q127" s="10">
        <f t="shared" si="140"/>
        <v>13936685</v>
      </c>
      <c r="R127" s="10">
        <f t="shared" si="140"/>
        <v>0</v>
      </c>
      <c r="S127" s="10">
        <f t="shared" si="4"/>
        <v>13936685</v>
      </c>
      <c r="T127" s="10">
        <f t="shared" si="5"/>
        <v>0</v>
      </c>
      <c r="U127" s="8">
        <v>44352.0</v>
      </c>
      <c r="V127" s="7">
        <v>1.2E7</v>
      </c>
      <c r="W127" s="7">
        <v>9742996.0</v>
      </c>
      <c r="X127" s="7">
        <v>1.3936685E7</v>
      </c>
      <c r="Y127" s="7">
        <v>0.0</v>
      </c>
      <c r="Z127" s="7">
        <v>0.0</v>
      </c>
      <c r="AA127" s="6" t="s">
        <v>52</v>
      </c>
      <c r="AB127" s="11" t="str">
        <f t="shared" si="6"/>
        <v>Exclude</v>
      </c>
    </row>
    <row r="128" ht="15.0" customHeight="1">
      <c r="B128" s="6">
        <f t="shared" si="8"/>
        <v>126</v>
      </c>
      <c r="C128" s="1" t="s">
        <v>303</v>
      </c>
      <c r="D128" s="1" t="str">
        <f t="shared" si="2"/>
        <v>Real Estate &amp; Infra</v>
      </c>
      <c r="E128" s="1" t="s">
        <v>44</v>
      </c>
      <c r="F128" s="1" t="s">
        <v>44</v>
      </c>
      <c r="G128" s="1" t="s">
        <v>303</v>
      </c>
      <c r="H128" s="1" t="s">
        <v>279</v>
      </c>
      <c r="I128" s="1" t="s">
        <v>38</v>
      </c>
      <c r="J128" s="1" t="s">
        <v>280</v>
      </c>
      <c r="K128" s="1" t="s">
        <v>281</v>
      </c>
      <c r="L128" s="1" t="s">
        <v>282</v>
      </c>
      <c r="N128" s="6">
        <v>2020.0</v>
      </c>
      <c r="O128" s="10">
        <f t="shared" ref="O128:R128" si="141">IFERROR(V128*INDEX($AH$4:$AH$8,MATCH($AA128,$AG$4:$AG$8,0)),"")</f>
        <v>12349669.5</v>
      </c>
      <c r="P128" s="10">
        <f t="shared" si="141"/>
        <v>12805465.1</v>
      </c>
      <c r="Q128" s="10">
        <f t="shared" si="141"/>
        <v>664622.6003</v>
      </c>
      <c r="R128" s="10">
        <f t="shared" si="141"/>
        <v>16212193</v>
      </c>
      <c r="S128" s="10">
        <f t="shared" si="4"/>
        <v>16876815.6</v>
      </c>
      <c r="T128" s="10">
        <f t="shared" si="5"/>
        <v>208827</v>
      </c>
      <c r="U128" s="8">
        <v>46112.0</v>
      </c>
      <c r="V128" s="7">
        <v>1.23496695E7</v>
      </c>
      <c r="W128" s="7">
        <v>1.28054651003E7</v>
      </c>
      <c r="X128" s="7">
        <v>664622.6003</v>
      </c>
      <c r="Y128" s="7">
        <v>1.6212193E7</v>
      </c>
      <c r="Z128" s="7">
        <v>208827.0</v>
      </c>
      <c r="AA128" s="6" t="s">
        <v>52</v>
      </c>
      <c r="AB128" s="11" t="str">
        <f t="shared" si="6"/>
        <v>Include</v>
      </c>
      <c r="AC128" s="1">
        <f t="shared" ref="AC128:AC130" si="143">S128/P128</f>
        <v>1.31793851</v>
      </c>
    </row>
    <row r="129" ht="15.0" customHeight="1">
      <c r="B129" s="6">
        <f t="shared" si="8"/>
        <v>127</v>
      </c>
      <c r="C129" s="1" t="s">
        <v>304</v>
      </c>
      <c r="D129" s="1" t="str">
        <f t="shared" si="2"/>
        <v>Real Estate &amp; Infra</v>
      </c>
      <c r="E129" s="1" t="s">
        <v>44</v>
      </c>
      <c r="F129" s="1" t="s">
        <v>44</v>
      </c>
      <c r="G129" s="1" t="s">
        <v>304</v>
      </c>
      <c r="H129" s="1" t="s">
        <v>305</v>
      </c>
      <c r="I129" s="1" t="s">
        <v>38</v>
      </c>
      <c r="J129" s="1" t="s">
        <v>280</v>
      </c>
      <c r="K129" s="1" t="s">
        <v>62</v>
      </c>
      <c r="L129" s="1" t="s">
        <v>289</v>
      </c>
      <c r="N129" s="6">
        <v>2015.0</v>
      </c>
      <c r="O129" s="10">
        <f t="shared" ref="O129:R129" si="142">IFERROR(V129*INDEX($AH$4:$AH$8,MATCH($AA129,$AG$4:$AG$8,0)),"")</f>
        <v>72133333</v>
      </c>
      <c r="P129" s="10">
        <f t="shared" si="142"/>
        <v>53512143</v>
      </c>
      <c r="Q129" s="10">
        <f t="shared" si="142"/>
        <v>61976738</v>
      </c>
      <c r="R129" s="10">
        <f t="shared" si="142"/>
        <v>6866394</v>
      </c>
      <c r="S129" s="10">
        <f t="shared" si="4"/>
        <v>68843132</v>
      </c>
      <c r="T129" s="10">
        <f t="shared" si="5"/>
        <v>2927152</v>
      </c>
      <c r="U129" s="8">
        <v>46112.0</v>
      </c>
      <c r="V129" s="7">
        <v>7.2133333E7</v>
      </c>
      <c r="W129" s="7">
        <v>5.3512143E7</v>
      </c>
      <c r="X129" s="7">
        <v>6.1976738E7</v>
      </c>
      <c r="Y129" s="7">
        <v>6866394.0</v>
      </c>
      <c r="Z129" s="7">
        <v>2927152.0</v>
      </c>
      <c r="AA129" s="6" t="s">
        <v>52</v>
      </c>
      <c r="AB129" s="11" t="str">
        <f t="shared" si="6"/>
        <v>Include</v>
      </c>
      <c r="AC129" s="1">
        <f t="shared" si="143"/>
        <v>1.286495516</v>
      </c>
    </row>
    <row r="130" ht="15.0" customHeight="1">
      <c r="B130" s="6">
        <f t="shared" si="8"/>
        <v>128</v>
      </c>
      <c r="C130" s="1" t="s">
        <v>306</v>
      </c>
      <c r="D130" s="1" t="str">
        <f t="shared" si="2"/>
        <v>Real Estate &amp; Infra</v>
      </c>
      <c r="E130" s="1" t="s">
        <v>44</v>
      </c>
      <c r="F130" s="1" t="s">
        <v>44</v>
      </c>
      <c r="G130" s="1" t="s">
        <v>306</v>
      </c>
      <c r="H130" s="1" t="s">
        <v>305</v>
      </c>
      <c r="I130" s="1" t="s">
        <v>38</v>
      </c>
      <c r="J130" s="1" t="s">
        <v>280</v>
      </c>
      <c r="K130" s="1" t="s">
        <v>62</v>
      </c>
      <c r="L130" s="1" t="s">
        <v>289</v>
      </c>
      <c r="N130" s="6">
        <v>2018.0</v>
      </c>
      <c r="O130" s="10">
        <f t="shared" ref="O130:R130" si="144">IFERROR(V130*INDEX($AH$4:$AH$8,MATCH($AA130,$AG$4:$AG$8,0)),"")</f>
        <v>73206000</v>
      </c>
      <c r="P130" s="10">
        <f t="shared" si="144"/>
        <v>46671423</v>
      </c>
      <c r="Q130" s="10">
        <f t="shared" si="144"/>
        <v>23745817</v>
      </c>
      <c r="R130" s="10">
        <f t="shared" si="144"/>
        <v>33181099</v>
      </c>
      <c r="S130" s="10">
        <f t="shared" si="4"/>
        <v>56926916</v>
      </c>
      <c r="T130" s="10">
        <f t="shared" si="5"/>
        <v>25425945</v>
      </c>
      <c r="U130" s="8">
        <v>46112.0</v>
      </c>
      <c r="V130" s="7">
        <v>7.3206E7</v>
      </c>
      <c r="W130" s="7">
        <v>4.6671423E7</v>
      </c>
      <c r="X130" s="7">
        <v>2.3745817E7</v>
      </c>
      <c r="Y130" s="7">
        <v>3.3181099E7</v>
      </c>
      <c r="Z130" s="7">
        <v>2.5425945E7</v>
      </c>
      <c r="AA130" s="6" t="s">
        <v>52</v>
      </c>
      <c r="AB130" s="11" t="str">
        <f t="shared" si="6"/>
        <v>Include</v>
      </c>
      <c r="AC130" s="1">
        <f t="shared" si="143"/>
        <v>1.219738168</v>
      </c>
    </row>
    <row r="131" ht="15.0" customHeight="1">
      <c r="B131" s="6">
        <f t="shared" si="8"/>
        <v>129</v>
      </c>
      <c r="C131" s="1" t="s">
        <v>307</v>
      </c>
      <c r="D131" s="1" t="str">
        <f t="shared" si="2"/>
        <v>Real Estate &amp; Infra</v>
      </c>
      <c r="E131" s="1" t="s">
        <v>44</v>
      </c>
      <c r="F131" s="1" t="s">
        <v>44</v>
      </c>
      <c r="G131" s="1" t="s">
        <v>307</v>
      </c>
      <c r="H131" s="1" t="s">
        <v>293</v>
      </c>
      <c r="I131" s="1" t="s">
        <v>38</v>
      </c>
      <c r="J131" s="1" t="s">
        <v>280</v>
      </c>
      <c r="K131" s="1" t="s">
        <v>62</v>
      </c>
      <c r="L131" s="1" t="s">
        <v>294</v>
      </c>
      <c r="N131" s="6">
        <v>2013.0</v>
      </c>
      <c r="O131" s="10">
        <f t="shared" ref="O131:R131" si="145">IFERROR(V131*INDEX($AH$4:$AH$8,MATCH($AA131,$AG$4:$AG$8,0)),"")</f>
        <v>21000000</v>
      </c>
      <c r="P131" s="10">
        <f t="shared" si="145"/>
        <v>21000000</v>
      </c>
      <c r="Q131" s="10">
        <f t="shared" si="145"/>
        <v>23756344.59</v>
      </c>
      <c r="R131" s="10">
        <f t="shared" si="145"/>
        <v>0</v>
      </c>
      <c r="S131" s="10">
        <f t="shared" si="4"/>
        <v>23756344.59</v>
      </c>
      <c r="T131" s="10">
        <f t="shared" si="5"/>
        <v>0</v>
      </c>
      <c r="U131" s="8">
        <v>42040.0</v>
      </c>
      <c r="V131" s="7">
        <v>2.1E7</v>
      </c>
      <c r="W131" s="7">
        <v>2.1E7</v>
      </c>
      <c r="X131" s="7">
        <v>2.375634459E7</v>
      </c>
      <c r="Y131" s="7">
        <v>0.0</v>
      </c>
      <c r="Z131" s="7">
        <v>0.0</v>
      </c>
      <c r="AA131" s="6" t="s">
        <v>52</v>
      </c>
      <c r="AB131" s="11" t="str">
        <f t="shared" si="6"/>
        <v>Exclude</v>
      </c>
    </row>
    <row r="132" ht="15.0" customHeight="1">
      <c r="B132" s="6">
        <f t="shared" si="8"/>
        <v>130</v>
      </c>
      <c r="C132" s="1" t="s">
        <v>308</v>
      </c>
      <c r="D132" s="1" t="str">
        <f t="shared" si="2"/>
        <v>Real Estate &amp; Infra</v>
      </c>
      <c r="E132" s="1" t="s">
        <v>44</v>
      </c>
      <c r="F132" s="1" t="s">
        <v>44</v>
      </c>
      <c r="G132" s="1" t="s">
        <v>308</v>
      </c>
      <c r="H132" s="1" t="s">
        <v>64</v>
      </c>
      <c r="I132" s="1" t="s">
        <v>38</v>
      </c>
      <c r="J132" s="1" t="s">
        <v>280</v>
      </c>
      <c r="K132" s="1" t="s">
        <v>281</v>
      </c>
      <c r="L132" s="1" t="s">
        <v>282</v>
      </c>
      <c r="N132" s="6">
        <v>2021.0</v>
      </c>
      <c r="O132" s="10">
        <f t="shared" ref="O132:R132" si="146">IFERROR(V132*INDEX($AH$4:$AH$8,MATCH($AA132,$AG$4:$AG$8,0)),"")</f>
        <v>25000000</v>
      </c>
      <c r="P132" s="10">
        <f t="shared" si="146"/>
        <v>14614525.12</v>
      </c>
      <c r="Q132" s="10">
        <f t="shared" si="146"/>
        <v>887458.16</v>
      </c>
      <c r="R132" s="10">
        <f t="shared" si="146"/>
        <v>13529817</v>
      </c>
      <c r="S132" s="10">
        <f t="shared" si="4"/>
        <v>14417275.16</v>
      </c>
      <c r="T132" s="10">
        <f t="shared" si="5"/>
        <v>11272933.04</v>
      </c>
      <c r="U132" s="8">
        <v>46112.0</v>
      </c>
      <c r="V132" s="7">
        <v>2.5E7</v>
      </c>
      <c r="W132" s="7">
        <v>1.461452512E7</v>
      </c>
      <c r="X132" s="7">
        <v>887458.16</v>
      </c>
      <c r="Y132" s="7">
        <v>1.3529817E7</v>
      </c>
      <c r="Z132" s="7">
        <v>1.127293304E7</v>
      </c>
      <c r="AA132" s="6" t="s">
        <v>52</v>
      </c>
      <c r="AB132" s="11" t="str">
        <f t="shared" si="6"/>
        <v>Include</v>
      </c>
      <c r="AC132" s="1">
        <f t="shared" ref="AC132:AC136" si="148">S132/P132</f>
        <v>0.9865031564</v>
      </c>
    </row>
    <row r="133" ht="15.0" customHeight="1">
      <c r="B133" s="6">
        <f t="shared" si="8"/>
        <v>131</v>
      </c>
      <c r="C133" s="1" t="s">
        <v>309</v>
      </c>
      <c r="D133" s="1" t="str">
        <f t="shared" si="2"/>
        <v>Real Estate &amp; Infra</v>
      </c>
      <c r="E133" s="1" t="s">
        <v>44</v>
      </c>
      <c r="F133" s="1" t="s">
        <v>44</v>
      </c>
      <c r="G133" s="1" t="s">
        <v>309</v>
      </c>
      <c r="H133" s="1" t="s">
        <v>291</v>
      </c>
      <c r="I133" s="1" t="s">
        <v>38</v>
      </c>
      <c r="J133" s="1" t="s">
        <v>280</v>
      </c>
      <c r="K133" s="1" t="s">
        <v>62</v>
      </c>
      <c r="L133" s="1" t="s">
        <v>289</v>
      </c>
      <c r="N133" s="6">
        <v>2022.0</v>
      </c>
      <c r="O133" s="10">
        <f t="shared" ref="O133:R133" si="147">IFERROR(V133*INDEX($AH$4:$AH$8,MATCH($AA133,$AG$4:$AG$8,0)),"")</f>
        <v>25000000</v>
      </c>
      <c r="P133" s="10">
        <f t="shared" si="147"/>
        <v>25469563.61</v>
      </c>
      <c r="Q133" s="10">
        <f t="shared" si="147"/>
        <v>407522.32</v>
      </c>
      <c r="R133" s="10">
        <f t="shared" si="147"/>
        <v>13746000</v>
      </c>
      <c r="S133" s="10">
        <f t="shared" si="4"/>
        <v>14153522.32</v>
      </c>
      <c r="T133" s="10">
        <f t="shared" si="5"/>
        <v>0</v>
      </c>
      <c r="U133" s="8">
        <v>46112.0</v>
      </c>
      <c r="V133" s="7">
        <v>2.5E7</v>
      </c>
      <c r="W133" s="7">
        <v>2.546956361E7</v>
      </c>
      <c r="X133" s="7">
        <v>407522.32</v>
      </c>
      <c r="Y133" s="7">
        <v>1.3746E7</v>
      </c>
      <c r="Z133" s="7">
        <v>0.0</v>
      </c>
      <c r="AA133" s="6" t="s">
        <v>52</v>
      </c>
      <c r="AB133" s="11" t="str">
        <f t="shared" si="6"/>
        <v>Include</v>
      </c>
      <c r="AC133" s="1">
        <f t="shared" si="148"/>
        <v>0.5557033696</v>
      </c>
    </row>
    <row r="134" ht="15.0" customHeight="1">
      <c r="B134" s="6">
        <f t="shared" si="8"/>
        <v>132</v>
      </c>
      <c r="C134" s="1" t="s">
        <v>310</v>
      </c>
      <c r="D134" s="1" t="str">
        <f t="shared" si="2"/>
        <v>Real Estate &amp; Infra</v>
      </c>
      <c r="E134" s="1" t="s">
        <v>44</v>
      </c>
      <c r="F134" s="1" t="s">
        <v>44</v>
      </c>
      <c r="G134" s="1" t="s">
        <v>310</v>
      </c>
      <c r="H134" s="1" t="s">
        <v>291</v>
      </c>
      <c r="I134" s="1" t="s">
        <v>38</v>
      </c>
      <c r="J134" s="1" t="s">
        <v>280</v>
      </c>
      <c r="K134" s="1" t="s">
        <v>62</v>
      </c>
      <c r="L134" s="1" t="s">
        <v>289</v>
      </c>
      <c r="N134" s="6">
        <v>2022.0</v>
      </c>
      <c r="O134" s="10">
        <f t="shared" ref="O134:R134" si="149">IFERROR(V134*INDEX($AH$4:$AH$8,MATCH($AA134,$AG$4:$AG$8,0)),"")</f>
        <v>35000000</v>
      </c>
      <c r="P134" s="10">
        <f t="shared" si="149"/>
        <v>34709948.12</v>
      </c>
      <c r="Q134" s="10">
        <f t="shared" si="149"/>
        <v>643734.62</v>
      </c>
      <c r="R134" s="10">
        <f t="shared" si="149"/>
        <v>28841000</v>
      </c>
      <c r="S134" s="10">
        <f t="shared" si="4"/>
        <v>29484734.62</v>
      </c>
      <c r="T134" s="10">
        <f t="shared" si="5"/>
        <v>993889.59</v>
      </c>
      <c r="U134" s="8">
        <v>46112.0</v>
      </c>
      <c r="V134" s="7">
        <v>3.5E7</v>
      </c>
      <c r="W134" s="7">
        <v>3.470994812E7</v>
      </c>
      <c r="X134" s="7">
        <v>643734.62</v>
      </c>
      <c r="Y134" s="7">
        <v>2.8841E7</v>
      </c>
      <c r="Z134" s="7">
        <v>993889.59</v>
      </c>
      <c r="AA134" s="6" t="s">
        <v>52</v>
      </c>
      <c r="AB134" s="11" t="str">
        <f t="shared" si="6"/>
        <v>Include</v>
      </c>
      <c r="AC134" s="1">
        <f t="shared" si="148"/>
        <v>0.8494606364</v>
      </c>
    </row>
    <row r="135" ht="15.0" customHeight="1">
      <c r="B135" s="6">
        <f t="shared" si="8"/>
        <v>133</v>
      </c>
      <c r="C135" s="1" t="s">
        <v>311</v>
      </c>
      <c r="D135" s="1" t="str">
        <f t="shared" si="2"/>
        <v>Real Estate &amp; Infra</v>
      </c>
      <c r="E135" s="1" t="s">
        <v>44</v>
      </c>
      <c r="F135" s="1" t="s">
        <v>44</v>
      </c>
      <c r="G135" s="1" t="s">
        <v>311</v>
      </c>
      <c r="H135" s="1" t="s">
        <v>185</v>
      </c>
      <c r="I135" s="1" t="s">
        <v>38</v>
      </c>
      <c r="J135" s="1" t="s">
        <v>280</v>
      </c>
      <c r="K135" s="1" t="s">
        <v>54</v>
      </c>
      <c r="L135" s="1" t="s">
        <v>286</v>
      </c>
      <c r="N135" s="6">
        <v>2016.0</v>
      </c>
      <c r="O135" s="10">
        <f t="shared" ref="O135:R135" si="150">IFERROR(V135*INDEX($AH$4:$AH$8,MATCH($AA135,$AG$4:$AG$8,0)),"")</f>
        <v>32500000</v>
      </c>
      <c r="P135" s="10">
        <f t="shared" si="150"/>
        <v>50000661.26</v>
      </c>
      <c r="Q135" s="10">
        <f t="shared" si="150"/>
        <v>46978453.39</v>
      </c>
      <c r="R135" s="10">
        <f t="shared" si="150"/>
        <v>17586171.1</v>
      </c>
      <c r="S135" s="10">
        <f t="shared" si="4"/>
        <v>64564624.49</v>
      </c>
      <c r="T135" s="10">
        <f t="shared" si="5"/>
        <v>846710.53</v>
      </c>
      <c r="U135" s="8">
        <v>46112.0</v>
      </c>
      <c r="V135" s="7">
        <v>3.25E7</v>
      </c>
      <c r="W135" s="7">
        <v>5.000066126E7</v>
      </c>
      <c r="X135" s="7">
        <v>4.697845339E7</v>
      </c>
      <c r="Y135" s="7">
        <v>1.75861711E7</v>
      </c>
      <c r="Z135" s="7">
        <v>846710.53</v>
      </c>
      <c r="AA135" s="6" t="s">
        <v>52</v>
      </c>
      <c r="AB135" s="11" t="str">
        <f t="shared" si="6"/>
        <v>Include</v>
      </c>
      <c r="AC135" s="1">
        <f t="shared" si="148"/>
        <v>1.291275412</v>
      </c>
    </row>
    <row r="136" ht="15.0" customHeight="1">
      <c r="B136" s="6">
        <f t="shared" si="8"/>
        <v>134</v>
      </c>
      <c r="C136" s="1" t="s">
        <v>312</v>
      </c>
      <c r="D136" s="1" t="str">
        <f t="shared" si="2"/>
        <v>Real Estate &amp; Infra</v>
      </c>
      <c r="E136" s="1" t="s">
        <v>44</v>
      </c>
      <c r="F136" s="1" t="s">
        <v>44</v>
      </c>
      <c r="G136" s="1" t="s">
        <v>313</v>
      </c>
      <c r="H136" s="1" t="s">
        <v>64</v>
      </c>
      <c r="I136" s="1" t="s">
        <v>38</v>
      </c>
      <c r="J136" s="1" t="s">
        <v>280</v>
      </c>
      <c r="K136" s="1" t="s">
        <v>281</v>
      </c>
      <c r="L136" s="1" t="s">
        <v>314</v>
      </c>
      <c r="N136" s="6">
        <v>2025.0</v>
      </c>
      <c r="O136" s="10">
        <f t="shared" ref="O136:R136" si="151">IFERROR(V136*INDEX($AH$4:$AH$8,MATCH($AA136,$AG$4:$AG$8,0)),"")</f>
        <v>20000000</v>
      </c>
      <c r="P136" s="10">
        <f t="shared" si="151"/>
        <v>19223519.79</v>
      </c>
      <c r="Q136" s="10">
        <f t="shared" si="151"/>
        <v>0</v>
      </c>
      <c r="R136" s="10">
        <f t="shared" si="151"/>
        <v>20744445</v>
      </c>
      <c r="S136" s="10">
        <f t="shared" si="4"/>
        <v>20744445</v>
      </c>
      <c r="T136" s="10">
        <f t="shared" si="5"/>
        <v>776480.21</v>
      </c>
      <c r="U136" s="8">
        <v>46112.0</v>
      </c>
      <c r="V136" s="7">
        <v>2.0E7</v>
      </c>
      <c r="W136" s="7">
        <v>1.922351979E7</v>
      </c>
      <c r="X136" s="7">
        <v>0.0</v>
      </c>
      <c r="Y136" s="7">
        <v>2.0744445E7</v>
      </c>
      <c r="Z136" s="7">
        <v>776480.21</v>
      </c>
      <c r="AA136" s="6" t="s">
        <v>52</v>
      </c>
      <c r="AB136" s="11" t="str">
        <f t="shared" si="6"/>
        <v>Include</v>
      </c>
      <c r="AC136" s="1">
        <f t="shared" si="148"/>
        <v>1.079117936</v>
      </c>
    </row>
    <row r="137" ht="15.0" customHeight="1">
      <c r="B137" s="6">
        <f t="shared" si="8"/>
        <v>135</v>
      </c>
      <c r="C137" s="1" t="s">
        <v>315</v>
      </c>
      <c r="D137" s="1" t="str">
        <f t="shared" si="2"/>
        <v>Real Estate &amp; Infra</v>
      </c>
      <c r="E137" s="1" t="s">
        <v>44</v>
      </c>
      <c r="F137" s="1" t="s">
        <v>44</v>
      </c>
      <c r="G137" s="1" t="s">
        <v>315</v>
      </c>
      <c r="H137" s="1" t="s">
        <v>316</v>
      </c>
      <c r="I137" s="1" t="s">
        <v>38</v>
      </c>
      <c r="J137" s="1" t="s">
        <v>280</v>
      </c>
      <c r="K137" s="1" t="s">
        <v>281</v>
      </c>
      <c r="L137" s="1" t="s">
        <v>282</v>
      </c>
      <c r="N137" s="6">
        <v>2026.0</v>
      </c>
      <c r="O137" s="10">
        <f t="shared" ref="O137:R137" si="152">IFERROR(V137*INDEX($AH$4:$AH$8,MATCH($AA137,$AG$4:$AG$8,0)),"")</f>
        <v>20000000</v>
      </c>
      <c r="P137" s="10">
        <f t="shared" si="152"/>
        <v>9380000</v>
      </c>
      <c r="Q137" s="10">
        <f t="shared" si="152"/>
        <v>0</v>
      </c>
      <c r="R137" s="10">
        <f t="shared" si="152"/>
        <v>0</v>
      </c>
      <c r="S137" s="10">
        <f t="shared" si="4"/>
        <v>0</v>
      </c>
      <c r="T137" s="10">
        <f t="shared" si="5"/>
        <v>10620000</v>
      </c>
      <c r="U137" s="8"/>
      <c r="V137" s="7">
        <v>2.0E7</v>
      </c>
      <c r="W137" s="7">
        <v>9380000.0</v>
      </c>
      <c r="X137" s="7">
        <v>0.0</v>
      </c>
      <c r="Y137" s="7"/>
      <c r="Z137" s="7">
        <v>1.062E7</v>
      </c>
      <c r="AA137" s="6" t="s">
        <v>52</v>
      </c>
      <c r="AB137" s="11" t="str">
        <f t="shared" si="6"/>
        <v>Exclude</v>
      </c>
    </row>
    <row r="138" ht="15.0" customHeight="1">
      <c r="B138" s="6">
        <f t="shared" si="8"/>
        <v>136</v>
      </c>
      <c r="C138" s="1" t="s">
        <v>16</v>
      </c>
      <c r="D138" s="1" t="str">
        <f t="shared" si="2"/>
        <v>Real Estate &amp; Infra</v>
      </c>
      <c r="E138" s="1" t="s">
        <v>9</v>
      </c>
      <c r="F138" s="1" t="s">
        <v>9</v>
      </c>
      <c r="G138" s="1" t="s">
        <v>16</v>
      </c>
      <c r="H138" s="1" t="s">
        <v>317</v>
      </c>
      <c r="I138" s="1" t="s">
        <v>318</v>
      </c>
      <c r="J138" s="1" t="s">
        <v>319</v>
      </c>
      <c r="K138" s="1" t="s">
        <v>54</v>
      </c>
      <c r="L138" s="1" t="s">
        <v>320</v>
      </c>
      <c r="N138" s="6">
        <v>2017.0</v>
      </c>
      <c r="O138" s="10">
        <f t="shared" ref="O138:R138" si="153">IFERROR(V138*INDEX($AH$4:$AH$8,MATCH($AA138,$AG$4:$AG$8,0)),"")</f>
        <v>100000000</v>
      </c>
      <c r="P138" s="10">
        <f t="shared" si="153"/>
        <v>128436673.4</v>
      </c>
      <c r="Q138" s="10">
        <f t="shared" si="153"/>
        <v>143197428</v>
      </c>
      <c r="R138" s="10">
        <f t="shared" si="153"/>
        <v>29036643</v>
      </c>
      <c r="S138" s="10">
        <f t="shared" si="4"/>
        <v>172234071</v>
      </c>
      <c r="T138" s="10">
        <f t="shared" si="5"/>
        <v>683268.75</v>
      </c>
      <c r="U138" s="8">
        <v>46112.0</v>
      </c>
      <c r="V138" s="7">
        <v>1.0E8</v>
      </c>
      <c r="W138" s="7">
        <v>1.2843667336E8</v>
      </c>
      <c r="X138" s="7">
        <v>1.43197428E8</v>
      </c>
      <c r="Y138" s="7">
        <v>2.9036643E7</v>
      </c>
      <c r="Z138" s="7">
        <v>683268.75</v>
      </c>
      <c r="AA138" s="6" t="s">
        <v>52</v>
      </c>
      <c r="AB138" s="11" t="str">
        <f t="shared" si="6"/>
        <v>Include</v>
      </c>
      <c r="AC138" s="1">
        <f t="shared" ref="AC138:AC150" si="155">S138/P138</f>
        <v>1.341003831</v>
      </c>
    </row>
    <row r="139" ht="15.0" customHeight="1">
      <c r="B139" s="6">
        <f t="shared" si="8"/>
        <v>137</v>
      </c>
      <c r="C139" s="1" t="s">
        <v>321</v>
      </c>
      <c r="D139" s="1" t="str">
        <f t="shared" si="2"/>
        <v>Real Estate &amp; Infra</v>
      </c>
      <c r="E139" s="1" t="s">
        <v>9</v>
      </c>
      <c r="F139" s="1" t="s">
        <v>9</v>
      </c>
      <c r="G139" s="1" t="s">
        <v>321</v>
      </c>
      <c r="H139" s="1" t="s">
        <v>322</v>
      </c>
      <c r="I139" s="1" t="s">
        <v>318</v>
      </c>
      <c r="J139" s="1" t="s">
        <v>319</v>
      </c>
      <c r="K139" s="1" t="s">
        <v>41</v>
      </c>
      <c r="L139" s="1" t="s">
        <v>55</v>
      </c>
      <c r="N139" s="6">
        <v>2016.0</v>
      </c>
      <c r="O139" s="10">
        <f t="shared" ref="O139:R139" si="154">IFERROR(V139*INDEX($AH$4:$AH$8,MATCH($AA139,$AG$4:$AG$8,0)),"")</f>
        <v>100000000</v>
      </c>
      <c r="P139" s="10">
        <f t="shared" si="154"/>
        <v>110290365.2</v>
      </c>
      <c r="Q139" s="10">
        <f t="shared" si="154"/>
        <v>149430056.4</v>
      </c>
      <c r="R139" s="10">
        <f t="shared" si="154"/>
        <v>23405457</v>
      </c>
      <c r="S139" s="10">
        <f t="shared" si="4"/>
        <v>172835513.4</v>
      </c>
      <c r="T139" s="10">
        <f t="shared" si="5"/>
        <v>6945279.94</v>
      </c>
      <c r="U139" s="8">
        <v>46112.0</v>
      </c>
      <c r="V139" s="7">
        <v>1.0E8</v>
      </c>
      <c r="W139" s="7">
        <v>1.1029036522E8</v>
      </c>
      <c r="X139" s="7">
        <v>1.4943005641E8</v>
      </c>
      <c r="Y139" s="7">
        <v>2.3405457E7</v>
      </c>
      <c r="Z139" s="7">
        <v>6945279.94</v>
      </c>
      <c r="AA139" s="6" t="s">
        <v>52</v>
      </c>
      <c r="AB139" s="11" t="str">
        <f t="shared" si="6"/>
        <v>Include</v>
      </c>
      <c r="AC139" s="1">
        <f t="shared" si="155"/>
        <v>1.567095304</v>
      </c>
    </row>
    <row r="140" ht="15.0" customHeight="1">
      <c r="B140" s="6">
        <f t="shared" si="8"/>
        <v>138</v>
      </c>
      <c r="C140" s="1" t="s">
        <v>17</v>
      </c>
      <c r="D140" s="1" t="str">
        <f t="shared" si="2"/>
        <v>Real Estate &amp; Infra</v>
      </c>
      <c r="E140" s="1" t="s">
        <v>9</v>
      </c>
      <c r="F140" s="1" t="s">
        <v>9</v>
      </c>
      <c r="G140" s="1" t="s">
        <v>17</v>
      </c>
      <c r="H140" s="1" t="s">
        <v>37</v>
      </c>
      <c r="I140" s="1" t="s">
        <v>318</v>
      </c>
      <c r="J140" s="1" t="s">
        <v>319</v>
      </c>
      <c r="K140" s="1" t="s">
        <v>41</v>
      </c>
      <c r="L140" s="1" t="s">
        <v>323</v>
      </c>
      <c r="N140" s="6">
        <v>2017.0</v>
      </c>
      <c r="O140" s="10">
        <f t="shared" ref="O140:R140" si="156">IFERROR(V140*INDEX($AH$4:$AH$8,MATCH($AA140,$AG$4:$AG$8,0)),"")</f>
        <v>200000000</v>
      </c>
      <c r="P140" s="10">
        <f t="shared" si="156"/>
        <v>175812258.4</v>
      </c>
      <c r="Q140" s="10">
        <f t="shared" si="156"/>
        <v>156640303</v>
      </c>
      <c r="R140" s="10">
        <f t="shared" si="156"/>
        <v>143209167</v>
      </c>
      <c r="S140" s="10">
        <f t="shared" si="4"/>
        <v>299849470</v>
      </c>
      <c r="T140" s="10">
        <f t="shared" si="5"/>
        <v>85484766.35</v>
      </c>
      <c r="U140" s="8">
        <v>46112.0</v>
      </c>
      <c r="V140" s="7">
        <v>2.0E8</v>
      </c>
      <c r="W140" s="7">
        <v>1.7581225841E8</v>
      </c>
      <c r="X140" s="7">
        <v>1.5664030304E8</v>
      </c>
      <c r="Y140" s="7">
        <v>1.43209167E8</v>
      </c>
      <c r="Z140" s="7">
        <v>8.548476635E7</v>
      </c>
      <c r="AA140" s="6" t="s">
        <v>52</v>
      </c>
      <c r="AB140" s="11" t="str">
        <f t="shared" si="6"/>
        <v>Include</v>
      </c>
      <c r="AC140" s="1">
        <f t="shared" si="155"/>
        <v>1.705509461</v>
      </c>
    </row>
    <row r="141" ht="15.0" customHeight="1">
      <c r="B141" s="6">
        <f t="shared" si="8"/>
        <v>139</v>
      </c>
      <c r="C141" s="1" t="s">
        <v>22</v>
      </c>
      <c r="D141" s="1" t="str">
        <f t="shared" si="2"/>
        <v>Real Estate &amp; Infra</v>
      </c>
      <c r="E141" s="1" t="s">
        <v>9</v>
      </c>
      <c r="F141" s="1" t="s">
        <v>9</v>
      </c>
      <c r="G141" s="1" t="s">
        <v>22</v>
      </c>
      <c r="H141" s="1" t="s">
        <v>37</v>
      </c>
      <c r="I141" s="1" t="s">
        <v>318</v>
      </c>
      <c r="J141" s="1" t="s">
        <v>319</v>
      </c>
      <c r="K141" s="1" t="s">
        <v>54</v>
      </c>
      <c r="L141" s="1" t="s">
        <v>55</v>
      </c>
      <c r="N141" s="6">
        <v>2018.0</v>
      </c>
      <c r="O141" s="10">
        <f t="shared" ref="O141:R141" si="157">IFERROR(V141*INDEX($AH$4:$AH$8,MATCH($AA141,$AG$4:$AG$8,0)),"")</f>
        <v>500000000</v>
      </c>
      <c r="P141" s="10">
        <f t="shared" si="157"/>
        <v>528411161.2</v>
      </c>
      <c r="Q141" s="10">
        <f t="shared" si="157"/>
        <v>268851312.3</v>
      </c>
      <c r="R141" s="10">
        <f t="shared" si="157"/>
        <v>868340223</v>
      </c>
      <c r="S141" s="10">
        <f t="shared" si="4"/>
        <v>1137191535</v>
      </c>
      <c r="T141" s="10">
        <f t="shared" si="5"/>
        <v>0</v>
      </c>
      <c r="U141" s="8">
        <v>46112.0</v>
      </c>
      <c r="V141" s="7">
        <v>5.0E8</v>
      </c>
      <c r="W141" s="7">
        <v>5.2841116116E8</v>
      </c>
      <c r="X141" s="7">
        <v>2.6885131226E8</v>
      </c>
      <c r="Y141" s="7">
        <v>8.68340223E8</v>
      </c>
      <c r="Z141" s="7">
        <v>0.0</v>
      </c>
      <c r="AA141" s="6" t="s">
        <v>52</v>
      </c>
      <c r="AB141" s="11" t="str">
        <f t="shared" si="6"/>
        <v>Include</v>
      </c>
      <c r="AC141" s="1">
        <f t="shared" si="155"/>
        <v>2.152095979</v>
      </c>
    </row>
    <row r="142" ht="15.0" customHeight="1">
      <c r="B142" s="6">
        <f t="shared" si="8"/>
        <v>140</v>
      </c>
      <c r="C142" s="1" t="s">
        <v>324</v>
      </c>
      <c r="D142" s="1" t="str">
        <f t="shared" si="2"/>
        <v>Real Estate &amp; Infra</v>
      </c>
      <c r="E142" s="1" t="s">
        <v>9</v>
      </c>
      <c r="F142" s="1" t="s">
        <v>9</v>
      </c>
      <c r="G142" s="1" t="s">
        <v>324</v>
      </c>
      <c r="H142" s="1" t="s">
        <v>50</v>
      </c>
      <c r="I142" s="1" t="s">
        <v>318</v>
      </c>
      <c r="J142" s="1" t="s">
        <v>319</v>
      </c>
      <c r="K142" s="1" t="s">
        <v>41</v>
      </c>
      <c r="L142" s="1" t="s">
        <v>55</v>
      </c>
      <c r="N142" s="6">
        <v>2020.0</v>
      </c>
      <c r="O142" s="10">
        <f t="shared" ref="O142:R142" si="158">IFERROR(V142*INDEX($AH$4:$AH$8,MATCH($AA142,$AG$4:$AG$8,0)),"")</f>
        <v>400000000</v>
      </c>
      <c r="P142" s="10">
        <f t="shared" si="158"/>
        <v>351483705</v>
      </c>
      <c r="Q142" s="10">
        <f t="shared" si="158"/>
        <v>27630648</v>
      </c>
      <c r="R142" s="10">
        <f t="shared" si="158"/>
        <v>408155535</v>
      </c>
      <c r="S142" s="10">
        <f t="shared" si="4"/>
        <v>435786183</v>
      </c>
      <c r="T142" s="10">
        <f t="shared" si="5"/>
        <v>76097997</v>
      </c>
      <c r="U142" s="8">
        <v>46112.0</v>
      </c>
      <c r="V142" s="7">
        <v>4.0E8</v>
      </c>
      <c r="W142" s="7">
        <v>3.51483705E8</v>
      </c>
      <c r="X142" s="7">
        <v>2.7630648E7</v>
      </c>
      <c r="Y142" s="7">
        <v>4.08155535E8</v>
      </c>
      <c r="Z142" s="7">
        <v>7.6097997E7</v>
      </c>
      <c r="AA142" s="6" t="s">
        <v>52</v>
      </c>
      <c r="AB142" s="11" t="str">
        <f t="shared" si="6"/>
        <v>Include</v>
      </c>
      <c r="AC142" s="1">
        <f t="shared" si="155"/>
        <v>1.239847472</v>
      </c>
    </row>
    <row r="143" ht="15.0" customHeight="1">
      <c r="B143" s="6">
        <f t="shared" si="8"/>
        <v>141</v>
      </c>
      <c r="C143" s="1" t="s">
        <v>325</v>
      </c>
      <c r="D143" s="1" t="str">
        <f t="shared" si="2"/>
        <v>Real Estate &amp; Infra</v>
      </c>
      <c r="E143" s="1" t="s">
        <v>9</v>
      </c>
      <c r="F143" s="1" t="s">
        <v>9</v>
      </c>
      <c r="G143" s="1" t="s">
        <v>325</v>
      </c>
      <c r="H143" s="1" t="s">
        <v>64</v>
      </c>
      <c r="I143" s="1" t="s">
        <v>318</v>
      </c>
      <c r="J143" s="1" t="s">
        <v>319</v>
      </c>
      <c r="K143" s="1" t="s">
        <v>41</v>
      </c>
      <c r="L143" s="1" t="s">
        <v>71</v>
      </c>
      <c r="N143" s="6">
        <v>2021.0</v>
      </c>
      <c r="O143" s="10">
        <f t="shared" ref="O143:R143" si="159">IFERROR(V143*INDEX($AH$4:$AH$8,MATCH($AA143,$AG$4:$AG$8,0)),"")</f>
        <v>300000000</v>
      </c>
      <c r="P143" s="10">
        <f t="shared" si="159"/>
        <v>217599879.4</v>
      </c>
      <c r="Q143" s="10">
        <f t="shared" si="159"/>
        <v>26924711.64</v>
      </c>
      <c r="R143" s="10">
        <f t="shared" si="159"/>
        <v>254960901</v>
      </c>
      <c r="S143" s="10">
        <f t="shared" si="4"/>
        <v>281885612.6</v>
      </c>
      <c r="T143" s="10">
        <f t="shared" si="5"/>
        <v>109357580.3</v>
      </c>
      <c r="U143" s="8">
        <v>46112.0</v>
      </c>
      <c r="V143" s="7">
        <v>3.0E8</v>
      </c>
      <c r="W143" s="7">
        <v>2.1759987935E8</v>
      </c>
      <c r="X143" s="7">
        <v>2.692471164E7</v>
      </c>
      <c r="Y143" s="7">
        <v>2.54960901E8</v>
      </c>
      <c r="Z143" s="7">
        <v>1.093575803E8</v>
      </c>
      <c r="AA143" s="6" t="s">
        <v>52</v>
      </c>
      <c r="AB143" s="11" t="str">
        <f t="shared" si="6"/>
        <v>Include</v>
      </c>
      <c r="AC143" s="1">
        <f t="shared" si="155"/>
        <v>1.295430923</v>
      </c>
    </row>
    <row r="144" ht="15.0" customHeight="1">
      <c r="B144" s="6">
        <f t="shared" si="8"/>
        <v>142</v>
      </c>
      <c r="C144" s="1" t="s">
        <v>326</v>
      </c>
      <c r="D144" s="1" t="str">
        <f t="shared" si="2"/>
        <v>Real Estate &amp; Infra</v>
      </c>
      <c r="E144" s="1" t="s">
        <v>9</v>
      </c>
      <c r="F144" s="1" t="s">
        <v>9</v>
      </c>
      <c r="G144" s="1" t="s">
        <v>326</v>
      </c>
      <c r="H144" s="1" t="s">
        <v>61</v>
      </c>
      <c r="I144" s="1" t="s">
        <v>318</v>
      </c>
      <c r="J144" s="1" t="s">
        <v>319</v>
      </c>
      <c r="K144" s="1" t="s">
        <v>62</v>
      </c>
      <c r="L144" s="1" t="s">
        <v>55</v>
      </c>
      <c r="N144" s="6">
        <v>2022.0</v>
      </c>
      <c r="O144" s="10">
        <f t="shared" ref="O144:R144" si="160">IFERROR(V144*INDEX($AH$4:$AH$8,MATCH($AA144,$AG$4:$AG$8,0)),"")</f>
        <v>247704472</v>
      </c>
      <c r="P144" s="10">
        <f t="shared" si="160"/>
        <v>162331224</v>
      </c>
      <c r="Q144" s="10">
        <f t="shared" si="160"/>
        <v>17881867.6</v>
      </c>
      <c r="R144" s="10">
        <f t="shared" si="160"/>
        <v>270988447</v>
      </c>
      <c r="S144" s="10">
        <f t="shared" si="4"/>
        <v>288870314.6</v>
      </c>
      <c r="T144" s="10">
        <f t="shared" si="5"/>
        <v>90111054</v>
      </c>
      <c r="U144" s="8">
        <v>46112.0</v>
      </c>
      <c r="V144" s="7">
        <v>2.47704472E8</v>
      </c>
      <c r="W144" s="7">
        <v>1.62331224E8</v>
      </c>
      <c r="X144" s="7">
        <v>1.78818676E7</v>
      </c>
      <c r="Y144" s="7">
        <v>2.70988447E8</v>
      </c>
      <c r="Z144" s="7">
        <v>9.0111054E7</v>
      </c>
      <c r="AA144" s="6" t="s">
        <v>52</v>
      </c>
      <c r="AB144" s="11" t="str">
        <f t="shared" si="6"/>
        <v>Include</v>
      </c>
      <c r="AC144" s="1">
        <f t="shared" si="155"/>
        <v>1.779511714</v>
      </c>
    </row>
    <row r="145" ht="15.0" customHeight="1">
      <c r="B145" s="6">
        <f t="shared" si="8"/>
        <v>143</v>
      </c>
      <c r="C145" s="1" t="s">
        <v>327</v>
      </c>
      <c r="D145" s="1" t="str">
        <f t="shared" si="2"/>
        <v>Real Estate &amp; Infra</v>
      </c>
      <c r="E145" s="1" t="s">
        <v>9</v>
      </c>
      <c r="F145" s="1" t="s">
        <v>9</v>
      </c>
      <c r="G145" s="1" t="s">
        <v>327</v>
      </c>
      <c r="H145" s="1" t="s">
        <v>66</v>
      </c>
      <c r="I145" s="1" t="s">
        <v>318</v>
      </c>
      <c r="J145" s="1" t="s">
        <v>319</v>
      </c>
      <c r="K145" s="1" t="s">
        <v>41</v>
      </c>
      <c r="L145" s="1" t="s">
        <v>55</v>
      </c>
      <c r="N145" s="6">
        <v>2022.0</v>
      </c>
      <c r="O145" s="10">
        <f t="shared" ref="O145:R145" si="161">IFERROR(V145*INDEX($AH$4:$AH$8,MATCH($AA145,$AG$4:$AG$8,0)),"")</f>
        <v>231102000</v>
      </c>
      <c r="P145" s="10">
        <f t="shared" si="161"/>
        <v>157059412.2</v>
      </c>
      <c r="Q145" s="10">
        <f t="shared" si="161"/>
        <v>6221579.538</v>
      </c>
      <c r="R145" s="10">
        <f t="shared" si="161"/>
        <v>172296615.9</v>
      </c>
      <c r="S145" s="10">
        <f t="shared" si="4"/>
        <v>178518195.4</v>
      </c>
      <c r="T145" s="10">
        <f t="shared" si="5"/>
        <v>77142019.81</v>
      </c>
      <c r="U145" s="8">
        <v>46112.0</v>
      </c>
      <c r="V145" s="7">
        <v>2.0E8</v>
      </c>
      <c r="W145" s="7">
        <v>1.3592215747E8</v>
      </c>
      <c r="X145" s="7">
        <v>5384271.48</v>
      </c>
      <c r="Y145" s="7">
        <v>1.49108719E8</v>
      </c>
      <c r="Z145" s="7">
        <v>6.676014903E7</v>
      </c>
      <c r="AA145" s="6" t="s">
        <v>45</v>
      </c>
      <c r="AB145" s="11" t="str">
        <f t="shared" si="6"/>
        <v>Include</v>
      </c>
      <c r="AC145" s="1">
        <f t="shared" si="155"/>
        <v>1.136628445</v>
      </c>
    </row>
    <row r="146" ht="15.0" customHeight="1">
      <c r="B146" s="6">
        <f t="shared" si="8"/>
        <v>144</v>
      </c>
      <c r="C146" s="1" t="s">
        <v>328</v>
      </c>
      <c r="D146" s="1" t="str">
        <f t="shared" si="2"/>
        <v>Real Estate &amp; Infra</v>
      </c>
      <c r="E146" s="1" t="s">
        <v>9</v>
      </c>
      <c r="F146" s="1" t="s">
        <v>9</v>
      </c>
      <c r="G146" s="1" t="s">
        <v>328</v>
      </c>
      <c r="H146" s="1" t="s">
        <v>68</v>
      </c>
      <c r="I146" s="1" t="s">
        <v>318</v>
      </c>
      <c r="J146" s="1" t="s">
        <v>319</v>
      </c>
      <c r="K146" s="1" t="s">
        <v>62</v>
      </c>
      <c r="L146" s="1" t="s">
        <v>55</v>
      </c>
      <c r="N146" s="6">
        <v>2023.0</v>
      </c>
      <c r="O146" s="10">
        <f t="shared" ref="O146:R146" si="162">IFERROR(V146*INDEX($AH$4:$AH$8,MATCH($AA146,$AG$4:$AG$8,0)),"")</f>
        <v>200000000</v>
      </c>
      <c r="P146" s="10">
        <f t="shared" si="162"/>
        <v>143840173.4</v>
      </c>
      <c r="Q146" s="10">
        <f t="shared" si="162"/>
        <v>24718170.35</v>
      </c>
      <c r="R146" s="10">
        <f t="shared" si="162"/>
        <v>168081074.8</v>
      </c>
      <c r="S146" s="10">
        <f t="shared" si="4"/>
        <v>192799245.1</v>
      </c>
      <c r="T146" s="10">
        <f t="shared" si="5"/>
        <v>80858229</v>
      </c>
      <c r="U146" s="8">
        <v>46112.0</v>
      </c>
      <c r="V146" s="7">
        <v>2.0E8</v>
      </c>
      <c r="W146" s="7">
        <v>1.4384017335E8</v>
      </c>
      <c r="X146" s="7">
        <v>2.471817035E7</v>
      </c>
      <c r="Y146" s="7">
        <v>1.6808107479E8</v>
      </c>
      <c r="Z146" s="7">
        <v>8.0858229E7</v>
      </c>
      <c r="AA146" s="6" t="s">
        <v>52</v>
      </c>
      <c r="AB146" s="11" t="str">
        <f t="shared" si="6"/>
        <v>Include</v>
      </c>
      <c r="AC146" s="1">
        <f t="shared" si="155"/>
        <v>1.340371335</v>
      </c>
    </row>
    <row r="147" ht="15.0" customHeight="1">
      <c r="B147" s="6">
        <f t="shared" si="8"/>
        <v>145</v>
      </c>
      <c r="C147" s="1" t="s">
        <v>329</v>
      </c>
      <c r="D147" s="1" t="str">
        <f t="shared" si="2"/>
        <v>Real Estate &amp; Infra</v>
      </c>
      <c r="E147" s="1" t="s">
        <v>9</v>
      </c>
      <c r="F147" s="1" t="s">
        <v>9</v>
      </c>
      <c r="G147" s="1" t="s">
        <v>329</v>
      </c>
      <c r="H147" s="1" t="s">
        <v>322</v>
      </c>
      <c r="I147" s="1" t="s">
        <v>318</v>
      </c>
      <c r="J147" s="1" t="s">
        <v>319</v>
      </c>
      <c r="K147" s="1" t="s">
        <v>41</v>
      </c>
      <c r="L147" s="1" t="s">
        <v>55</v>
      </c>
      <c r="N147" s="6">
        <v>2024.0</v>
      </c>
      <c r="O147" s="10">
        <f t="shared" ref="O147:R147" si="163">IFERROR(V147*INDEX($AH$4:$AH$8,MATCH($AA147,$AG$4:$AG$8,0)),"")</f>
        <v>300000000</v>
      </c>
      <c r="P147" s="10">
        <f t="shared" si="163"/>
        <v>239350000</v>
      </c>
      <c r="Q147" s="10">
        <f t="shared" si="163"/>
        <v>2171027</v>
      </c>
      <c r="R147" s="10">
        <f t="shared" si="163"/>
        <v>292313690</v>
      </c>
      <c r="S147" s="10">
        <f t="shared" si="4"/>
        <v>294484717</v>
      </c>
      <c r="T147" s="10">
        <f t="shared" si="5"/>
        <v>60650000</v>
      </c>
      <c r="U147" s="8">
        <v>46112.0</v>
      </c>
      <c r="V147" s="7">
        <v>3.0E8</v>
      </c>
      <c r="W147" s="7">
        <v>2.3935E8</v>
      </c>
      <c r="X147" s="7">
        <v>2171027.0</v>
      </c>
      <c r="Y147" s="7">
        <v>2.9231369E8</v>
      </c>
      <c r="Z147" s="7">
        <v>6.065E7</v>
      </c>
      <c r="AA147" s="6" t="s">
        <v>52</v>
      </c>
      <c r="AB147" s="11" t="str">
        <f t="shared" si="6"/>
        <v>Include</v>
      </c>
      <c r="AC147" s="1">
        <f t="shared" si="155"/>
        <v>1.230351857</v>
      </c>
    </row>
    <row r="148" ht="15.0" customHeight="1">
      <c r="B148" s="6">
        <f t="shared" si="8"/>
        <v>146</v>
      </c>
      <c r="C148" s="1" t="s">
        <v>330</v>
      </c>
      <c r="D148" s="1" t="str">
        <f t="shared" si="2"/>
        <v>Real Estate &amp; Infra</v>
      </c>
      <c r="E148" s="1" t="s">
        <v>9</v>
      </c>
      <c r="F148" s="1" t="s">
        <v>9</v>
      </c>
      <c r="G148" s="1" t="s">
        <v>331</v>
      </c>
      <c r="H148" s="1" t="s">
        <v>332</v>
      </c>
      <c r="I148" s="1" t="s">
        <v>318</v>
      </c>
      <c r="J148" s="1" t="s">
        <v>319</v>
      </c>
      <c r="K148" s="1" t="s">
        <v>62</v>
      </c>
      <c r="L148" s="1" t="s">
        <v>51</v>
      </c>
      <c r="N148" s="6">
        <v>2023.0</v>
      </c>
      <c r="O148" s="10">
        <f t="shared" ref="O148:R148" si="164">IFERROR(V148*INDEX($AH$4:$AH$8,MATCH($AA148,$AG$4:$AG$8,0)),"")</f>
        <v>100000000</v>
      </c>
      <c r="P148" s="10">
        <f t="shared" si="164"/>
        <v>74813743</v>
      </c>
      <c r="Q148" s="10">
        <f t="shared" si="164"/>
        <v>88659</v>
      </c>
      <c r="R148" s="10">
        <f t="shared" si="164"/>
        <v>71568575</v>
      </c>
      <c r="S148" s="10">
        <f t="shared" si="4"/>
        <v>71657234</v>
      </c>
      <c r="T148" s="10">
        <f t="shared" si="5"/>
        <v>26000000</v>
      </c>
      <c r="U148" s="8">
        <v>46112.0</v>
      </c>
      <c r="V148" s="7">
        <v>1.0E8</v>
      </c>
      <c r="W148" s="7">
        <v>7.4813743E7</v>
      </c>
      <c r="X148" s="7">
        <v>88659.0</v>
      </c>
      <c r="Y148" s="7">
        <v>7.1568575E7</v>
      </c>
      <c r="Z148" s="7">
        <v>2.6E7</v>
      </c>
      <c r="AA148" s="6" t="s">
        <v>52</v>
      </c>
      <c r="AB148" s="11" t="str">
        <f t="shared" si="6"/>
        <v>Include</v>
      </c>
      <c r="AC148" s="1">
        <f t="shared" si="155"/>
        <v>0.9578084337</v>
      </c>
    </row>
    <row r="149" ht="15.0" customHeight="1">
      <c r="B149" s="6">
        <f t="shared" si="8"/>
        <v>147</v>
      </c>
      <c r="C149" s="1" t="s">
        <v>333</v>
      </c>
      <c r="D149" s="1" t="str">
        <f t="shared" si="2"/>
        <v>Real Estate &amp; Infra</v>
      </c>
      <c r="E149" s="1" t="s">
        <v>9</v>
      </c>
      <c r="F149" s="1" t="s">
        <v>9</v>
      </c>
      <c r="G149" s="1" t="s">
        <v>334</v>
      </c>
      <c r="H149" s="1" t="s">
        <v>37</v>
      </c>
      <c r="I149" s="1" t="s">
        <v>318</v>
      </c>
      <c r="J149" s="1" t="s">
        <v>319</v>
      </c>
      <c r="K149" s="1" t="s">
        <v>54</v>
      </c>
      <c r="L149" s="1" t="s">
        <v>55</v>
      </c>
      <c r="N149" s="6">
        <v>2024.0</v>
      </c>
      <c r="O149" s="10">
        <f t="shared" ref="O149:R149" si="165">IFERROR(V149*INDEX($AH$4:$AH$8,MATCH($AA149,$AG$4:$AG$8,0)),"")</f>
        <v>231102000</v>
      </c>
      <c r="P149" s="10">
        <f t="shared" si="165"/>
        <v>127579405.6</v>
      </c>
      <c r="Q149" s="10">
        <f t="shared" si="165"/>
        <v>5277318.339</v>
      </c>
      <c r="R149" s="10">
        <f t="shared" si="165"/>
        <v>123587617.1</v>
      </c>
      <c r="S149" s="10">
        <f t="shared" si="4"/>
        <v>128864935.5</v>
      </c>
      <c r="T149" s="10">
        <f t="shared" si="5"/>
        <v>102642873.6</v>
      </c>
      <c r="U149" s="8">
        <v>46112.0</v>
      </c>
      <c r="V149" s="7">
        <v>2.0E8</v>
      </c>
      <c r="W149" s="7">
        <v>1.1040960753E8</v>
      </c>
      <c r="X149" s="7">
        <v>4567090.15</v>
      </c>
      <c r="Y149" s="7">
        <v>1.06955039E8</v>
      </c>
      <c r="Z149" s="7">
        <v>8.882906564E7</v>
      </c>
      <c r="AA149" s="6" t="s">
        <v>45</v>
      </c>
      <c r="AB149" s="11" t="str">
        <f t="shared" si="6"/>
        <v>Include</v>
      </c>
      <c r="AC149" s="1">
        <f t="shared" si="155"/>
        <v>1.010076312</v>
      </c>
    </row>
    <row r="150" ht="15.0" customHeight="1">
      <c r="B150" s="6">
        <f t="shared" si="8"/>
        <v>148</v>
      </c>
      <c r="C150" s="1" t="s">
        <v>335</v>
      </c>
      <c r="D150" s="1" t="str">
        <f t="shared" si="2"/>
        <v>Real Estate &amp; Infra</v>
      </c>
      <c r="E150" s="1" t="s">
        <v>9</v>
      </c>
      <c r="F150" s="1" t="s">
        <v>9</v>
      </c>
      <c r="G150" s="1" t="s">
        <v>335</v>
      </c>
      <c r="H150" s="1" t="s">
        <v>64</v>
      </c>
      <c r="I150" s="1" t="s">
        <v>318</v>
      </c>
      <c r="J150" s="1" t="s">
        <v>319</v>
      </c>
      <c r="K150" s="1" t="s">
        <v>41</v>
      </c>
      <c r="L150" s="1" t="s">
        <v>71</v>
      </c>
      <c r="N150" s="6">
        <v>2024.0</v>
      </c>
      <c r="O150" s="10">
        <f t="shared" ref="O150:R150" si="166">IFERROR(V150*INDEX($AH$4:$AH$8,MATCH($AA150,$AG$4:$AG$8,0)),"")</f>
        <v>250000000</v>
      </c>
      <c r="P150" s="10">
        <f t="shared" si="166"/>
        <v>119923852.5</v>
      </c>
      <c r="Q150" s="10">
        <f t="shared" si="166"/>
        <v>0</v>
      </c>
      <c r="R150" s="10">
        <f t="shared" si="166"/>
        <v>108311081</v>
      </c>
      <c r="S150" s="10">
        <f t="shared" si="4"/>
        <v>108311081</v>
      </c>
      <c r="T150" s="10">
        <f t="shared" si="5"/>
        <v>130076147.5</v>
      </c>
      <c r="U150" s="8">
        <v>46112.0</v>
      </c>
      <c r="V150" s="7">
        <v>2.5E8</v>
      </c>
      <c r="W150" s="7">
        <v>1.1992385252E8</v>
      </c>
      <c r="X150" s="7">
        <v>0.0</v>
      </c>
      <c r="Y150" s="7">
        <v>1.08311081E8</v>
      </c>
      <c r="Z150" s="7">
        <v>1.3007614748E8</v>
      </c>
      <c r="AA150" s="6" t="s">
        <v>52</v>
      </c>
      <c r="AB150" s="11" t="str">
        <f t="shared" si="6"/>
        <v>Include</v>
      </c>
      <c r="AC150" s="1">
        <f t="shared" si="155"/>
        <v>0.9031654564</v>
      </c>
    </row>
    <row r="151" ht="15.0" customHeight="1">
      <c r="B151" s="6">
        <f t="shared" si="8"/>
        <v>149</v>
      </c>
      <c r="C151" s="1" t="s">
        <v>336</v>
      </c>
      <c r="D151" s="1" t="str">
        <f t="shared" si="2"/>
        <v>Real Estate &amp; Infra</v>
      </c>
      <c r="E151" s="1" t="s">
        <v>9</v>
      </c>
      <c r="F151" s="1" t="s">
        <v>9</v>
      </c>
      <c r="G151" s="1" t="s">
        <v>337</v>
      </c>
      <c r="H151" s="1" t="s">
        <v>50</v>
      </c>
      <c r="I151" s="1" t="s">
        <v>318</v>
      </c>
      <c r="J151" s="1" t="s">
        <v>319</v>
      </c>
      <c r="K151" s="1" t="s">
        <v>41</v>
      </c>
      <c r="L151" s="1" t="s">
        <v>55</v>
      </c>
      <c r="N151" s="6">
        <v>2025.0</v>
      </c>
      <c r="O151" s="10">
        <f t="shared" ref="O151:R151" si="167">IFERROR(V151*INDEX($AH$4:$AH$8,MATCH($AA151,$AG$4:$AG$8,0)),"")</f>
        <v>200000000</v>
      </c>
      <c r="P151" s="10">
        <f t="shared" si="167"/>
        <v>0.01</v>
      </c>
      <c r="Q151" s="10">
        <f t="shared" si="167"/>
        <v>0</v>
      </c>
      <c r="R151" s="10">
        <f t="shared" si="167"/>
        <v>-2571038</v>
      </c>
      <c r="S151" s="10">
        <f t="shared" si="4"/>
        <v>-2571038</v>
      </c>
      <c r="T151" s="10">
        <f t="shared" si="5"/>
        <v>200000000</v>
      </c>
      <c r="U151" s="8">
        <v>46112.0</v>
      </c>
      <c r="V151" s="7">
        <v>2.0E8</v>
      </c>
      <c r="W151" s="7">
        <v>0.01</v>
      </c>
      <c r="X151" s="7">
        <v>0.0</v>
      </c>
      <c r="Y151" s="7">
        <v>-2571038.0</v>
      </c>
      <c r="Z151" s="7">
        <v>1.9999999999E8</v>
      </c>
      <c r="AA151" s="6" t="s">
        <v>52</v>
      </c>
      <c r="AB151" s="11" t="str">
        <f t="shared" si="6"/>
        <v>Exclude</v>
      </c>
    </row>
    <row r="152" ht="15.0" customHeight="1">
      <c r="B152" s="6">
        <f t="shared" si="8"/>
        <v>150</v>
      </c>
      <c r="C152" s="1" t="s">
        <v>338</v>
      </c>
      <c r="D152" s="1" t="str">
        <f t="shared" si="2"/>
        <v>Real Estate &amp; Infra</v>
      </c>
      <c r="E152" s="1" t="s">
        <v>9</v>
      </c>
      <c r="F152" s="1" t="s">
        <v>9</v>
      </c>
      <c r="G152" s="1" t="s">
        <v>338</v>
      </c>
      <c r="H152" s="1" t="s">
        <v>66</v>
      </c>
      <c r="I152" s="1" t="s">
        <v>318</v>
      </c>
      <c r="J152" s="1" t="s">
        <v>319</v>
      </c>
      <c r="K152" s="1" t="s">
        <v>41</v>
      </c>
      <c r="L152" s="1" t="s">
        <v>55</v>
      </c>
      <c r="N152" s="6">
        <v>2025.0</v>
      </c>
      <c r="O152" s="10">
        <f t="shared" ref="O152:R152" si="168">IFERROR(V152*INDEX($AH$4:$AH$8,MATCH($AA152,$AG$4:$AG$8,0)),"")</f>
        <v>115551000</v>
      </c>
      <c r="P152" s="10">
        <f t="shared" si="168"/>
        <v>16767753.17</v>
      </c>
      <c r="Q152" s="10">
        <f t="shared" si="168"/>
        <v>0</v>
      </c>
      <c r="R152" s="10">
        <f t="shared" si="168"/>
        <v>12025117.56</v>
      </c>
      <c r="S152" s="10">
        <f t="shared" si="4"/>
        <v>12025117.56</v>
      </c>
      <c r="T152" s="10">
        <f t="shared" si="5"/>
        <v>98731200.84</v>
      </c>
      <c r="U152" s="8">
        <v>46112.0</v>
      </c>
      <c r="V152" s="7">
        <v>1.0E8</v>
      </c>
      <c r="W152" s="7">
        <v>1.45111277E7</v>
      </c>
      <c r="X152" s="7">
        <v>0.0</v>
      </c>
      <c r="Y152" s="7">
        <v>1.0406762E7</v>
      </c>
      <c r="Z152" s="7">
        <v>8.544383072E7</v>
      </c>
      <c r="AA152" s="6" t="s">
        <v>45</v>
      </c>
      <c r="AB152" s="11" t="str">
        <f t="shared" si="6"/>
        <v>Include</v>
      </c>
      <c r="AC152" s="1">
        <f>S152/P152</f>
        <v>0.7171573578</v>
      </c>
    </row>
    <row r="153" ht="15.0" customHeight="1">
      <c r="B153" s="6">
        <f t="shared" si="8"/>
        <v>151</v>
      </c>
      <c r="C153" s="1" t="s">
        <v>339</v>
      </c>
      <c r="D153" s="1" t="str">
        <f t="shared" si="2"/>
        <v>Real Estate &amp; Infra</v>
      </c>
      <c r="E153" s="1" t="s">
        <v>9</v>
      </c>
      <c r="F153" s="1" t="s">
        <v>9</v>
      </c>
      <c r="G153" s="1" t="s">
        <v>340</v>
      </c>
      <c r="H153" s="1" t="s">
        <v>341</v>
      </c>
      <c r="I153" s="1" t="s">
        <v>318</v>
      </c>
      <c r="J153" s="1" t="s">
        <v>319</v>
      </c>
      <c r="K153" s="1" t="s">
        <v>62</v>
      </c>
      <c r="L153" s="1" t="s">
        <v>55</v>
      </c>
      <c r="N153" s="6">
        <v>2022.0</v>
      </c>
      <c r="O153" s="10">
        <f t="shared" ref="O153:R153" si="169">IFERROR(V153*INDEX($AH$4:$AH$8,MATCH($AA153,$AG$4:$AG$8,0)),"")</f>
        <v>75000000</v>
      </c>
      <c r="P153" s="10">
        <f t="shared" si="169"/>
        <v>0</v>
      </c>
      <c r="Q153" s="10">
        <f t="shared" si="169"/>
        <v>0</v>
      </c>
      <c r="R153" s="10">
        <f t="shared" si="169"/>
        <v>0</v>
      </c>
      <c r="S153" s="10">
        <f t="shared" si="4"/>
        <v>0</v>
      </c>
      <c r="T153" s="10">
        <f t="shared" si="5"/>
        <v>75000000</v>
      </c>
      <c r="U153" s="8"/>
      <c r="V153" s="7">
        <v>7.5E7</v>
      </c>
      <c r="W153" s="7">
        <v>0.0</v>
      </c>
      <c r="X153" s="7">
        <v>0.0</v>
      </c>
      <c r="Y153" s="7"/>
      <c r="Z153" s="7">
        <v>7.5E7</v>
      </c>
      <c r="AA153" s="6" t="s">
        <v>52</v>
      </c>
      <c r="AB153" s="11" t="str">
        <f t="shared" si="6"/>
        <v>Exclude</v>
      </c>
    </row>
    <row r="154" ht="15.0" customHeight="1">
      <c r="B154" s="6">
        <f t="shared" si="8"/>
        <v>152</v>
      </c>
      <c r="C154" s="1" t="s">
        <v>342</v>
      </c>
      <c r="D154" s="1" t="str">
        <f t="shared" si="2"/>
        <v>Real Estate &amp; Infra</v>
      </c>
      <c r="E154" s="1" t="s">
        <v>9</v>
      </c>
      <c r="F154" s="1" t="s">
        <v>9</v>
      </c>
      <c r="G154" s="1" t="s">
        <v>342</v>
      </c>
      <c r="H154" s="1" t="s">
        <v>68</v>
      </c>
      <c r="I154" s="1" t="s">
        <v>318</v>
      </c>
      <c r="J154" s="1" t="s">
        <v>319</v>
      </c>
      <c r="K154" s="1" t="s">
        <v>62</v>
      </c>
      <c r="L154" s="1" t="s">
        <v>55</v>
      </c>
      <c r="N154" s="6">
        <v>2026.0</v>
      </c>
      <c r="O154" s="10">
        <f t="shared" ref="O154:R154" si="170">IFERROR(V154*INDEX($AH$4:$AH$8,MATCH($AA154,$AG$4:$AG$8,0)),"")</f>
        <v>200000000</v>
      </c>
      <c r="P154" s="10">
        <f t="shared" si="170"/>
        <v>0</v>
      </c>
      <c r="Q154" s="10">
        <f t="shared" si="170"/>
        <v>0</v>
      </c>
      <c r="R154" s="10">
        <f t="shared" si="170"/>
        <v>0</v>
      </c>
      <c r="S154" s="10">
        <f t="shared" si="4"/>
        <v>0</v>
      </c>
      <c r="T154" s="10">
        <f t="shared" si="5"/>
        <v>200000000</v>
      </c>
      <c r="U154" s="8"/>
      <c r="V154" s="7">
        <v>2.0E8</v>
      </c>
      <c r="W154" s="7">
        <v>0.0</v>
      </c>
      <c r="X154" s="7">
        <v>0.0</v>
      </c>
      <c r="Y154" s="7"/>
      <c r="Z154" s="7">
        <v>2.0E8</v>
      </c>
      <c r="AA154" s="6" t="s">
        <v>52</v>
      </c>
      <c r="AB154" s="11" t="str">
        <f t="shared" si="6"/>
        <v>Exclude</v>
      </c>
    </row>
    <row r="155" ht="15.0" customHeight="1">
      <c r="B155" s="6">
        <f t="shared" si="8"/>
        <v>153</v>
      </c>
      <c r="C155" s="1" t="s">
        <v>343</v>
      </c>
      <c r="D155" s="1" t="str">
        <f t="shared" si="2"/>
        <v>Private Credit</v>
      </c>
      <c r="E155" s="1" t="s">
        <v>39</v>
      </c>
      <c r="F155" s="1" t="s">
        <v>39</v>
      </c>
      <c r="G155" s="1" t="s">
        <v>343</v>
      </c>
      <c r="H155" s="1" t="s">
        <v>344</v>
      </c>
      <c r="I155" s="1" t="s">
        <v>318</v>
      </c>
      <c r="J155" s="1" t="s">
        <v>345</v>
      </c>
      <c r="K155" s="1" t="s">
        <v>92</v>
      </c>
      <c r="L155" s="1" t="s">
        <v>346</v>
      </c>
      <c r="N155" s="6">
        <v>2007.0</v>
      </c>
      <c r="O155" s="10">
        <f t="shared" ref="O155:R155" si="171">IFERROR(V155*INDEX($AH$4:$AH$8,MATCH($AA155,$AG$4:$AG$8,0)),"")</f>
        <v>350000000</v>
      </c>
      <c r="P155" s="10">
        <f t="shared" si="171"/>
        <v>350055771</v>
      </c>
      <c r="Q155" s="10">
        <f t="shared" si="171"/>
        <v>387595863.9</v>
      </c>
      <c r="R155" s="10">
        <f t="shared" si="171"/>
        <v>0</v>
      </c>
      <c r="S155" s="10">
        <f t="shared" si="4"/>
        <v>387595863.9</v>
      </c>
      <c r="T155" s="10">
        <f t="shared" si="5"/>
        <v>0</v>
      </c>
      <c r="U155" s="8">
        <v>43889.0</v>
      </c>
      <c r="V155" s="7">
        <v>3.5E8</v>
      </c>
      <c r="W155" s="7">
        <v>3.50055771E8</v>
      </c>
      <c r="X155" s="7">
        <v>3.8759586388E8</v>
      </c>
      <c r="Y155" s="7">
        <v>0.0</v>
      </c>
      <c r="Z155" s="7">
        <v>0.0</v>
      </c>
      <c r="AA155" s="6" t="s">
        <v>52</v>
      </c>
      <c r="AB155" s="11" t="str">
        <f t="shared" si="6"/>
        <v>Exclude</v>
      </c>
    </row>
    <row r="156" ht="15.0" customHeight="1">
      <c r="B156" s="6">
        <f t="shared" si="8"/>
        <v>154</v>
      </c>
      <c r="C156" s="1" t="s">
        <v>347</v>
      </c>
      <c r="D156" s="1" t="str">
        <f t="shared" si="2"/>
        <v>Private Credit</v>
      </c>
      <c r="E156" s="1" t="s">
        <v>39</v>
      </c>
      <c r="F156" s="1" t="s">
        <v>39</v>
      </c>
      <c r="G156" s="1" t="s">
        <v>347</v>
      </c>
      <c r="H156" s="1" t="s">
        <v>348</v>
      </c>
      <c r="I156" s="1" t="s">
        <v>318</v>
      </c>
      <c r="J156" s="1" t="s">
        <v>345</v>
      </c>
      <c r="K156" s="1" t="s">
        <v>92</v>
      </c>
      <c r="L156" s="1" t="s">
        <v>349</v>
      </c>
      <c r="N156" s="6">
        <v>2007.0</v>
      </c>
      <c r="O156" s="10">
        <f t="shared" ref="O156:R156" si="172">IFERROR(V156*INDEX($AH$4:$AH$8,MATCH($AA156,$AG$4:$AG$8,0)),"")</f>
        <v>500000000</v>
      </c>
      <c r="P156" s="10">
        <f t="shared" si="172"/>
        <v>500054218.6</v>
      </c>
      <c r="Q156" s="10">
        <f t="shared" si="172"/>
        <v>748307359.1</v>
      </c>
      <c r="R156" s="10">
        <f t="shared" si="172"/>
        <v>0</v>
      </c>
      <c r="S156" s="10">
        <f t="shared" si="4"/>
        <v>748307359.1</v>
      </c>
      <c r="T156" s="10">
        <f t="shared" si="5"/>
        <v>0</v>
      </c>
      <c r="U156" s="8">
        <v>42565.0</v>
      </c>
      <c r="V156" s="7">
        <v>5.0E8</v>
      </c>
      <c r="W156" s="7">
        <v>5.0005421859E8</v>
      </c>
      <c r="X156" s="7">
        <v>7.4830735912E8</v>
      </c>
      <c r="Y156" s="7">
        <v>0.0</v>
      </c>
      <c r="Z156" s="7">
        <v>0.0</v>
      </c>
      <c r="AA156" s="6" t="s">
        <v>52</v>
      </c>
      <c r="AB156" s="11" t="str">
        <f t="shared" si="6"/>
        <v>Exclude</v>
      </c>
    </row>
    <row r="157" ht="15.0" customHeight="1">
      <c r="B157" s="6">
        <f t="shared" si="8"/>
        <v>155</v>
      </c>
      <c r="C157" s="1" t="s">
        <v>350</v>
      </c>
      <c r="D157" s="1" t="str">
        <f t="shared" si="2"/>
        <v>Private Credit</v>
      </c>
      <c r="E157" s="1" t="s">
        <v>39</v>
      </c>
      <c r="F157" s="1" t="s">
        <v>39</v>
      </c>
      <c r="G157" s="1" t="s">
        <v>350</v>
      </c>
      <c r="H157" s="1" t="s">
        <v>232</v>
      </c>
      <c r="I157" s="1" t="s">
        <v>318</v>
      </c>
      <c r="J157" s="1" t="s">
        <v>345</v>
      </c>
      <c r="K157" s="1" t="s">
        <v>92</v>
      </c>
      <c r="L157" s="1" t="s">
        <v>93</v>
      </c>
      <c r="N157" s="6">
        <v>2008.0</v>
      </c>
      <c r="O157" s="10">
        <f t="shared" ref="O157:R157" si="173">IFERROR(V157*INDEX($AH$4:$AH$8,MATCH($AA157,$AG$4:$AG$8,0)),"")</f>
        <v>500000000</v>
      </c>
      <c r="P157" s="10">
        <f t="shared" si="173"/>
        <v>475000000</v>
      </c>
      <c r="Q157" s="10">
        <f t="shared" si="173"/>
        <v>706635993.5</v>
      </c>
      <c r="R157" s="10">
        <f t="shared" si="173"/>
        <v>541351</v>
      </c>
      <c r="S157" s="10">
        <f t="shared" si="4"/>
        <v>707177344.5</v>
      </c>
      <c r="T157" s="10">
        <f t="shared" si="5"/>
        <v>0</v>
      </c>
      <c r="U157" s="8">
        <v>45930.0</v>
      </c>
      <c r="V157" s="7">
        <v>5.0E8</v>
      </c>
      <c r="W157" s="7">
        <v>4.75E8</v>
      </c>
      <c r="X157" s="7">
        <v>7.0663599348E8</v>
      </c>
      <c r="Y157" s="7">
        <v>541351.0</v>
      </c>
      <c r="Z157" s="7">
        <v>0.0</v>
      </c>
      <c r="AA157" s="6" t="s">
        <v>52</v>
      </c>
      <c r="AB157" s="11" t="str">
        <f t="shared" si="6"/>
        <v>Exclude</v>
      </c>
    </row>
    <row r="158" ht="15.0" customHeight="1">
      <c r="B158" s="6">
        <f t="shared" si="8"/>
        <v>156</v>
      </c>
      <c r="C158" s="1" t="s">
        <v>351</v>
      </c>
      <c r="D158" s="1" t="str">
        <f t="shared" si="2"/>
        <v>Private Credit</v>
      </c>
      <c r="E158" s="1" t="s">
        <v>39</v>
      </c>
      <c r="F158" s="1" t="s">
        <v>39</v>
      </c>
      <c r="G158" s="1" t="s">
        <v>351</v>
      </c>
      <c r="H158" s="1" t="s">
        <v>352</v>
      </c>
      <c r="I158" s="1" t="s">
        <v>318</v>
      </c>
      <c r="J158" s="1" t="s">
        <v>345</v>
      </c>
      <c r="K158" s="1" t="s">
        <v>92</v>
      </c>
      <c r="L158" s="1" t="s">
        <v>103</v>
      </c>
      <c r="N158" s="6">
        <v>2008.0</v>
      </c>
      <c r="O158" s="10">
        <f t="shared" ref="O158:R158" si="174">IFERROR(V158*INDEX($AH$4:$AH$8,MATCH($AA158,$AG$4:$AG$8,0)),"")</f>
        <v>250000000</v>
      </c>
      <c r="P158" s="10">
        <f t="shared" si="174"/>
        <v>212275159.3</v>
      </c>
      <c r="Q158" s="10">
        <f t="shared" si="174"/>
        <v>288705686.7</v>
      </c>
      <c r="R158" s="10">
        <f t="shared" si="174"/>
        <v>0</v>
      </c>
      <c r="S158" s="10">
        <f t="shared" si="4"/>
        <v>288705686.7</v>
      </c>
      <c r="T158" s="10">
        <f t="shared" si="5"/>
        <v>0</v>
      </c>
      <c r="U158" s="8">
        <v>40421.0</v>
      </c>
      <c r="V158" s="7">
        <v>2.5E8</v>
      </c>
      <c r="W158" s="7">
        <v>2.1227515932E8</v>
      </c>
      <c r="X158" s="7">
        <v>2.8870568674E8</v>
      </c>
      <c r="Y158" s="7">
        <v>0.0</v>
      </c>
      <c r="Z158" s="7">
        <v>0.0</v>
      </c>
      <c r="AA158" s="6" t="s">
        <v>52</v>
      </c>
      <c r="AB158" s="11" t="str">
        <f t="shared" si="6"/>
        <v>Exclude</v>
      </c>
    </row>
    <row r="159" ht="15.0" customHeight="1">
      <c r="B159" s="6">
        <f t="shared" si="8"/>
        <v>157</v>
      </c>
      <c r="C159" s="1" t="s">
        <v>353</v>
      </c>
      <c r="D159" s="1" t="str">
        <f t="shared" si="2"/>
        <v>Private Credit</v>
      </c>
      <c r="E159" s="1" t="s">
        <v>39</v>
      </c>
      <c r="F159" s="1" t="s">
        <v>39</v>
      </c>
      <c r="G159" s="1" t="s">
        <v>353</v>
      </c>
      <c r="H159" s="1" t="s">
        <v>101</v>
      </c>
      <c r="I159" s="1" t="s">
        <v>318</v>
      </c>
      <c r="J159" s="1" t="s">
        <v>345</v>
      </c>
      <c r="K159" s="1" t="s">
        <v>102</v>
      </c>
      <c r="L159" s="1" t="s">
        <v>103</v>
      </c>
      <c r="N159" s="6">
        <v>2008.0</v>
      </c>
      <c r="O159" s="10">
        <f t="shared" ref="O159:R159" si="175">IFERROR(V159*INDEX($AH$4:$AH$8,MATCH($AA159,$AG$4:$AG$8,0)),"")</f>
        <v>375000000</v>
      </c>
      <c r="P159" s="10">
        <f t="shared" si="175"/>
        <v>348832991.8</v>
      </c>
      <c r="Q159" s="10">
        <f t="shared" si="175"/>
        <v>471923525.3</v>
      </c>
      <c r="R159" s="10">
        <f t="shared" si="175"/>
        <v>0</v>
      </c>
      <c r="S159" s="10">
        <f t="shared" si="4"/>
        <v>471923525.3</v>
      </c>
      <c r="T159" s="10">
        <f t="shared" si="5"/>
        <v>-0.21</v>
      </c>
      <c r="U159" s="8">
        <v>43539.0</v>
      </c>
      <c r="V159" s="7">
        <v>3.75E8</v>
      </c>
      <c r="W159" s="7">
        <v>3.488329918E8</v>
      </c>
      <c r="X159" s="7">
        <v>4.7192352532E8</v>
      </c>
      <c r="Y159" s="7">
        <v>0.0</v>
      </c>
      <c r="Z159" s="7">
        <v>-0.21</v>
      </c>
      <c r="AA159" s="6" t="s">
        <v>52</v>
      </c>
      <c r="AB159" s="11" t="str">
        <f t="shared" si="6"/>
        <v>Exclude</v>
      </c>
    </row>
    <row r="160" ht="15.0" customHeight="1">
      <c r="B160" s="6">
        <f t="shared" si="8"/>
        <v>158</v>
      </c>
      <c r="C160" s="1" t="s">
        <v>354</v>
      </c>
      <c r="D160" s="1" t="str">
        <f t="shared" si="2"/>
        <v>Private Credit</v>
      </c>
      <c r="E160" s="1" t="s">
        <v>39</v>
      </c>
      <c r="F160" s="1" t="s">
        <v>39</v>
      </c>
      <c r="G160" s="1" t="s">
        <v>355</v>
      </c>
      <c r="H160" s="1" t="s">
        <v>232</v>
      </c>
      <c r="I160" s="1" t="s">
        <v>318</v>
      </c>
      <c r="J160" s="1" t="s">
        <v>345</v>
      </c>
      <c r="K160" s="1" t="s">
        <v>82</v>
      </c>
      <c r="L160" s="1" t="s">
        <v>356</v>
      </c>
      <c r="N160" s="6">
        <v>2010.0</v>
      </c>
      <c r="O160" s="10">
        <f t="shared" ref="O160:R160" si="176">IFERROR(V160*INDEX($AH$4:$AH$8,MATCH($AA160,$AG$4:$AG$8,0)),"")</f>
        <v>250000000</v>
      </c>
      <c r="P160" s="10">
        <f t="shared" si="176"/>
        <v>242500000</v>
      </c>
      <c r="Q160" s="10">
        <f t="shared" si="176"/>
        <v>306782942.2</v>
      </c>
      <c r="R160" s="10">
        <f t="shared" si="176"/>
        <v>0</v>
      </c>
      <c r="S160" s="10">
        <f t="shared" si="4"/>
        <v>306782942.2</v>
      </c>
      <c r="T160" s="10">
        <f t="shared" si="5"/>
        <v>7500000</v>
      </c>
      <c r="U160" s="8">
        <v>46071.0</v>
      </c>
      <c r="V160" s="7">
        <v>2.5E8</v>
      </c>
      <c r="W160" s="7">
        <v>2.425E8</v>
      </c>
      <c r="X160" s="7">
        <v>3.0678294215E8</v>
      </c>
      <c r="Y160" s="7">
        <v>0.0</v>
      </c>
      <c r="Z160" s="7">
        <v>7500000.0</v>
      </c>
      <c r="AA160" s="6" t="s">
        <v>52</v>
      </c>
      <c r="AB160" s="11" t="str">
        <f t="shared" si="6"/>
        <v>Exclude</v>
      </c>
    </row>
    <row r="161" ht="15.0" customHeight="1">
      <c r="B161" s="6">
        <f t="shared" si="8"/>
        <v>159</v>
      </c>
      <c r="C161" s="1" t="s">
        <v>357</v>
      </c>
      <c r="D161" s="1" t="str">
        <f t="shared" si="2"/>
        <v>Private Credit</v>
      </c>
      <c r="E161" s="1" t="s">
        <v>39</v>
      </c>
      <c r="F161" s="1" t="s">
        <v>39</v>
      </c>
      <c r="G161" s="1" t="s">
        <v>357</v>
      </c>
      <c r="H161" s="1" t="s">
        <v>223</v>
      </c>
      <c r="I161" s="1" t="s">
        <v>318</v>
      </c>
      <c r="J161" s="1" t="s">
        <v>345</v>
      </c>
      <c r="K161" s="1" t="s">
        <v>102</v>
      </c>
      <c r="L161" s="1" t="s">
        <v>103</v>
      </c>
      <c r="N161" s="6">
        <v>2011.0</v>
      </c>
      <c r="O161" s="10">
        <f t="shared" ref="O161:R161" si="177">IFERROR(V161*INDEX($AH$4:$AH$8,MATCH($AA161,$AG$4:$AG$8,0)),"")</f>
        <v>200000000</v>
      </c>
      <c r="P161" s="10">
        <f t="shared" si="177"/>
        <v>164921336.4</v>
      </c>
      <c r="Q161" s="10">
        <f t="shared" si="177"/>
        <v>198119241.2</v>
      </c>
      <c r="R161" s="10">
        <f t="shared" si="177"/>
        <v>0</v>
      </c>
      <c r="S161" s="10">
        <f t="shared" si="4"/>
        <v>198119241.2</v>
      </c>
      <c r="T161" s="10">
        <f t="shared" si="5"/>
        <v>0.34</v>
      </c>
      <c r="U161" s="8">
        <v>44699.0</v>
      </c>
      <c r="V161" s="7">
        <v>2.0E8</v>
      </c>
      <c r="W161" s="7">
        <v>1.6492133644E8</v>
      </c>
      <c r="X161" s="7">
        <v>1.9811924119E8</v>
      </c>
      <c r="Y161" s="7">
        <v>0.0</v>
      </c>
      <c r="Z161" s="7">
        <v>0.34</v>
      </c>
      <c r="AA161" s="6" t="s">
        <v>52</v>
      </c>
      <c r="AB161" s="11" t="str">
        <f t="shared" si="6"/>
        <v>Exclude</v>
      </c>
    </row>
    <row r="162" ht="15.0" customHeight="1">
      <c r="B162" s="6">
        <f t="shared" si="8"/>
        <v>160</v>
      </c>
      <c r="C162" s="1" t="s">
        <v>358</v>
      </c>
      <c r="D162" s="1" t="str">
        <f t="shared" si="2"/>
        <v>Private Credit</v>
      </c>
      <c r="E162" s="1" t="s">
        <v>39</v>
      </c>
      <c r="F162" s="1" t="s">
        <v>39</v>
      </c>
      <c r="G162" s="1" t="s">
        <v>358</v>
      </c>
      <c r="H162" s="1" t="s">
        <v>105</v>
      </c>
      <c r="I162" s="1" t="s">
        <v>318</v>
      </c>
      <c r="J162" s="1" t="s">
        <v>345</v>
      </c>
      <c r="K162" s="1" t="s">
        <v>92</v>
      </c>
      <c r="L162" s="1" t="s">
        <v>93</v>
      </c>
      <c r="N162" s="6">
        <v>2011.0</v>
      </c>
      <c r="O162" s="10">
        <f t="shared" ref="O162:R162" si="178">IFERROR(V162*INDEX($AH$4:$AH$8,MATCH($AA162,$AG$4:$AG$8,0)),"")</f>
        <v>100000000</v>
      </c>
      <c r="P162" s="10">
        <f t="shared" si="178"/>
        <v>69666193</v>
      </c>
      <c r="Q162" s="10">
        <f t="shared" si="178"/>
        <v>122147447</v>
      </c>
      <c r="R162" s="10">
        <f t="shared" si="178"/>
        <v>387567</v>
      </c>
      <c r="S162" s="10">
        <f t="shared" si="4"/>
        <v>122535014</v>
      </c>
      <c r="T162" s="10">
        <f t="shared" si="5"/>
        <v>30099377</v>
      </c>
      <c r="U162" s="8">
        <v>46112.0</v>
      </c>
      <c r="V162" s="7">
        <v>1.0E8</v>
      </c>
      <c r="W162" s="7">
        <v>6.9666193E7</v>
      </c>
      <c r="X162" s="7">
        <v>1.2214744698E8</v>
      </c>
      <c r="Y162" s="7">
        <v>387567.0</v>
      </c>
      <c r="Z162" s="7">
        <v>3.0099377E7</v>
      </c>
      <c r="AA162" s="6" t="s">
        <v>52</v>
      </c>
      <c r="AB162" s="11" t="str">
        <f t="shared" si="6"/>
        <v>Include</v>
      </c>
      <c r="AC162" s="1">
        <f>S162/P162</f>
        <v>1.758887758</v>
      </c>
    </row>
    <row r="163" ht="15.0" customHeight="1">
      <c r="B163" s="6">
        <f t="shared" si="8"/>
        <v>161</v>
      </c>
      <c r="C163" s="1" t="s">
        <v>359</v>
      </c>
      <c r="D163" s="1" t="str">
        <f t="shared" si="2"/>
        <v>Private Credit</v>
      </c>
      <c r="E163" s="1" t="s">
        <v>39</v>
      </c>
      <c r="F163" s="1" t="s">
        <v>39</v>
      </c>
      <c r="G163" s="1" t="s">
        <v>359</v>
      </c>
      <c r="H163" s="1" t="s">
        <v>105</v>
      </c>
      <c r="I163" s="1" t="s">
        <v>318</v>
      </c>
      <c r="J163" s="1" t="s">
        <v>345</v>
      </c>
      <c r="K163" s="1" t="s">
        <v>92</v>
      </c>
      <c r="L163" s="1" t="s">
        <v>360</v>
      </c>
      <c r="N163" s="6">
        <v>2011.0</v>
      </c>
      <c r="O163" s="10">
        <f t="shared" ref="O163:R163" si="179">IFERROR(V163*INDEX($AH$4:$AH$8,MATCH($AA163,$AG$4:$AG$8,0)),"")</f>
        <v>100000000</v>
      </c>
      <c r="P163" s="10">
        <f t="shared" si="179"/>
        <v>62440762</v>
      </c>
      <c r="Q163" s="10">
        <f t="shared" si="179"/>
        <v>105707753.6</v>
      </c>
      <c r="R163" s="10">
        <f t="shared" si="179"/>
        <v>0</v>
      </c>
      <c r="S163" s="10">
        <f t="shared" si="4"/>
        <v>105707753.6</v>
      </c>
      <c r="T163" s="10">
        <f t="shared" si="5"/>
        <v>0</v>
      </c>
      <c r="U163" s="8">
        <v>45806.0</v>
      </c>
      <c r="V163" s="7">
        <v>1.0E8</v>
      </c>
      <c r="W163" s="7">
        <v>6.2440762E7</v>
      </c>
      <c r="X163" s="7">
        <v>1.0570775358E8</v>
      </c>
      <c r="Y163" s="7">
        <v>0.0</v>
      </c>
      <c r="Z163" s="7">
        <v>0.0</v>
      </c>
      <c r="AA163" s="6" t="s">
        <v>52</v>
      </c>
      <c r="AB163" s="11" t="str">
        <f t="shared" si="6"/>
        <v>Exclude</v>
      </c>
    </row>
    <row r="164" ht="15.0" customHeight="1">
      <c r="B164" s="6">
        <f t="shared" si="8"/>
        <v>162</v>
      </c>
      <c r="C164" s="1" t="s">
        <v>361</v>
      </c>
      <c r="D164" s="1" t="str">
        <f t="shared" si="2"/>
        <v>Private Credit</v>
      </c>
      <c r="E164" s="1" t="s">
        <v>39</v>
      </c>
      <c r="F164" s="1" t="s">
        <v>39</v>
      </c>
      <c r="G164" s="1" t="s">
        <v>361</v>
      </c>
      <c r="H164" s="1" t="s">
        <v>91</v>
      </c>
      <c r="I164" s="1" t="s">
        <v>318</v>
      </c>
      <c r="J164" s="1" t="s">
        <v>345</v>
      </c>
      <c r="K164" s="1" t="s">
        <v>92</v>
      </c>
      <c r="L164" s="1" t="s">
        <v>346</v>
      </c>
      <c r="N164" s="6">
        <v>2012.0</v>
      </c>
      <c r="O164" s="10">
        <f t="shared" ref="O164:R164" si="180">IFERROR(V164*INDEX($AH$4:$AH$8,MATCH($AA164,$AG$4:$AG$8,0)),"")</f>
        <v>200000000</v>
      </c>
      <c r="P164" s="10">
        <f t="shared" si="180"/>
        <v>272495534.7</v>
      </c>
      <c r="Q164" s="10">
        <f t="shared" si="180"/>
        <v>315640756.1</v>
      </c>
      <c r="R164" s="10">
        <f t="shared" si="180"/>
        <v>3427325.19</v>
      </c>
      <c r="S164" s="10">
        <f t="shared" si="4"/>
        <v>319068081.3</v>
      </c>
      <c r="T164" s="10">
        <f t="shared" si="5"/>
        <v>37346584.89</v>
      </c>
      <c r="U164" s="8">
        <v>46112.0</v>
      </c>
      <c r="V164" s="7">
        <v>2.0E8</v>
      </c>
      <c r="W164" s="7">
        <v>2.7249553465E8</v>
      </c>
      <c r="X164" s="7">
        <v>3.1564075606E8</v>
      </c>
      <c r="Y164" s="7">
        <v>3427325.19</v>
      </c>
      <c r="Z164" s="7">
        <v>3.734658489E7</v>
      </c>
      <c r="AA164" s="6" t="s">
        <v>52</v>
      </c>
      <c r="AB164" s="11" t="str">
        <f t="shared" si="6"/>
        <v>Include</v>
      </c>
      <c r="AC164" s="1">
        <f t="shared" ref="AC164:AC165" si="182">S164/P164</f>
        <v>1.170911229</v>
      </c>
    </row>
    <row r="165" ht="15.0" customHeight="1">
      <c r="B165" s="6">
        <f t="shared" si="8"/>
        <v>163</v>
      </c>
      <c r="C165" s="1" t="s">
        <v>362</v>
      </c>
      <c r="D165" s="1" t="str">
        <f t="shared" si="2"/>
        <v>Private Credit</v>
      </c>
      <c r="E165" s="1" t="s">
        <v>39</v>
      </c>
      <c r="F165" s="1" t="s">
        <v>39</v>
      </c>
      <c r="G165" s="1" t="s">
        <v>363</v>
      </c>
      <c r="H165" s="1" t="s">
        <v>232</v>
      </c>
      <c r="I165" s="1" t="s">
        <v>318</v>
      </c>
      <c r="J165" s="1" t="s">
        <v>345</v>
      </c>
      <c r="K165" s="1" t="s">
        <v>92</v>
      </c>
      <c r="L165" s="1" t="s">
        <v>93</v>
      </c>
      <c r="N165" s="6">
        <v>2012.0</v>
      </c>
      <c r="O165" s="10">
        <f t="shared" ref="O165:R165" si="181">IFERROR(V165*INDEX($AH$4:$AH$8,MATCH($AA165,$AG$4:$AG$8,0)),"")</f>
        <v>350000000</v>
      </c>
      <c r="P165" s="10">
        <f t="shared" si="181"/>
        <v>350000000</v>
      </c>
      <c r="Q165" s="10">
        <f t="shared" si="181"/>
        <v>408891577</v>
      </c>
      <c r="R165" s="10">
        <f t="shared" si="181"/>
        <v>18730425</v>
      </c>
      <c r="S165" s="10">
        <f t="shared" si="4"/>
        <v>427622002</v>
      </c>
      <c r="T165" s="10">
        <f t="shared" si="5"/>
        <v>0</v>
      </c>
      <c r="U165" s="8">
        <v>46112.0</v>
      </c>
      <c r="V165" s="7">
        <v>3.5E8</v>
      </c>
      <c r="W165" s="7">
        <v>3.5E8</v>
      </c>
      <c r="X165" s="7">
        <v>4.0889157703E8</v>
      </c>
      <c r="Y165" s="7">
        <v>1.8730425E7</v>
      </c>
      <c r="Z165" s="7">
        <v>0.0</v>
      </c>
      <c r="AA165" s="6" t="s">
        <v>52</v>
      </c>
      <c r="AB165" s="11" t="str">
        <f t="shared" si="6"/>
        <v>Include</v>
      </c>
      <c r="AC165" s="1">
        <f t="shared" si="182"/>
        <v>1.221777149</v>
      </c>
    </row>
    <row r="166" ht="15.0" customHeight="1">
      <c r="B166" s="6">
        <f t="shared" si="8"/>
        <v>164</v>
      </c>
      <c r="C166" s="1" t="s">
        <v>364</v>
      </c>
      <c r="D166" s="1" t="str">
        <f t="shared" si="2"/>
        <v>Private Credit</v>
      </c>
      <c r="E166" s="1" t="s">
        <v>39</v>
      </c>
      <c r="F166" s="1" t="s">
        <v>39</v>
      </c>
      <c r="G166" s="1" t="s">
        <v>364</v>
      </c>
      <c r="H166" s="1" t="s">
        <v>97</v>
      </c>
      <c r="I166" s="1" t="s">
        <v>318</v>
      </c>
      <c r="J166" s="1" t="s">
        <v>345</v>
      </c>
      <c r="K166" s="1" t="s">
        <v>98</v>
      </c>
      <c r="L166" s="1" t="s">
        <v>99</v>
      </c>
      <c r="N166" s="6">
        <v>2010.0</v>
      </c>
      <c r="O166" s="10">
        <f t="shared" ref="O166:R166" si="183">IFERROR(V166*INDEX($AH$4:$AH$8,MATCH($AA166,$AG$4:$AG$8,0)),"")</f>
        <v>200000000</v>
      </c>
      <c r="P166" s="10">
        <f t="shared" si="183"/>
        <v>261764282.9</v>
      </c>
      <c r="Q166" s="10">
        <f t="shared" si="183"/>
        <v>189522759.9</v>
      </c>
      <c r="R166" s="10">
        <f t="shared" si="183"/>
        <v>0</v>
      </c>
      <c r="S166" s="10">
        <f t="shared" si="4"/>
        <v>189522759.9</v>
      </c>
      <c r="T166" s="10">
        <f t="shared" si="5"/>
        <v>0</v>
      </c>
      <c r="U166" s="8">
        <v>45657.0</v>
      </c>
      <c r="V166" s="7">
        <v>2.0E8</v>
      </c>
      <c r="W166" s="7">
        <v>2.617642829E8</v>
      </c>
      <c r="X166" s="7">
        <v>1.895227599E8</v>
      </c>
      <c r="Y166" s="7">
        <v>0.0</v>
      </c>
      <c r="Z166" s="7">
        <v>0.0</v>
      </c>
      <c r="AA166" s="6" t="s">
        <v>52</v>
      </c>
      <c r="AB166" s="11" t="str">
        <f t="shared" si="6"/>
        <v>Exclude</v>
      </c>
    </row>
    <row r="167" ht="15.0" customHeight="1">
      <c r="B167" s="6">
        <f t="shared" si="8"/>
        <v>165</v>
      </c>
      <c r="C167" s="1" t="s">
        <v>365</v>
      </c>
      <c r="D167" s="1" t="str">
        <f t="shared" si="2"/>
        <v>Private Credit</v>
      </c>
      <c r="E167" s="1" t="s">
        <v>39</v>
      </c>
      <c r="F167" s="1" t="s">
        <v>39</v>
      </c>
      <c r="G167" s="1" t="s">
        <v>365</v>
      </c>
      <c r="H167" s="1" t="s">
        <v>223</v>
      </c>
      <c r="I167" s="1" t="s">
        <v>318</v>
      </c>
      <c r="J167" s="1" t="s">
        <v>345</v>
      </c>
      <c r="K167" s="1" t="s">
        <v>102</v>
      </c>
      <c r="L167" s="1" t="s">
        <v>103</v>
      </c>
      <c r="N167" s="6">
        <v>2012.0</v>
      </c>
      <c r="O167" s="10">
        <f t="shared" ref="O167:R167" si="184">IFERROR(V167*INDEX($AH$4:$AH$8,MATCH($AA167,$AG$4:$AG$8,0)),"")</f>
        <v>225000000</v>
      </c>
      <c r="P167" s="10">
        <f t="shared" si="184"/>
        <v>181227588.7</v>
      </c>
      <c r="Q167" s="10">
        <f t="shared" si="184"/>
        <v>219982710.5</v>
      </c>
      <c r="R167" s="10">
        <f t="shared" si="184"/>
        <v>9536508</v>
      </c>
      <c r="S167" s="10">
        <f t="shared" si="4"/>
        <v>229519218.5</v>
      </c>
      <c r="T167" s="10">
        <f t="shared" si="5"/>
        <v>15288383.26</v>
      </c>
      <c r="U167" s="8">
        <v>46173.0</v>
      </c>
      <c r="V167" s="7">
        <v>2.25E8</v>
      </c>
      <c r="W167" s="7">
        <v>1.8122758874E8</v>
      </c>
      <c r="X167" s="7">
        <v>2.1998271048E8</v>
      </c>
      <c r="Y167" s="7">
        <v>9536508.0</v>
      </c>
      <c r="Z167" s="7">
        <v>1.528838326E7</v>
      </c>
      <c r="AA167" s="6" t="s">
        <v>52</v>
      </c>
      <c r="AB167" s="11" t="str">
        <f t="shared" si="6"/>
        <v>Include</v>
      </c>
      <c r="AC167" s="1">
        <f t="shared" ref="AC167:AC170" si="186">S167/P167</f>
        <v>1.266469526</v>
      </c>
    </row>
    <row r="168" ht="15.0" customHeight="1">
      <c r="B168" s="6">
        <f t="shared" si="8"/>
        <v>166</v>
      </c>
      <c r="C168" s="1" t="s">
        <v>366</v>
      </c>
      <c r="D168" s="1" t="str">
        <f t="shared" si="2"/>
        <v>Private Credit</v>
      </c>
      <c r="E168" s="1" t="s">
        <v>39</v>
      </c>
      <c r="F168" s="1" t="s">
        <v>39</v>
      </c>
      <c r="G168" s="1" t="s">
        <v>366</v>
      </c>
      <c r="H168" s="1" t="s">
        <v>367</v>
      </c>
      <c r="I168" s="1" t="s">
        <v>318</v>
      </c>
      <c r="J168" s="1" t="s">
        <v>345</v>
      </c>
      <c r="K168" s="1" t="s">
        <v>92</v>
      </c>
      <c r="L168" s="1" t="s">
        <v>346</v>
      </c>
      <c r="N168" s="6">
        <v>2012.0</v>
      </c>
      <c r="O168" s="10">
        <f t="shared" ref="O168:R168" si="185">IFERROR(V168*INDEX($AH$4:$AH$8,MATCH($AA168,$AG$4:$AG$8,0)),"")</f>
        <v>231102000</v>
      </c>
      <c r="P168" s="10">
        <f t="shared" si="185"/>
        <v>170263767.5</v>
      </c>
      <c r="Q168" s="10">
        <f t="shared" si="185"/>
        <v>242565271.6</v>
      </c>
      <c r="R168" s="10">
        <f t="shared" si="185"/>
        <v>1204602.062</v>
      </c>
      <c r="S168" s="10">
        <f t="shared" si="4"/>
        <v>243769873.6</v>
      </c>
      <c r="T168" s="10">
        <f t="shared" si="5"/>
        <v>0.2426571</v>
      </c>
      <c r="U168" s="8">
        <v>46022.0</v>
      </c>
      <c r="V168" s="7">
        <v>2.0E8</v>
      </c>
      <c r="W168" s="7">
        <v>1.4734945393E8</v>
      </c>
      <c r="X168" s="7">
        <v>2.0992052997E8</v>
      </c>
      <c r="Y168" s="7">
        <v>1042485.19</v>
      </c>
      <c r="Z168" s="7">
        <v>0.21</v>
      </c>
      <c r="AA168" s="6" t="s">
        <v>45</v>
      </c>
      <c r="AB168" s="11" t="str">
        <f t="shared" si="6"/>
        <v>Include</v>
      </c>
      <c r="AC168" s="1">
        <f t="shared" si="186"/>
        <v>1.431719016</v>
      </c>
    </row>
    <row r="169" ht="15.0" customHeight="1">
      <c r="B169" s="6">
        <f t="shared" si="8"/>
        <v>167</v>
      </c>
      <c r="C169" s="1" t="s">
        <v>368</v>
      </c>
      <c r="D169" s="1" t="str">
        <f t="shared" si="2"/>
        <v>Private Credit</v>
      </c>
      <c r="E169" s="1" t="s">
        <v>39</v>
      </c>
      <c r="F169" s="1" t="s">
        <v>39</v>
      </c>
      <c r="G169" s="1" t="s">
        <v>368</v>
      </c>
      <c r="H169" s="1" t="s">
        <v>101</v>
      </c>
      <c r="I169" s="1" t="s">
        <v>318</v>
      </c>
      <c r="J169" s="1" t="s">
        <v>345</v>
      </c>
      <c r="K169" s="1" t="s">
        <v>102</v>
      </c>
      <c r="L169" s="1" t="s">
        <v>103</v>
      </c>
      <c r="N169" s="6">
        <v>2012.0</v>
      </c>
      <c r="O169" s="10">
        <f t="shared" ref="O169:R169" si="187">IFERROR(V169*INDEX($AH$4:$AH$8,MATCH($AA169,$AG$4:$AG$8,0)),"")</f>
        <v>240000000</v>
      </c>
      <c r="P169" s="10">
        <f t="shared" si="187"/>
        <v>226705857.8</v>
      </c>
      <c r="Q169" s="10">
        <f t="shared" si="187"/>
        <v>282526681</v>
      </c>
      <c r="R169" s="10">
        <f t="shared" si="187"/>
        <v>4731331</v>
      </c>
      <c r="S169" s="10">
        <f t="shared" si="4"/>
        <v>287258012</v>
      </c>
      <c r="T169" s="10">
        <f t="shared" si="5"/>
        <v>12000000</v>
      </c>
      <c r="U169" s="8">
        <v>46112.0</v>
      </c>
      <c r="V169" s="7">
        <v>2.4E8</v>
      </c>
      <c r="W169" s="7">
        <v>2.267058578E8</v>
      </c>
      <c r="X169" s="7">
        <v>2.8252668099E8</v>
      </c>
      <c r="Y169" s="7">
        <v>4731331.0</v>
      </c>
      <c r="Z169" s="7">
        <v>1.2E7</v>
      </c>
      <c r="AA169" s="6" t="s">
        <v>52</v>
      </c>
      <c r="AB169" s="11" t="str">
        <f t="shared" si="6"/>
        <v>Include</v>
      </c>
      <c r="AC169" s="1">
        <f t="shared" si="186"/>
        <v>1.267095675</v>
      </c>
    </row>
    <row r="170" ht="15.0" customHeight="1">
      <c r="B170" s="6">
        <f t="shared" si="8"/>
        <v>168</v>
      </c>
      <c r="C170" s="1" t="s">
        <v>369</v>
      </c>
      <c r="D170" s="1" t="str">
        <f t="shared" si="2"/>
        <v>Private Credit</v>
      </c>
      <c r="E170" s="1" t="s">
        <v>39</v>
      </c>
      <c r="F170" s="1" t="s">
        <v>39</v>
      </c>
      <c r="G170" s="1" t="s">
        <v>369</v>
      </c>
      <c r="H170" s="1" t="s">
        <v>80</v>
      </c>
      <c r="I170" s="1" t="s">
        <v>318</v>
      </c>
      <c r="J170" s="1" t="s">
        <v>345</v>
      </c>
      <c r="K170" s="1" t="s">
        <v>82</v>
      </c>
      <c r="L170" s="1" t="s">
        <v>83</v>
      </c>
      <c r="N170" s="6">
        <v>2011.0</v>
      </c>
      <c r="O170" s="10">
        <f t="shared" ref="O170:R170" si="188">IFERROR(V170*INDEX($AH$4:$AH$8,MATCH($AA170,$AG$4:$AG$8,0)),"")</f>
        <v>231102000</v>
      </c>
      <c r="P170" s="10">
        <f t="shared" si="188"/>
        <v>265116081.3</v>
      </c>
      <c r="Q170" s="10">
        <f t="shared" si="188"/>
        <v>385942479.2</v>
      </c>
      <c r="R170" s="10">
        <f t="shared" si="188"/>
        <v>726638.5694</v>
      </c>
      <c r="S170" s="10">
        <f t="shared" si="4"/>
        <v>386669117.8</v>
      </c>
      <c r="T170" s="10">
        <f t="shared" si="5"/>
        <v>9743401.685</v>
      </c>
      <c r="U170" s="8">
        <v>46112.0</v>
      </c>
      <c r="V170" s="7">
        <v>2.0E8</v>
      </c>
      <c r="W170" s="7">
        <v>2.294364231E8</v>
      </c>
      <c r="X170" s="7">
        <v>3.340018513E8</v>
      </c>
      <c r="Y170" s="7">
        <v>628846.63</v>
      </c>
      <c r="Z170" s="7">
        <v>8432122.34</v>
      </c>
      <c r="AA170" s="6" t="s">
        <v>45</v>
      </c>
      <c r="AB170" s="11" t="str">
        <f t="shared" si="6"/>
        <v>Include</v>
      </c>
      <c r="AC170" s="1">
        <f t="shared" si="186"/>
        <v>1.458489866</v>
      </c>
    </row>
    <row r="171" ht="15.0" customHeight="1">
      <c r="B171" s="6">
        <f t="shared" si="8"/>
        <v>169</v>
      </c>
      <c r="C171" s="1" t="s">
        <v>370</v>
      </c>
      <c r="D171" s="1" t="str">
        <f t="shared" si="2"/>
        <v>Private Credit</v>
      </c>
      <c r="E171" s="1" t="s">
        <v>39</v>
      </c>
      <c r="F171" s="1" t="s">
        <v>39</v>
      </c>
      <c r="G171" s="1" t="s">
        <v>370</v>
      </c>
      <c r="H171" s="1" t="s">
        <v>371</v>
      </c>
      <c r="I171" s="1" t="s">
        <v>318</v>
      </c>
      <c r="J171" s="1" t="s">
        <v>345</v>
      </c>
      <c r="K171" s="1" t="s">
        <v>372</v>
      </c>
      <c r="L171" s="1" t="s">
        <v>349</v>
      </c>
      <c r="N171" s="6">
        <v>2013.0</v>
      </c>
      <c r="O171" s="10">
        <f t="shared" ref="O171:R171" si="189">IFERROR(V171*INDEX($AH$4:$AH$8,MATCH($AA171,$AG$4:$AG$8,0)),"")</f>
        <v>150000000</v>
      </c>
      <c r="P171" s="10">
        <f t="shared" si="189"/>
        <v>149752568.2</v>
      </c>
      <c r="Q171" s="10">
        <f t="shared" si="189"/>
        <v>176382962.6</v>
      </c>
      <c r="R171" s="10">
        <f t="shared" si="189"/>
        <v>0</v>
      </c>
      <c r="S171" s="10">
        <f t="shared" si="4"/>
        <v>176382962.6</v>
      </c>
      <c r="T171" s="10">
        <f t="shared" si="5"/>
        <v>0</v>
      </c>
      <c r="U171" s="8">
        <v>45302.0</v>
      </c>
      <c r="V171" s="7">
        <v>1.5E8</v>
      </c>
      <c r="W171" s="7">
        <v>1.4975256822E8</v>
      </c>
      <c r="X171" s="7">
        <v>1.7638296257E8</v>
      </c>
      <c r="Y171" s="7">
        <v>0.0</v>
      </c>
      <c r="Z171" s="7">
        <v>0.0</v>
      </c>
      <c r="AA171" s="6" t="s">
        <v>52</v>
      </c>
      <c r="AB171" s="11" t="str">
        <f t="shared" si="6"/>
        <v>Exclude</v>
      </c>
    </row>
    <row r="172" ht="15.0" customHeight="1">
      <c r="B172" s="6">
        <f t="shared" si="8"/>
        <v>170</v>
      </c>
      <c r="C172" s="1" t="s">
        <v>373</v>
      </c>
      <c r="D172" s="1" t="str">
        <f t="shared" si="2"/>
        <v>Private Credit</v>
      </c>
      <c r="E172" s="1" t="s">
        <v>39</v>
      </c>
      <c r="F172" s="1" t="s">
        <v>39</v>
      </c>
      <c r="G172" s="1" t="s">
        <v>374</v>
      </c>
      <c r="H172" s="1" t="s">
        <v>232</v>
      </c>
      <c r="I172" s="1" t="s">
        <v>318</v>
      </c>
      <c r="J172" s="1" t="s">
        <v>345</v>
      </c>
      <c r="K172" s="1" t="s">
        <v>82</v>
      </c>
      <c r="L172" s="1" t="s">
        <v>356</v>
      </c>
      <c r="N172" s="6">
        <v>2013.0</v>
      </c>
      <c r="O172" s="10">
        <f t="shared" ref="O172:R172" si="190">IFERROR(V172*INDEX($AH$4:$AH$8,MATCH($AA172,$AG$4:$AG$8,0)),"")</f>
        <v>200000000</v>
      </c>
      <c r="P172" s="10">
        <f t="shared" si="190"/>
        <v>190000000</v>
      </c>
      <c r="Q172" s="10">
        <f t="shared" si="190"/>
        <v>227635164.7</v>
      </c>
      <c r="R172" s="10">
        <f t="shared" si="190"/>
        <v>7844356</v>
      </c>
      <c r="S172" s="10">
        <f t="shared" si="4"/>
        <v>235479520.7</v>
      </c>
      <c r="T172" s="10">
        <f t="shared" si="5"/>
        <v>10000000</v>
      </c>
      <c r="U172" s="8">
        <v>46112.0</v>
      </c>
      <c r="V172" s="7">
        <v>2.0E8</v>
      </c>
      <c r="W172" s="7">
        <v>1.9E8</v>
      </c>
      <c r="X172" s="7">
        <v>2.2763516472E8</v>
      </c>
      <c r="Y172" s="7">
        <v>7844356.0</v>
      </c>
      <c r="Z172" s="7">
        <v>1.0E7</v>
      </c>
      <c r="AA172" s="6" t="s">
        <v>52</v>
      </c>
      <c r="AB172" s="11" t="str">
        <f t="shared" si="6"/>
        <v>Include</v>
      </c>
      <c r="AC172" s="1">
        <f t="shared" ref="AC172:AC179" si="192">S172/P172</f>
        <v>1.239365899</v>
      </c>
    </row>
    <row r="173" ht="15.0" customHeight="1">
      <c r="B173" s="6">
        <f t="shared" si="8"/>
        <v>171</v>
      </c>
      <c r="C173" s="1" t="s">
        <v>375</v>
      </c>
      <c r="D173" s="1" t="str">
        <f t="shared" si="2"/>
        <v>Private Credit</v>
      </c>
      <c r="E173" s="1" t="s">
        <v>39</v>
      </c>
      <c r="F173" s="1" t="s">
        <v>39</v>
      </c>
      <c r="G173" s="1" t="s">
        <v>375</v>
      </c>
      <c r="H173" s="1" t="s">
        <v>317</v>
      </c>
      <c r="I173" s="1" t="s">
        <v>318</v>
      </c>
      <c r="J173" s="1" t="s">
        <v>345</v>
      </c>
      <c r="K173" s="1" t="s">
        <v>376</v>
      </c>
      <c r="L173" s="1" t="s">
        <v>377</v>
      </c>
      <c r="N173" s="6">
        <v>2013.0</v>
      </c>
      <c r="O173" s="10">
        <f t="shared" ref="O173:R173" si="191">IFERROR(V173*INDEX($AH$4:$AH$8,MATCH($AA173,$AG$4:$AG$8,0)),"")</f>
        <v>150000000</v>
      </c>
      <c r="P173" s="10">
        <f t="shared" si="191"/>
        <v>153412136.5</v>
      </c>
      <c r="Q173" s="10">
        <f t="shared" si="191"/>
        <v>197058775.2</v>
      </c>
      <c r="R173" s="10">
        <f t="shared" si="191"/>
        <v>3627870</v>
      </c>
      <c r="S173" s="10">
        <f t="shared" si="4"/>
        <v>200686645.2</v>
      </c>
      <c r="T173" s="10">
        <f t="shared" si="5"/>
        <v>3842461.5</v>
      </c>
      <c r="U173" s="8">
        <v>46112.0</v>
      </c>
      <c r="V173" s="7">
        <v>1.5E8</v>
      </c>
      <c r="W173" s="7">
        <v>1.5341213653E8</v>
      </c>
      <c r="X173" s="7">
        <v>1.9705877515E8</v>
      </c>
      <c r="Y173" s="7">
        <v>3627870.0</v>
      </c>
      <c r="Z173" s="7">
        <v>3842461.5</v>
      </c>
      <c r="AA173" s="6" t="s">
        <v>52</v>
      </c>
      <c r="AB173" s="11" t="str">
        <f t="shared" si="6"/>
        <v>Include</v>
      </c>
      <c r="AC173" s="1">
        <f t="shared" si="192"/>
        <v>1.308153642</v>
      </c>
    </row>
    <row r="174" ht="15.0" customHeight="1">
      <c r="B174" s="6">
        <f t="shared" si="8"/>
        <v>172</v>
      </c>
      <c r="C174" s="1" t="s">
        <v>378</v>
      </c>
      <c r="D174" s="1" t="str">
        <f t="shared" si="2"/>
        <v>Private Credit</v>
      </c>
      <c r="E174" s="1" t="s">
        <v>39</v>
      </c>
      <c r="F174" s="1" t="s">
        <v>39</v>
      </c>
      <c r="G174" s="1" t="s">
        <v>378</v>
      </c>
      <c r="H174" s="1" t="s">
        <v>105</v>
      </c>
      <c r="I174" s="1" t="s">
        <v>318</v>
      </c>
      <c r="J174" s="1" t="s">
        <v>345</v>
      </c>
      <c r="K174" s="1" t="s">
        <v>92</v>
      </c>
      <c r="L174" s="1" t="s">
        <v>93</v>
      </c>
      <c r="N174" s="6">
        <v>2014.0</v>
      </c>
      <c r="O174" s="10">
        <f t="shared" ref="O174:R174" si="193">IFERROR(V174*INDEX($AH$4:$AH$8,MATCH($AA174,$AG$4:$AG$8,0)),"")</f>
        <v>124323673</v>
      </c>
      <c r="P174" s="10">
        <f t="shared" si="193"/>
        <v>188814666</v>
      </c>
      <c r="Q174" s="10">
        <f t="shared" si="193"/>
        <v>221463616</v>
      </c>
      <c r="R174" s="10">
        <f t="shared" si="193"/>
        <v>14682000</v>
      </c>
      <c r="S174" s="10">
        <f t="shared" si="4"/>
        <v>236145616</v>
      </c>
      <c r="T174" s="10">
        <f t="shared" si="5"/>
        <v>17678322</v>
      </c>
      <c r="U174" s="8">
        <v>46112.0</v>
      </c>
      <c r="V174" s="7">
        <v>1.24323673E8</v>
      </c>
      <c r="W174" s="7">
        <v>1.88814666E8</v>
      </c>
      <c r="X174" s="7">
        <v>2.21463616E8</v>
      </c>
      <c r="Y174" s="7">
        <v>1.4682E7</v>
      </c>
      <c r="Z174" s="7">
        <v>1.7678322E7</v>
      </c>
      <c r="AA174" s="6" t="s">
        <v>52</v>
      </c>
      <c r="AB174" s="11" t="str">
        <f t="shared" si="6"/>
        <v>Include</v>
      </c>
      <c r="AC174" s="1">
        <f t="shared" si="192"/>
        <v>1.250674119</v>
      </c>
    </row>
    <row r="175" ht="15.0" customHeight="1">
      <c r="B175" s="6">
        <f t="shared" si="8"/>
        <v>173</v>
      </c>
      <c r="C175" s="1" t="s">
        <v>379</v>
      </c>
      <c r="D175" s="1" t="str">
        <f t="shared" si="2"/>
        <v>Private Credit</v>
      </c>
      <c r="E175" s="1" t="s">
        <v>39</v>
      </c>
      <c r="F175" s="1" t="s">
        <v>39</v>
      </c>
      <c r="G175" s="1" t="s">
        <v>379</v>
      </c>
      <c r="H175" s="1" t="s">
        <v>245</v>
      </c>
      <c r="I175" s="1" t="s">
        <v>318</v>
      </c>
      <c r="J175" s="1" t="s">
        <v>345</v>
      </c>
      <c r="K175" s="1" t="s">
        <v>102</v>
      </c>
      <c r="L175" s="1" t="s">
        <v>103</v>
      </c>
      <c r="N175" s="6">
        <v>2014.0</v>
      </c>
      <c r="O175" s="10">
        <f t="shared" ref="O175:R175" si="194">IFERROR(V175*INDEX($AH$4:$AH$8,MATCH($AA175,$AG$4:$AG$8,0)),"")</f>
        <v>200000000</v>
      </c>
      <c r="P175" s="10">
        <f t="shared" si="194"/>
        <v>283771403</v>
      </c>
      <c r="Q175" s="10">
        <f t="shared" si="194"/>
        <v>286642801</v>
      </c>
      <c r="R175" s="10">
        <f t="shared" si="194"/>
        <v>21075227</v>
      </c>
      <c r="S175" s="10">
        <f t="shared" si="4"/>
        <v>307718028</v>
      </c>
      <c r="T175" s="10">
        <f t="shared" si="5"/>
        <v>1595735</v>
      </c>
      <c r="U175" s="8">
        <v>46112.0</v>
      </c>
      <c r="V175" s="7">
        <v>2.0E8</v>
      </c>
      <c r="W175" s="7">
        <v>2.83771403E8</v>
      </c>
      <c r="X175" s="7">
        <v>2.86642801E8</v>
      </c>
      <c r="Y175" s="7">
        <v>2.1075227E7</v>
      </c>
      <c r="Z175" s="7">
        <v>1595735.0</v>
      </c>
      <c r="AA175" s="6" t="s">
        <v>52</v>
      </c>
      <c r="AB175" s="11" t="str">
        <f t="shared" si="6"/>
        <v>Include</v>
      </c>
      <c r="AC175" s="1">
        <f t="shared" si="192"/>
        <v>1.084387027</v>
      </c>
    </row>
    <row r="176" ht="15.0" customHeight="1">
      <c r="B176" s="6">
        <f t="shared" si="8"/>
        <v>174</v>
      </c>
      <c r="C176" s="1" t="s">
        <v>380</v>
      </c>
      <c r="D176" s="1" t="str">
        <f t="shared" si="2"/>
        <v>Private Credit</v>
      </c>
      <c r="E176" s="1" t="s">
        <v>39</v>
      </c>
      <c r="F176" s="1" t="s">
        <v>39</v>
      </c>
      <c r="G176" s="1" t="s">
        <v>380</v>
      </c>
      <c r="H176" s="1" t="s">
        <v>381</v>
      </c>
      <c r="I176" s="1" t="s">
        <v>318</v>
      </c>
      <c r="J176" s="1" t="s">
        <v>345</v>
      </c>
      <c r="K176" s="1" t="s">
        <v>92</v>
      </c>
      <c r="L176" s="1" t="s">
        <v>115</v>
      </c>
      <c r="N176" s="6">
        <v>2014.0</v>
      </c>
      <c r="O176" s="10">
        <f t="shared" ref="O176:R176" si="195">IFERROR(V176*INDEX($AH$4:$AH$8,MATCH($AA176,$AG$4:$AG$8,0)),"")</f>
        <v>150000000</v>
      </c>
      <c r="P176" s="10">
        <f t="shared" si="195"/>
        <v>149876630</v>
      </c>
      <c r="Q176" s="10">
        <f t="shared" si="195"/>
        <v>177342183</v>
      </c>
      <c r="R176" s="10">
        <f t="shared" si="195"/>
        <v>1205194.82</v>
      </c>
      <c r="S176" s="10">
        <f t="shared" si="4"/>
        <v>178547377.8</v>
      </c>
      <c r="T176" s="10">
        <f t="shared" si="5"/>
        <v>0</v>
      </c>
      <c r="U176" s="8">
        <v>46173.0</v>
      </c>
      <c r="V176" s="7">
        <v>1.5E8</v>
      </c>
      <c r="W176" s="7">
        <v>1.4987663E8</v>
      </c>
      <c r="X176" s="7">
        <v>1.77342183E8</v>
      </c>
      <c r="Y176" s="7">
        <v>1205194.82</v>
      </c>
      <c r="Z176" s="7">
        <v>0.0</v>
      </c>
      <c r="AA176" s="6" t="s">
        <v>52</v>
      </c>
      <c r="AB176" s="11" t="str">
        <f t="shared" si="6"/>
        <v>Include</v>
      </c>
      <c r="AC176" s="1">
        <f t="shared" si="192"/>
        <v>1.191295653</v>
      </c>
    </row>
    <row r="177" ht="15.0" customHeight="1">
      <c r="B177" s="6">
        <f t="shared" si="8"/>
        <v>175</v>
      </c>
      <c r="C177" s="1" t="s">
        <v>382</v>
      </c>
      <c r="D177" s="1" t="str">
        <f t="shared" si="2"/>
        <v>Private Credit</v>
      </c>
      <c r="E177" s="1" t="s">
        <v>39</v>
      </c>
      <c r="F177" s="1" t="s">
        <v>39</v>
      </c>
      <c r="G177" s="1" t="s">
        <v>382</v>
      </c>
      <c r="H177" s="1" t="s">
        <v>383</v>
      </c>
      <c r="I177" s="1" t="s">
        <v>318</v>
      </c>
      <c r="J177" s="1" t="s">
        <v>345</v>
      </c>
      <c r="K177" s="1" t="s">
        <v>98</v>
      </c>
      <c r="L177" s="1" t="s">
        <v>99</v>
      </c>
      <c r="N177" s="6">
        <v>2014.0</v>
      </c>
      <c r="O177" s="10">
        <f t="shared" ref="O177:R177" si="196">IFERROR(V177*INDEX($AH$4:$AH$8,MATCH($AA177,$AG$4:$AG$8,0)),"")</f>
        <v>200000000</v>
      </c>
      <c r="P177" s="10">
        <f t="shared" si="196"/>
        <v>196190781</v>
      </c>
      <c r="Q177" s="10">
        <f t="shared" si="196"/>
        <v>302720896</v>
      </c>
      <c r="R177" s="10">
        <f t="shared" si="196"/>
        <v>32747029</v>
      </c>
      <c r="S177" s="10">
        <f t="shared" si="4"/>
        <v>335467925</v>
      </c>
      <c r="T177" s="10">
        <f t="shared" si="5"/>
        <v>0</v>
      </c>
      <c r="U177" s="8">
        <v>46173.0</v>
      </c>
      <c r="V177" s="7">
        <v>2.0E8</v>
      </c>
      <c r="W177" s="7">
        <v>1.96190781E8</v>
      </c>
      <c r="X177" s="7">
        <v>3.02720896E8</v>
      </c>
      <c r="Y177" s="7">
        <v>3.2747029E7</v>
      </c>
      <c r="Z177" s="7">
        <v>0.0</v>
      </c>
      <c r="AA177" s="6" t="s">
        <v>52</v>
      </c>
      <c r="AB177" s="11" t="str">
        <f t="shared" si="6"/>
        <v>Include</v>
      </c>
      <c r="AC177" s="1">
        <f t="shared" si="192"/>
        <v>1.70990667</v>
      </c>
    </row>
    <row r="178" ht="15.0" customHeight="1">
      <c r="B178" s="6">
        <f t="shared" si="8"/>
        <v>176</v>
      </c>
      <c r="C178" s="1" t="s">
        <v>384</v>
      </c>
      <c r="D178" s="1" t="str">
        <f t="shared" si="2"/>
        <v>Private Credit</v>
      </c>
      <c r="E178" s="1" t="s">
        <v>39</v>
      </c>
      <c r="F178" s="1" t="s">
        <v>39</v>
      </c>
      <c r="G178" s="1" t="s">
        <v>384</v>
      </c>
      <c r="H178" s="1" t="s">
        <v>80</v>
      </c>
      <c r="I178" s="1" t="s">
        <v>318</v>
      </c>
      <c r="J178" s="1" t="s">
        <v>345</v>
      </c>
      <c r="K178" s="1" t="s">
        <v>82</v>
      </c>
      <c r="L178" s="1" t="s">
        <v>83</v>
      </c>
      <c r="N178" s="6">
        <v>2015.0</v>
      </c>
      <c r="O178" s="10">
        <f t="shared" ref="O178:R178" si="197">IFERROR(V178*INDEX($AH$4:$AH$8,MATCH($AA178,$AG$4:$AG$8,0)),"")</f>
        <v>173326500</v>
      </c>
      <c r="P178" s="10">
        <f t="shared" si="197"/>
        <v>187237546.3</v>
      </c>
      <c r="Q178" s="10">
        <f t="shared" si="197"/>
        <v>333346491.9</v>
      </c>
      <c r="R178" s="10">
        <f t="shared" si="197"/>
        <v>9557857.423</v>
      </c>
      <c r="S178" s="10">
        <f t="shared" si="4"/>
        <v>342904349.3</v>
      </c>
      <c r="T178" s="10">
        <f t="shared" si="5"/>
        <v>34023860.21</v>
      </c>
      <c r="U178" s="8">
        <v>46112.0</v>
      </c>
      <c r="V178" s="7">
        <v>1.5E8</v>
      </c>
      <c r="W178" s="7">
        <v>1.6203888006E8</v>
      </c>
      <c r="X178" s="7">
        <v>2.8848429864E8</v>
      </c>
      <c r="Y178" s="7">
        <v>8271548.86</v>
      </c>
      <c r="Z178" s="7">
        <v>2.944488599E7</v>
      </c>
      <c r="AA178" s="6" t="s">
        <v>45</v>
      </c>
      <c r="AB178" s="11" t="str">
        <f t="shared" si="6"/>
        <v>Include</v>
      </c>
      <c r="AC178" s="1">
        <f t="shared" si="192"/>
        <v>1.831386686</v>
      </c>
    </row>
    <row r="179" ht="15.0" customHeight="1">
      <c r="B179" s="6">
        <f t="shared" si="8"/>
        <v>177</v>
      </c>
      <c r="C179" s="1" t="s">
        <v>385</v>
      </c>
      <c r="D179" s="1" t="str">
        <f t="shared" si="2"/>
        <v>Private Credit</v>
      </c>
      <c r="E179" s="1" t="s">
        <v>39</v>
      </c>
      <c r="F179" s="1" t="s">
        <v>39</v>
      </c>
      <c r="G179" s="1" t="s">
        <v>385</v>
      </c>
      <c r="H179" s="1" t="s">
        <v>97</v>
      </c>
      <c r="I179" s="1" t="s">
        <v>318</v>
      </c>
      <c r="J179" s="1" t="s">
        <v>345</v>
      </c>
      <c r="K179" s="1" t="s">
        <v>98</v>
      </c>
      <c r="L179" s="1" t="s">
        <v>99</v>
      </c>
      <c r="N179" s="6">
        <v>2015.0</v>
      </c>
      <c r="O179" s="10">
        <f t="shared" ref="O179:R179" si="198">IFERROR(V179*INDEX($AH$4:$AH$8,MATCH($AA179,$AG$4:$AG$8,0)),"")</f>
        <v>250000000</v>
      </c>
      <c r="P179" s="10">
        <f t="shared" si="198"/>
        <v>172076075</v>
      </c>
      <c r="Q179" s="10">
        <f t="shared" si="198"/>
        <v>192428492</v>
      </c>
      <c r="R179" s="10">
        <f t="shared" si="198"/>
        <v>3113963</v>
      </c>
      <c r="S179" s="10">
        <f t="shared" si="4"/>
        <v>195542455</v>
      </c>
      <c r="T179" s="10">
        <f t="shared" si="5"/>
        <v>4208187</v>
      </c>
      <c r="U179" s="8">
        <v>46112.0</v>
      </c>
      <c r="V179" s="7">
        <v>2.5E8</v>
      </c>
      <c r="W179" s="7">
        <v>1.72076075E8</v>
      </c>
      <c r="X179" s="7">
        <v>1.92428492E8</v>
      </c>
      <c r="Y179" s="7">
        <v>3113963.0</v>
      </c>
      <c r="Z179" s="7">
        <v>4208187.0</v>
      </c>
      <c r="AA179" s="6" t="s">
        <v>52</v>
      </c>
      <c r="AB179" s="11" t="str">
        <f t="shared" si="6"/>
        <v>Include</v>
      </c>
      <c r="AC179" s="1">
        <f t="shared" si="192"/>
        <v>1.136372125</v>
      </c>
    </row>
    <row r="180" ht="15.0" customHeight="1">
      <c r="B180" s="6">
        <f t="shared" si="8"/>
        <v>178</v>
      </c>
      <c r="C180" s="1" t="s">
        <v>386</v>
      </c>
      <c r="D180" s="1" t="str">
        <f t="shared" si="2"/>
        <v>Private Credit</v>
      </c>
      <c r="E180" s="1" t="s">
        <v>39</v>
      </c>
      <c r="F180" s="1" t="s">
        <v>39</v>
      </c>
      <c r="G180" s="1" t="s">
        <v>386</v>
      </c>
      <c r="H180" s="1" t="s">
        <v>387</v>
      </c>
      <c r="I180" s="1" t="s">
        <v>318</v>
      </c>
      <c r="J180" s="1" t="s">
        <v>345</v>
      </c>
      <c r="K180" s="1" t="s">
        <v>92</v>
      </c>
      <c r="L180" s="1" t="s">
        <v>388</v>
      </c>
      <c r="N180" s="6">
        <v>2011.0</v>
      </c>
      <c r="O180" s="10">
        <f t="shared" ref="O180:R180" si="199">IFERROR(V180*INDEX($AH$4:$AH$8,MATCH($AA180,$AG$4:$AG$8,0)),"")</f>
        <v>100000000</v>
      </c>
      <c r="P180" s="10">
        <f t="shared" si="199"/>
        <v>100000000</v>
      </c>
      <c r="Q180" s="10">
        <f t="shared" si="199"/>
        <v>235106775.2</v>
      </c>
      <c r="R180" s="10">
        <f t="shared" si="199"/>
        <v>0</v>
      </c>
      <c r="S180" s="10">
        <f t="shared" si="4"/>
        <v>235106775.2</v>
      </c>
      <c r="T180" s="10">
        <f t="shared" si="5"/>
        <v>0</v>
      </c>
      <c r="U180" s="8">
        <v>44653.0</v>
      </c>
      <c r="V180" s="7">
        <v>1.0E8</v>
      </c>
      <c r="W180" s="7">
        <v>1.0E8</v>
      </c>
      <c r="X180" s="7">
        <v>2.3510677522E8</v>
      </c>
      <c r="Y180" s="7">
        <v>0.0</v>
      </c>
      <c r="Z180" s="7">
        <v>0.0</v>
      </c>
      <c r="AA180" s="6" t="s">
        <v>52</v>
      </c>
      <c r="AB180" s="11" t="str">
        <f t="shared" si="6"/>
        <v>Exclude</v>
      </c>
    </row>
    <row r="181" ht="15.0" customHeight="1">
      <c r="B181" s="6">
        <f t="shared" si="8"/>
        <v>179</v>
      </c>
      <c r="C181" s="1" t="s">
        <v>389</v>
      </c>
      <c r="D181" s="1" t="str">
        <f t="shared" si="2"/>
        <v>Private Credit</v>
      </c>
      <c r="E181" s="1" t="s">
        <v>39</v>
      </c>
      <c r="F181" s="1" t="s">
        <v>39</v>
      </c>
      <c r="G181" s="1" t="s">
        <v>389</v>
      </c>
      <c r="H181" s="1" t="s">
        <v>387</v>
      </c>
      <c r="I181" s="1" t="s">
        <v>318</v>
      </c>
      <c r="J181" s="1" t="s">
        <v>345</v>
      </c>
      <c r="K181" s="1" t="s">
        <v>92</v>
      </c>
      <c r="L181" s="1" t="s">
        <v>390</v>
      </c>
      <c r="N181" s="6">
        <v>2014.0</v>
      </c>
      <c r="O181" s="10">
        <f t="shared" ref="O181:R181" si="200">IFERROR(V181*INDEX($AH$4:$AH$8,MATCH($AA181,$AG$4:$AG$8,0)),"")</f>
        <v>200000000</v>
      </c>
      <c r="P181" s="10">
        <f t="shared" si="200"/>
        <v>200000000</v>
      </c>
      <c r="Q181" s="10">
        <f t="shared" si="200"/>
        <v>351379899.8</v>
      </c>
      <c r="R181" s="10">
        <f t="shared" si="200"/>
        <v>0</v>
      </c>
      <c r="S181" s="10">
        <f t="shared" si="4"/>
        <v>351379899.8</v>
      </c>
      <c r="T181" s="10">
        <f t="shared" si="5"/>
        <v>0</v>
      </c>
      <c r="U181" s="8">
        <v>44562.0</v>
      </c>
      <c r="V181" s="7">
        <v>2.0E8</v>
      </c>
      <c r="W181" s="7">
        <v>2.0E8</v>
      </c>
      <c r="X181" s="7">
        <v>3.5137989977E8</v>
      </c>
      <c r="Y181" s="7">
        <v>0.0</v>
      </c>
      <c r="Z181" s="7">
        <v>0.0</v>
      </c>
      <c r="AA181" s="6" t="s">
        <v>52</v>
      </c>
      <c r="AB181" s="11" t="str">
        <f t="shared" si="6"/>
        <v>Exclude</v>
      </c>
    </row>
    <row r="182" ht="15.0" customHeight="1">
      <c r="B182" s="6">
        <f t="shared" si="8"/>
        <v>180</v>
      </c>
      <c r="C182" s="1" t="s">
        <v>391</v>
      </c>
      <c r="D182" s="1" t="str">
        <f t="shared" si="2"/>
        <v>Private Credit</v>
      </c>
      <c r="E182" s="1" t="s">
        <v>39</v>
      </c>
      <c r="F182" s="1" t="s">
        <v>39</v>
      </c>
      <c r="G182" s="1" t="s">
        <v>391</v>
      </c>
      <c r="H182" s="1" t="s">
        <v>371</v>
      </c>
      <c r="I182" s="1" t="s">
        <v>318</v>
      </c>
      <c r="J182" s="1" t="s">
        <v>345</v>
      </c>
      <c r="K182" s="1" t="s">
        <v>92</v>
      </c>
      <c r="L182" s="1" t="s">
        <v>390</v>
      </c>
      <c r="N182" s="6">
        <v>2010.0</v>
      </c>
      <c r="O182" s="10">
        <f t="shared" ref="O182:R182" si="201">IFERROR(V182*INDEX($AH$4:$AH$8,MATCH($AA182,$AG$4:$AG$8,0)),"")</f>
        <v>326181940</v>
      </c>
      <c r="P182" s="10">
        <f t="shared" si="201"/>
        <v>326181940</v>
      </c>
      <c r="Q182" s="10">
        <f t="shared" si="201"/>
        <v>532793300.9</v>
      </c>
      <c r="R182" s="10">
        <f t="shared" si="201"/>
        <v>0</v>
      </c>
      <c r="S182" s="10">
        <f t="shared" si="4"/>
        <v>532793300.9</v>
      </c>
      <c r="T182" s="10">
        <f t="shared" si="5"/>
        <v>0</v>
      </c>
      <c r="U182" s="8">
        <v>44286.0</v>
      </c>
      <c r="V182" s="7">
        <v>3.2618194E8</v>
      </c>
      <c r="W182" s="7">
        <v>3.2618194E8</v>
      </c>
      <c r="X182" s="7">
        <v>5.3279330087E8</v>
      </c>
      <c r="Y182" s="7">
        <v>0.0</v>
      </c>
      <c r="Z182" s="7">
        <v>0.0</v>
      </c>
      <c r="AA182" s="6" t="s">
        <v>52</v>
      </c>
      <c r="AB182" s="11" t="str">
        <f t="shared" si="6"/>
        <v>Exclude</v>
      </c>
    </row>
    <row r="183" ht="15.0" customHeight="1">
      <c r="B183" s="6">
        <f t="shared" si="8"/>
        <v>181</v>
      </c>
      <c r="C183" s="1" t="s">
        <v>392</v>
      </c>
      <c r="D183" s="1" t="str">
        <f t="shared" si="2"/>
        <v>Private Credit</v>
      </c>
      <c r="E183" s="1" t="s">
        <v>39</v>
      </c>
      <c r="F183" s="1" t="s">
        <v>39</v>
      </c>
      <c r="G183" s="1" t="s">
        <v>393</v>
      </c>
      <c r="H183" s="1" t="s">
        <v>232</v>
      </c>
      <c r="I183" s="1" t="s">
        <v>318</v>
      </c>
      <c r="J183" s="1" t="s">
        <v>345</v>
      </c>
      <c r="K183" s="1" t="s">
        <v>92</v>
      </c>
      <c r="L183" s="1" t="s">
        <v>93</v>
      </c>
      <c r="N183" s="6">
        <v>2015.0</v>
      </c>
      <c r="O183" s="10">
        <f t="shared" ref="O183:R183" si="202">IFERROR(V183*INDEX($AH$4:$AH$8,MATCH($AA183,$AG$4:$AG$8,0)),"")</f>
        <v>250000000</v>
      </c>
      <c r="P183" s="10">
        <f t="shared" si="202"/>
        <v>250000000</v>
      </c>
      <c r="Q183" s="10">
        <f t="shared" si="202"/>
        <v>242300199.4</v>
      </c>
      <c r="R183" s="10">
        <f t="shared" si="202"/>
        <v>91059129</v>
      </c>
      <c r="S183" s="10">
        <f t="shared" si="4"/>
        <v>333359328.4</v>
      </c>
      <c r="T183" s="10">
        <f t="shared" si="5"/>
        <v>0</v>
      </c>
      <c r="U183" s="8">
        <v>46112.0</v>
      </c>
      <c r="V183" s="7">
        <v>2.5E8</v>
      </c>
      <c r="W183" s="7">
        <v>2.5E8</v>
      </c>
      <c r="X183" s="7">
        <v>2.4230019937E8</v>
      </c>
      <c r="Y183" s="7">
        <v>9.1059129E7</v>
      </c>
      <c r="Z183" s="7">
        <v>0.0</v>
      </c>
      <c r="AA183" s="6" t="s">
        <v>52</v>
      </c>
      <c r="AB183" s="11" t="str">
        <f t="shared" si="6"/>
        <v>Include</v>
      </c>
      <c r="AC183" s="1">
        <f t="shared" ref="AC183:AC201" si="204">S183/P183</f>
        <v>1.333437313</v>
      </c>
    </row>
    <row r="184" ht="15.0" customHeight="1">
      <c r="B184" s="6">
        <f t="shared" si="8"/>
        <v>182</v>
      </c>
      <c r="C184" s="1" t="s">
        <v>394</v>
      </c>
      <c r="D184" s="1" t="str">
        <f t="shared" si="2"/>
        <v>Private Credit</v>
      </c>
      <c r="E184" s="1" t="s">
        <v>39</v>
      </c>
      <c r="F184" s="1" t="s">
        <v>39</v>
      </c>
      <c r="G184" s="1" t="s">
        <v>394</v>
      </c>
      <c r="H184" s="1" t="s">
        <v>383</v>
      </c>
      <c r="I184" s="1" t="s">
        <v>318</v>
      </c>
      <c r="J184" s="1" t="s">
        <v>345</v>
      </c>
      <c r="K184" s="1" t="s">
        <v>92</v>
      </c>
      <c r="L184" s="1" t="s">
        <v>346</v>
      </c>
      <c r="N184" s="6">
        <v>2015.0</v>
      </c>
      <c r="O184" s="10">
        <f t="shared" ref="O184:R184" si="203">IFERROR(V184*INDEX($AH$4:$AH$8,MATCH($AA184,$AG$4:$AG$8,0)),"")</f>
        <v>200000000</v>
      </c>
      <c r="P184" s="10">
        <f t="shared" si="203"/>
        <v>200890954</v>
      </c>
      <c r="Q184" s="10">
        <f t="shared" si="203"/>
        <v>188587923</v>
      </c>
      <c r="R184" s="10">
        <f t="shared" si="203"/>
        <v>36249436</v>
      </c>
      <c r="S184" s="10">
        <f t="shared" si="4"/>
        <v>224837359</v>
      </c>
      <c r="T184" s="10">
        <f t="shared" si="5"/>
        <v>0</v>
      </c>
      <c r="U184" s="8">
        <v>46112.0</v>
      </c>
      <c r="V184" s="7">
        <v>2.0E8</v>
      </c>
      <c r="W184" s="7">
        <v>2.00890954E8</v>
      </c>
      <c r="X184" s="7">
        <v>1.88587923E8</v>
      </c>
      <c r="Y184" s="7">
        <v>3.6249436E7</v>
      </c>
      <c r="Z184" s="7">
        <v>0.0</v>
      </c>
      <c r="AA184" s="6" t="s">
        <v>52</v>
      </c>
      <c r="AB184" s="11" t="str">
        <f t="shared" si="6"/>
        <v>Include</v>
      </c>
      <c r="AC184" s="1">
        <f t="shared" si="204"/>
        <v>1.119201012</v>
      </c>
    </row>
    <row r="185" ht="15.0" customHeight="1">
      <c r="B185" s="6">
        <f t="shared" si="8"/>
        <v>183</v>
      </c>
      <c r="C185" s="1" t="s">
        <v>395</v>
      </c>
      <c r="D185" s="1" t="str">
        <f t="shared" si="2"/>
        <v>Private Credit</v>
      </c>
      <c r="E185" s="1" t="s">
        <v>39</v>
      </c>
      <c r="F185" s="1" t="s">
        <v>39</v>
      </c>
      <c r="G185" s="1" t="s">
        <v>395</v>
      </c>
      <c r="H185" s="1" t="s">
        <v>367</v>
      </c>
      <c r="I185" s="1" t="s">
        <v>318</v>
      </c>
      <c r="J185" s="1" t="s">
        <v>345</v>
      </c>
      <c r="K185" s="1" t="s">
        <v>92</v>
      </c>
      <c r="L185" s="1" t="s">
        <v>346</v>
      </c>
      <c r="N185" s="6">
        <v>2016.0</v>
      </c>
      <c r="O185" s="10">
        <f t="shared" ref="O185:R185" si="205">IFERROR(V185*INDEX($AH$4:$AH$8,MATCH($AA185,$AG$4:$AG$8,0)),"")</f>
        <v>160000000</v>
      </c>
      <c r="P185" s="10">
        <f t="shared" si="205"/>
        <v>23586231.92</v>
      </c>
      <c r="Q185" s="10">
        <f t="shared" si="205"/>
        <v>47674770.16</v>
      </c>
      <c r="R185" s="10">
        <f t="shared" si="205"/>
        <v>42116727.44</v>
      </c>
      <c r="S185" s="10">
        <f t="shared" si="4"/>
        <v>89791497.6</v>
      </c>
      <c r="T185" s="10">
        <f t="shared" si="5"/>
        <v>159688624.5</v>
      </c>
      <c r="U185" s="8">
        <v>46112.0</v>
      </c>
      <c r="V185" s="7">
        <v>1.6E8</v>
      </c>
      <c r="W185" s="7">
        <v>2.358623192E7</v>
      </c>
      <c r="X185" s="7">
        <v>4.767477016E7</v>
      </c>
      <c r="Y185" s="7">
        <v>4.211672744E7</v>
      </c>
      <c r="Z185" s="7">
        <v>1.596886245E8</v>
      </c>
      <c r="AA185" s="6" t="s">
        <v>52</v>
      </c>
      <c r="AB185" s="11" t="str">
        <f t="shared" si="6"/>
        <v>Include</v>
      </c>
      <c r="AC185" s="1">
        <f t="shared" si="204"/>
        <v>3.806945421</v>
      </c>
    </row>
    <row r="186" ht="15.0" customHeight="1">
      <c r="B186" s="6">
        <f t="shared" si="8"/>
        <v>184</v>
      </c>
      <c r="C186" s="1" t="s">
        <v>396</v>
      </c>
      <c r="D186" s="1" t="str">
        <f t="shared" si="2"/>
        <v>Private Credit</v>
      </c>
      <c r="E186" s="1" t="s">
        <v>39</v>
      </c>
      <c r="F186" s="1" t="s">
        <v>39</v>
      </c>
      <c r="G186" s="1" t="s">
        <v>396</v>
      </c>
      <c r="H186" s="1" t="s">
        <v>367</v>
      </c>
      <c r="I186" s="1" t="s">
        <v>318</v>
      </c>
      <c r="J186" s="1" t="s">
        <v>345</v>
      </c>
      <c r="K186" s="1" t="s">
        <v>92</v>
      </c>
      <c r="L186" s="1" t="s">
        <v>93</v>
      </c>
      <c r="N186" s="6">
        <v>2016.0</v>
      </c>
      <c r="O186" s="10">
        <f t="shared" ref="O186:R186" si="206">IFERROR(V186*INDEX($AH$4:$AH$8,MATCH($AA186,$AG$4:$AG$8,0)),"")</f>
        <v>40000000</v>
      </c>
      <c r="P186" s="10">
        <f t="shared" si="206"/>
        <v>21442998.17</v>
      </c>
      <c r="Q186" s="10">
        <f t="shared" si="206"/>
        <v>21156192.67</v>
      </c>
      <c r="R186" s="10">
        <f t="shared" si="206"/>
        <v>8500076.52</v>
      </c>
      <c r="S186" s="10">
        <f t="shared" si="4"/>
        <v>29656269.19</v>
      </c>
      <c r="T186" s="10">
        <f t="shared" si="5"/>
        <v>32352333.62</v>
      </c>
      <c r="U186" s="8">
        <v>46112.0</v>
      </c>
      <c r="V186" s="7">
        <v>4.0E7</v>
      </c>
      <c r="W186" s="7">
        <v>2.144299817E7</v>
      </c>
      <c r="X186" s="7">
        <v>2.115619267E7</v>
      </c>
      <c r="Y186" s="7">
        <v>8500076.52</v>
      </c>
      <c r="Z186" s="7">
        <v>3.235233362E7</v>
      </c>
      <c r="AA186" s="6" t="s">
        <v>52</v>
      </c>
      <c r="AB186" s="11" t="str">
        <f t="shared" si="6"/>
        <v>Include</v>
      </c>
      <c r="AC186" s="1">
        <f t="shared" si="204"/>
        <v>1.383028108</v>
      </c>
    </row>
    <row r="187" ht="15.0" customHeight="1">
      <c r="B187" s="6">
        <f t="shared" si="8"/>
        <v>185</v>
      </c>
      <c r="C187" s="1" t="s">
        <v>397</v>
      </c>
      <c r="D187" s="1" t="str">
        <f t="shared" si="2"/>
        <v>Private Credit</v>
      </c>
      <c r="E187" s="1" t="s">
        <v>39</v>
      </c>
      <c r="F187" s="1" t="s">
        <v>39</v>
      </c>
      <c r="G187" s="1" t="s">
        <v>397</v>
      </c>
      <c r="H187" s="1" t="s">
        <v>381</v>
      </c>
      <c r="I187" s="1" t="s">
        <v>318</v>
      </c>
      <c r="J187" s="1" t="s">
        <v>345</v>
      </c>
      <c r="K187" s="1" t="s">
        <v>92</v>
      </c>
      <c r="L187" s="1" t="s">
        <v>115</v>
      </c>
      <c r="N187" s="6">
        <v>2016.0</v>
      </c>
      <c r="O187" s="10">
        <f t="shared" ref="O187:R187" si="207">IFERROR(V187*INDEX($AH$4:$AH$8,MATCH($AA187,$AG$4:$AG$8,0)),"")</f>
        <v>75000000</v>
      </c>
      <c r="P187" s="10">
        <f t="shared" si="207"/>
        <v>75000000</v>
      </c>
      <c r="Q187" s="10">
        <f t="shared" si="207"/>
        <v>79726922</v>
      </c>
      <c r="R187" s="10">
        <f t="shared" si="207"/>
        <v>5196567.21</v>
      </c>
      <c r="S187" s="10">
        <f t="shared" si="4"/>
        <v>84923489.21</v>
      </c>
      <c r="T187" s="10">
        <f t="shared" si="5"/>
        <v>0</v>
      </c>
      <c r="U187" s="8">
        <v>46173.0</v>
      </c>
      <c r="V187" s="7">
        <v>7.5E7</v>
      </c>
      <c r="W187" s="7">
        <v>7.5E7</v>
      </c>
      <c r="X187" s="7">
        <v>7.9726922E7</v>
      </c>
      <c r="Y187" s="7">
        <v>5196567.21</v>
      </c>
      <c r="Z187" s="7">
        <v>0.0</v>
      </c>
      <c r="AA187" s="6" t="s">
        <v>52</v>
      </c>
      <c r="AB187" s="11" t="str">
        <f t="shared" si="6"/>
        <v>Include</v>
      </c>
      <c r="AC187" s="1">
        <f t="shared" si="204"/>
        <v>1.132313189</v>
      </c>
    </row>
    <row r="188" ht="15.0" customHeight="1">
      <c r="B188" s="6">
        <f t="shared" si="8"/>
        <v>186</v>
      </c>
      <c r="C188" s="1" t="s">
        <v>398</v>
      </c>
      <c r="D188" s="1" t="str">
        <f t="shared" si="2"/>
        <v>Private Credit</v>
      </c>
      <c r="E188" s="1" t="s">
        <v>39</v>
      </c>
      <c r="F188" s="1" t="s">
        <v>39</v>
      </c>
      <c r="G188" s="1" t="s">
        <v>398</v>
      </c>
      <c r="H188" s="1" t="s">
        <v>91</v>
      </c>
      <c r="I188" s="1" t="s">
        <v>318</v>
      </c>
      <c r="J188" s="1" t="s">
        <v>345</v>
      </c>
      <c r="K188" s="1" t="s">
        <v>92</v>
      </c>
      <c r="L188" s="1" t="s">
        <v>93</v>
      </c>
      <c r="N188" s="6">
        <v>2016.0</v>
      </c>
      <c r="O188" s="10">
        <f t="shared" ref="O188:R188" si="208">IFERROR(V188*INDEX($AH$4:$AH$8,MATCH($AA188,$AG$4:$AG$8,0)),"")</f>
        <v>200000000</v>
      </c>
      <c r="P188" s="10">
        <f t="shared" si="208"/>
        <v>274035790.5</v>
      </c>
      <c r="Q188" s="10">
        <f t="shared" si="208"/>
        <v>233853919</v>
      </c>
      <c r="R188" s="10">
        <f t="shared" si="208"/>
        <v>54189451</v>
      </c>
      <c r="S188" s="10">
        <f t="shared" si="4"/>
        <v>288043370</v>
      </c>
      <c r="T188" s="10">
        <f t="shared" si="5"/>
        <v>43786602.22</v>
      </c>
      <c r="U188" s="8">
        <v>46112.0</v>
      </c>
      <c r="V188" s="7">
        <v>2.0E8</v>
      </c>
      <c r="W188" s="7">
        <v>2.7403579047E8</v>
      </c>
      <c r="X188" s="7">
        <v>2.33853919E8</v>
      </c>
      <c r="Y188" s="7">
        <v>5.4189451E7</v>
      </c>
      <c r="Z188" s="7">
        <v>4.378660222E7</v>
      </c>
      <c r="AA188" s="6" t="s">
        <v>52</v>
      </c>
      <c r="AB188" s="11" t="str">
        <f t="shared" si="6"/>
        <v>Include</v>
      </c>
      <c r="AC188" s="1">
        <f t="shared" si="204"/>
        <v>1.051115876</v>
      </c>
    </row>
    <row r="189" ht="15.0" customHeight="1">
      <c r="B189" s="6">
        <f t="shared" si="8"/>
        <v>187</v>
      </c>
      <c r="C189" s="1" t="s">
        <v>399</v>
      </c>
      <c r="D189" s="1" t="str">
        <f t="shared" si="2"/>
        <v>Private Credit</v>
      </c>
      <c r="E189" s="1" t="s">
        <v>39</v>
      </c>
      <c r="F189" s="1" t="s">
        <v>39</v>
      </c>
      <c r="G189" s="1" t="s">
        <v>399</v>
      </c>
      <c r="H189" s="1" t="s">
        <v>400</v>
      </c>
      <c r="I189" s="1" t="s">
        <v>318</v>
      </c>
      <c r="J189" s="1" t="s">
        <v>345</v>
      </c>
      <c r="K189" s="1" t="s">
        <v>372</v>
      </c>
      <c r="L189" s="1" t="s">
        <v>401</v>
      </c>
      <c r="N189" s="6">
        <v>2017.0</v>
      </c>
      <c r="O189" s="10">
        <f t="shared" ref="O189:R189" si="209">IFERROR(V189*INDEX($AH$4:$AH$8,MATCH($AA189,$AG$4:$AG$8,0)),"")</f>
        <v>75000000</v>
      </c>
      <c r="P189" s="10">
        <f t="shared" si="209"/>
        <v>74948435.7</v>
      </c>
      <c r="Q189" s="10">
        <f t="shared" si="209"/>
        <v>91246346.04</v>
      </c>
      <c r="R189" s="10">
        <f t="shared" si="209"/>
        <v>15420851</v>
      </c>
      <c r="S189" s="10">
        <f t="shared" si="4"/>
        <v>106667197</v>
      </c>
      <c r="T189" s="10">
        <f t="shared" si="5"/>
        <v>0</v>
      </c>
      <c r="U189" s="8">
        <v>46112.0</v>
      </c>
      <c r="V189" s="7">
        <v>7.5E7</v>
      </c>
      <c r="W189" s="7">
        <v>7.49484357E7</v>
      </c>
      <c r="X189" s="7">
        <v>9.124634604E7</v>
      </c>
      <c r="Y189" s="7">
        <v>1.5420851E7</v>
      </c>
      <c r="Z189" s="7">
        <v>0.0</v>
      </c>
      <c r="AA189" s="6" t="s">
        <v>52</v>
      </c>
      <c r="AB189" s="11" t="str">
        <f t="shared" si="6"/>
        <v>Include</v>
      </c>
      <c r="AC189" s="1">
        <f t="shared" si="204"/>
        <v>1.423207783</v>
      </c>
    </row>
    <row r="190" ht="15.0" customHeight="1">
      <c r="B190" s="6">
        <f t="shared" si="8"/>
        <v>188</v>
      </c>
      <c r="C190" s="1" t="s">
        <v>402</v>
      </c>
      <c r="D190" s="1" t="str">
        <f t="shared" si="2"/>
        <v>Private Credit</v>
      </c>
      <c r="E190" s="1" t="s">
        <v>39</v>
      </c>
      <c r="F190" s="1" t="s">
        <v>39</v>
      </c>
      <c r="G190" s="1" t="s">
        <v>402</v>
      </c>
      <c r="H190" s="1" t="s">
        <v>383</v>
      </c>
      <c r="I190" s="1" t="s">
        <v>318</v>
      </c>
      <c r="J190" s="1" t="s">
        <v>345</v>
      </c>
      <c r="K190" s="1" t="s">
        <v>98</v>
      </c>
      <c r="L190" s="1" t="s">
        <v>99</v>
      </c>
      <c r="N190" s="6">
        <v>2017.0</v>
      </c>
      <c r="O190" s="10">
        <f t="shared" ref="O190:R190" si="210">IFERROR(V190*INDEX($AH$4:$AH$8,MATCH($AA190,$AG$4:$AG$8,0)),"")</f>
        <v>100000000</v>
      </c>
      <c r="P190" s="10">
        <f t="shared" si="210"/>
        <v>154377201</v>
      </c>
      <c r="Q190" s="10">
        <f t="shared" si="210"/>
        <v>244650448</v>
      </c>
      <c r="R190" s="10">
        <f t="shared" si="210"/>
        <v>21095634</v>
      </c>
      <c r="S190" s="10">
        <f t="shared" si="4"/>
        <v>265746082</v>
      </c>
      <c r="T190" s="10">
        <f t="shared" si="5"/>
        <v>0</v>
      </c>
      <c r="U190" s="8">
        <v>46173.0</v>
      </c>
      <c r="V190" s="7">
        <v>1.0E8</v>
      </c>
      <c r="W190" s="7">
        <v>1.54377201E8</v>
      </c>
      <c r="X190" s="7">
        <v>2.44650448E8</v>
      </c>
      <c r="Y190" s="7">
        <v>2.1095634E7</v>
      </c>
      <c r="Z190" s="7">
        <v>0.0</v>
      </c>
      <c r="AA190" s="6" t="s">
        <v>52</v>
      </c>
      <c r="AB190" s="11" t="str">
        <f t="shared" si="6"/>
        <v>Include</v>
      </c>
      <c r="AC190" s="1">
        <f t="shared" si="204"/>
        <v>1.721407567</v>
      </c>
    </row>
    <row r="191" ht="15.0" customHeight="1">
      <c r="B191" s="6">
        <f t="shared" si="8"/>
        <v>189</v>
      </c>
      <c r="C191" s="1" t="s">
        <v>403</v>
      </c>
      <c r="D191" s="1" t="str">
        <f t="shared" si="2"/>
        <v>Private Credit</v>
      </c>
      <c r="E191" s="1" t="s">
        <v>39</v>
      </c>
      <c r="F191" s="1" t="s">
        <v>39</v>
      </c>
      <c r="G191" s="1" t="s">
        <v>403</v>
      </c>
      <c r="H191" s="1" t="s">
        <v>371</v>
      </c>
      <c r="I191" s="1" t="s">
        <v>318</v>
      </c>
      <c r="J191" s="1" t="s">
        <v>345</v>
      </c>
      <c r="K191" s="1" t="s">
        <v>372</v>
      </c>
      <c r="L191" s="1" t="s">
        <v>349</v>
      </c>
      <c r="N191" s="6">
        <v>2017.0</v>
      </c>
      <c r="O191" s="10">
        <f t="shared" ref="O191:R191" si="211">IFERROR(V191*INDEX($AH$4:$AH$8,MATCH($AA191,$AG$4:$AG$8,0)),"")</f>
        <v>150000000</v>
      </c>
      <c r="P191" s="10">
        <f t="shared" si="211"/>
        <v>134991426.1</v>
      </c>
      <c r="Q191" s="10">
        <f t="shared" si="211"/>
        <v>57455344.91</v>
      </c>
      <c r="R191" s="10">
        <f t="shared" si="211"/>
        <v>38715413.26</v>
      </c>
      <c r="S191" s="10">
        <f t="shared" si="4"/>
        <v>96170758.17</v>
      </c>
      <c r="T191" s="10">
        <f t="shared" si="5"/>
        <v>-0.22</v>
      </c>
      <c r="U191" s="8">
        <v>46081.0</v>
      </c>
      <c r="V191" s="7">
        <v>1.5E8</v>
      </c>
      <c r="W191" s="7">
        <v>1.3499142605E8</v>
      </c>
      <c r="X191" s="7">
        <v>5.745534491E7</v>
      </c>
      <c r="Y191" s="7">
        <v>3.871541326E7</v>
      </c>
      <c r="Z191" s="7">
        <v>-0.22</v>
      </c>
      <c r="AA191" s="6" t="s">
        <v>52</v>
      </c>
      <c r="AB191" s="11" t="str">
        <f t="shared" si="6"/>
        <v>Include</v>
      </c>
      <c r="AC191" s="1">
        <f t="shared" si="204"/>
        <v>0.7124212328</v>
      </c>
    </row>
    <row r="192" ht="15.0" customHeight="1">
      <c r="B192" s="6">
        <f t="shared" si="8"/>
        <v>190</v>
      </c>
      <c r="C192" s="1" t="s">
        <v>404</v>
      </c>
      <c r="D192" s="1" t="str">
        <f t="shared" si="2"/>
        <v>Private Credit</v>
      </c>
      <c r="E192" s="1" t="s">
        <v>39</v>
      </c>
      <c r="F192" s="1" t="s">
        <v>39</v>
      </c>
      <c r="G192" s="1" t="s">
        <v>404</v>
      </c>
      <c r="H192" s="1" t="s">
        <v>111</v>
      </c>
      <c r="I192" s="1" t="s">
        <v>318</v>
      </c>
      <c r="J192" s="1" t="s">
        <v>345</v>
      </c>
      <c r="K192" s="1" t="s">
        <v>92</v>
      </c>
      <c r="L192" s="1" t="s">
        <v>93</v>
      </c>
      <c r="N192" s="6">
        <v>2016.0</v>
      </c>
      <c r="O192" s="10">
        <f t="shared" ref="O192:R192" si="212">IFERROR(V192*INDEX($AH$4:$AH$8,MATCH($AA192,$AG$4:$AG$8,0)),"")</f>
        <v>250000000</v>
      </c>
      <c r="P192" s="10">
        <f t="shared" si="212"/>
        <v>264210334.9</v>
      </c>
      <c r="Q192" s="10">
        <f t="shared" si="212"/>
        <v>294242113</v>
      </c>
      <c r="R192" s="10">
        <f t="shared" si="212"/>
        <v>122844108</v>
      </c>
      <c r="S192" s="10">
        <f t="shared" si="4"/>
        <v>417086221</v>
      </c>
      <c r="T192" s="10">
        <f t="shared" si="5"/>
        <v>255481518.1</v>
      </c>
      <c r="U192" s="8">
        <v>46112.0</v>
      </c>
      <c r="V192" s="7">
        <v>2.5E8</v>
      </c>
      <c r="W192" s="7">
        <v>2.6421033489E8</v>
      </c>
      <c r="X192" s="7">
        <v>2.9424211303E8</v>
      </c>
      <c r="Y192" s="7">
        <v>1.22844108E8</v>
      </c>
      <c r="Z192" s="7">
        <v>2.5548151811E8</v>
      </c>
      <c r="AA192" s="6" t="s">
        <v>52</v>
      </c>
      <c r="AB192" s="11" t="str">
        <f t="shared" si="6"/>
        <v>Include</v>
      </c>
      <c r="AC192" s="1">
        <f t="shared" si="204"/>
        <v>1.578614331</v>
      </c>
    </row>
    <row r="193" ht="15.0" customHeight="1">
      <c r="B193" s="6">
        <f t="shared" si="8"/>
        <v>191</v>
      </c>
      <c r="C193" s="1" t="s">
        <v>405</v>
      </c>
      <c r="D193" s="1" t="str">
        <f t="shared" si="2"/>
        <v>Private Credit</v>
      </c>
      <c r="E193" s="1" t="s">
        <v>39</v>
      </c>
      <c r="F193" s="1" t="s">
        <v>39</v>
      </c>
      <c r="G193" s="1" t="s">
        <v>405</v>
      </c>
      <c r="H193" s="1" t="s">
        <v>80</v>
      </c>
      <c r="I193" s="1" t="s">
        <v>318</v>
      </c>
      <c r="J193" s="1" t="s">
        <v>345</v>
      </c>
      <c r="K193" s="1" t="s">
        <v>82</v>
      </c>
      <c r="L193" s="1" t="s">
        <v>83</v>
      </c>
      <c r="N193" s="6">
        <v>2018.0</v>
      </c>
      <c r="O193" s="10">
        <f t="shared" ref="O193:R193" si="213">IFERROR(V193*INDEX($AH$4:$AH$8,MATCH($AA193,$AG$4:$AG$8,0)),"")</f>
        <v>173326500</v>
      </c>
      <c r="P193" s="10">
        <f t="shared" si="213"/>
        <v>171347264</v>
      </c>
      <c r="Q193" s="10">
        <f t="shared" si="213"/>
        <v>218816977.1</v>
      </c>
      <c r="R193" s="10">
        <f t="shared" si="213"/>
        <v>65986004.04</v>
      </c>
      <c r="S193" s="10">
        <f t="shared" si="4"/>
        <v>284802981.2</v>
      </c>
      <c r="T193" s="10">
        <f t="shared" si="5"/>
        <v>30506705.45</v>
      </c>
      <c r="U193" s="8">
        <v>46112.0</v>
      </c>
      <c r="V193" s="7">
        <v>1.5E8</v>
      </c>
      <c r="W193" s="7">
        <v>1.4828713211E8</v>
      </c>
      <c r="X193" s="7">
        <v>1.8936831108E8</v>
      </c>
      <c r="Y193" s="7">
        <v>5.7105524E7</v>
      </c>
      <c r="Z193" s="7">
        <v>2.640107437E7</v>
      </c>
      <c r="AA193" s="6" t="s">
        <v>45</v>
      </c>
      <c r="AB193" s="11" t="str">
        <f t="shared" si="6"/>
        <v>Include</v>
      </c>
      <c r="AC193" s="1">
        <f t="shared" si="204"/>
        <v>1.662139065</v>
      </c>
    </row>
    <row r="194" ht="15.0" customHeight="1">
      <c r="B194" s="6">
        <f t="shared" si="8"/>
        <v>192</v>
      </c>
      <c r="C194" s="1" t="s">
        <v>406</v>
      </c>
      <c r="D194" s="1" t="str">
        <f t="shared" si="2"/>
        <v>Private Credit</v>
      </c>
      <c r="E194" s="1" t="s">
        <v>39</v>
      </c>
      <c r="F194" s="1" t="s">
        <v>39</v>
      </c>
      <c r="G194" s="1" t="s">
        <v>406</v>
      </c>
      <c r="H194" s="1" t="s">
        <v>407</v>
      </c>
      <c r="I194" s="1" t="s">
        <v>318</v>
      </c>
      <c r="J194" s="1" t="s">
        <v>345</v>
      </c>
      <c r="K194" s="1" t="s">
        <v>372</v>
      </c>
      <c r="L194" s="1" t="s">
        <v>294</v>
      </c>
      <c r="N194" s="6">
        <v>2018.0</v>
      </c>
      <c r="O194" s="10">
        <f t="shared" ref="O194:R194" si="214">IFERROR(V194*INDEX($AH$4:$AH$8,MATCH($AA194,$AG$4:$AG$8,0)),"")</f>
        <v>400000000</v>
      </c>
      <c r="P194" s="10">
        <f t="shared" si="214"/>
        <v>176561061.8</v>
      </c>
      <c r="Q194" s="10">
        <f t="shared" si="214"/>
        <v>159851353.3</v>
      </c>
      <c r="R194" s="10">
        <f t="shared" si="214"/>
        <v>58554356</v>
      </c>
      <c r="S194" s="10">
        <f t="shared" si="4"/>
        <v>218405709.3</v>
      </c>
      <c r="T194" s="10">
        <f t="shared" si="5"/>
        <v>45479768.87</v>
      </c>
      <c r="U194" s="8">
        <v>46112.0</v>
      </c>
      <c r="V194" s="7">
        <v>4.0E8</v>
      </c>
      <c r="W194" s="7">
        <v>1.7656106182E8</v>
      </c>
      <c r="X194" s="7">
        <v>1.5985135332E8</v>
      </c>
      <c r="Y194" s="7">
        <v>5.8554356E7</v>
      </c>
      <c r="Z194" s="7">
        <v>4.547976887E7</v>
      </c>
      <c r="AA194" s="6" t="s">
        <v>52</v>
      </c>
      <c r="AB194" s="11" t="str">
        <f t="shared" si="6"/>
        <v>Include</v>
      </c>
      <c r="AC194" s="1">
        <f t="shared" si="204"/>
        <v>1.236998164</v>
      </c>
    </row>
    <row r="195" ht="15.0" customHeight="1">
      <c r="B195" s="6">
        <f t="shared" si="8"/>
        <v>193</v>
      </c>
      <c r="C195" s="1" t="s">
        <v>408</v>
      </c>
      <c r="D195" s="1" t="str">
        <f t="shared" si="2"/>
        <v>Private Credit</v>
      </c>
      <c r="E195" s="1" t="s">
        <v>39</v>
      </c>
      <c r="F195" s="1" t="s">
        <v>39</v>
      </c>
      <c r="G195" s="1" t="s">
        <v>408</v>
      </c>
      <c r="H195" s="1" t="s">
        <v>105</v>
      </c>
      <c r="I195" s="1" t="s">
        <v>318</v>
      </c>
      <c r="J195" s="1" t="s">
        <v>345</v>
      </c>
      <c r="K195" s="1" t="s">
        <v>92</v>
      </c>
      <c r="L195" s="1" t="s">
        <v>93</v>
      </c>
      <c r="N195" s="6">
        <v>2018.0</v>
      </c>
      <c r="O195" s="10">
        <f t="shared" ref="O195:R195" si="215">IFERROR(V195*INDEX($AH$4:$AH$8,MATCH($AA195,$AG$4:$AG$8,0)),"")</f>
        <v>150000000</v>
      </c>
      <c r="P195" s="10">
        <f t="shared" si="215"/>
        <v>203714962</v>
      </c>
      <c r="Q195" s="10">
        <f t="shared" si="215"/>
        <v>190717475</v>
      </c>
      <c r="R195" s="10">
        <f t="shared" si="215"/>
        <v>87190106</v>
      </c>
      <c r="S195" s="10">
        <f t="shared" si="4"/>
        <v>277907581</v>
      </c>
      <c r="T195" s="10">
        <f t="shared" si="5"/>
        <v>15739597</v>
      </c>
      <c r="U195" s="8">
        <v>46112.0</v>
      </c>
      <c r="V195" s="7">
        <v>1.5E8</v>
      </c>
      <c r="W195" s="7">
        <v>2.03714962E8</v>
      </c>
      <c r="X195" s="7">
        <v>1.90717475E8</v>
      </c>
      <c r="Y195" s="7">
        <v>8.7190106E7</v>
      </c>
      <c r="Z195" s="7">
        <v>1.5739597E7</v>
      </c>
      <c r="AA195" s="6" t="s">
        <v>52</v>
      </c>
      <c r="AB195" s="11" t="str">
        <f t="shared" si="6"/>
        <v>Include</v>
      </c>
      <c r="AC195" s="1">
        <f t="shared" si="204"/>
        <v>1.364198183</v>
      </c>
    </row>
    <row r="196" ht="15.0" customHeight="1">
      <c r="B196" s="6">
        <f t="shared" si="8"/>
        <v>194</v>
      </c>
      <c r="C196" s="1" t="s">
        <v>409</v>
      </c>
      <c r="D196" s="1" t="str">
        <f t="shared" si="2"/>
        <v>Private Credit</v>
      </c>
      <c r="E196" s="1" t="s">
        <v>39</v>
      </c>
      <c r="F196" s="1" t="s">
        <v>39</v>
      </c>
      <c r="G196" s="1" t="s">
        <v>409</v>
      </c>
      <c r="H196" s="1" t="s">
        <v>111</v>
      </c>
      <c r="I196" s="1" t="s">
        <v>318</v>
      </c>
      <c r="J196" s="1" t="s">
        <v>345</v>
      </c>
      <c r="K196" s="1" t="s">
        <v>372</v>
      </c>
      <c r="L196" s="1" t="s">
        <v>401</v>
      </c>
      <c r="N196" s="6">
        <v>2018.0</v>
      </c>
      <c r="O196" s="10">
        <f t="shared" ref="O196:R196" si="216">IFERROR(V196*INDEX($AH$4:$AH$8,MATCH($AA196,$AG$4:$AG$8,0)),"")</f>
        <v>200000000</v>
      </c>
      <c r="P196" s="10">
        <f t="shared" si="216"/>
        <v>154899136.7</v>
      </c>
      <c r="Q196" s="10">
        <f t="shared" si="216"/>
        <v>147922630.9</v>
      </c>
      <c r="R196" s="10">
        <f t="shared" si="216"/>
        <v>59512077</v>
      </c>
      <c r="S196" s="10">
        <f t="shared" si="4"/>
        <v>207434707.9</v>
      </c>
      <c r="T196" s="10">
        <f t="shared" si="5"/>
        <v>127502188.4</v>
      </c>
      <c r="U196" s="8">
        <v>46112.0</v>
      </c>
      <c r="V196" s="7">
        <v>2.0E8</v>
      </c>
      <c r="W196" s="7">
        <v>1.5489913672E8</v>
      </c>
      <c r="X196" s="7">
        <v>1.4792263085E8</v>
      </c>
      <c r="Y196" s="7">
        <v>5.9512077E7</v>
      </c>
      <c r="Z196" s="7">
        <v>1.2750218843E8</v>
      </c>
      <c r="AA196" s="6" t="s">
        <v>52</v>
      </c>
      <c r="AB196" s="11" t="str">
        <f t="shared" si="6"/>
        <v>Include</v>
      </c>
      <c r="AC196" s="1">
        <f t="shared" si="204"/>
        <v>1.33915987</v>
      </c>
    </row>
    <row r="197" ht="15.0" customHeight="1">
      <c r="B197" s="6">
        <f t="shared" si="8"/>
        <v>195</v>
      </c>
      <c r="C197" s="1" t="s">
        <v>410</v>
      </c>
      <c r="D197" s="1" t="str">
        <f t="shared" si="2"/>
        <v>Private Credit</v>
      </c>
      <c r="E197" s="1" t="s">
        <v>39</v>
      </c>
      <c r="F197" s="1" t="s">
        <v>39</v>
      </c>
      <c r="G197" s="1" t="s">
        <v>410</v>
      </c>
      <c r="H197" s="1" t="s">
        <v>88</v>
      </c>
      <c r="I197" s="1" t="s">
        <v>318</v>
      </c>
      <c r="J197" s="1" t="s">
        <v>345</v>
      </c>
      <c r="K197" s="1" t="s">
        <v>82</v>
      </c>
      <c r="L197" s="1" t="s">
        <v>89</v>
      </c>
      <c r="N197" s="6">
        <v>2019.0</v>
      </c>
      <c r="O197" s="10">
        <f t="shared" ref="O197:R197" si="217">IFERROR(V197*INDEX($AH$4:$AH$8,MATCH($AA197,$AG$4:$AG$8,0)),"")</f>
        <v>100000000</v>
      </c>
      <c r="P197" s="10">
        <f t="shared" si="217"/>
        <v>91386014.67</v>
      </c>
      <c r="Q197" s="10">
        <f t="shared" si="217"/>
        <v>43489748.45</v>
      </c>
      <c r="R197" s="10">
        <f t="shared" si="217"/>
        <v>69631168</v>
      </c>
      <c r="S197" s="10">
        <f t="shared" si="4"/>
        <v>113120916.5</v>
      </c>
      <c r="T197" s="10">
        <f t="shared" si="5"/>
        <v>26997260.38</v>
      </c>
      <c r="U197" s="8">
        <v>46112.0</v>
      </c>
      <c r="V197" s="7">
        <v>1.0E8</v>
      </c>
      <c r="W197" s="7">
        <v>9.138601467E7</v>
      </c>
      <c r="X197" s="7">
        <v>4.348974845E7</v>
      </c>
      <c r="Y197" s="7">
        <v>6.9631168E7</v>
      </c>
      <c r="Z197" s="7">
        <v>2.699726038E7</v>
      </c>
      <c r="AA197" s="6" t="s">
        <v>52</v>
      </c>
      <c r="AB197" s="11" t="str">
        <f t="shared" si="6"/>
        <v>Include</v>
      </c>
      <c r="AC197" s="1">
        <f t="shared" si="204"/>
        <v>1.237836193</v>
      </c>
    </row>
    <row r="198" ht="15.0" customHeight="1">
      <c r="B198" s="6">
        <f t="shared" si="8"/>
        <v>196</v>
      </c>
      <c r="C198" s="1" t="s">
        <v>411</v>
      </c>
      <c r="D198" s="1" t="str">
        <f t="shared" si="2"/>
        <v>Private Credit</v>
      </c>
      <c r="E198" s="1" t="s">
        <v>39</v>
      </c>
      <c r="F198" s="1" t="s">
        <v>39</v>
      </c>
      <c r="G198" s="1" t="s">
        <v>411</v>
      </c>
      <c r="H198" s="1" t="s">
        <v>232</v>
      </c>
      <c r="I198" s="1" t="s">
        <v>318</v>
      </c>
      <c r="J198" s="1" t="s">
        <v>345</v>
      </c>
      <c r="K198" s="1" t="s">
        <v>92</v>
      </c>
      <c r="L198" s="1" t="s">
        <v>93</v>
      </c>
      <c r="N198" s="6">
        <v>2019.0</v>
      </c>
      <c r="O198" s="10">
        <f t="shared" ref="O198:R198" si="218">IFERROR(V198*INDEX($AH$4:$AH$8,MATCH($AA198,$AG$4:$AG$8,0)),"")</f>
        <v>200000000</v>
      </c>
      <c r="P198" s="10">
        <f t="shared" si="218"/>
        <v>208430359.5</v>
      </c>
      <c r="Q198" s="10">
        <f t="shared" si="218"/>
        <v>132760098.9</v>
      </c>
      <c r="R198" s="10">
        <f t="shared" si="218"/>
        <v>239371777</v>
      </c>
      <c r="S198" s="10">
        <f t="shared" si="4"/>
        <v>372131875.9</v>
      </c>
      <c r="T198" s="10">
        <f t="shared" si="5"/>
        <v>124760098.9</v>
      </c>
      <c r="U198" s="8">
        <v>46112.0</v>
      </c>
      <c r="V198" s="7">
        <v>2.0E8</v>
      </c>
      <c r="W198" s="7">
        <v>2.0843035949E8</v>
      </c>
      <c r="X198" s="7">
        <v>1.3276009893E8</v>
      </c>
      <c r="Y198" s="7">
        <v>2.39371777E8</v>
      </c>
      <c r="Z198" s="7">
        <v>1.2476009893E8</v>
      </c>
      <c r="AA198" s="6" t="s">
        <v>52</v>
      </c>
      <c r="AB198" s="11" t="str">
        <f t="shared" si="6"/>
        <v>Include</v>
      </c>
      <c r="AC198" s="1">
        <f t="shared" si="204"/>
        <v>1.785401497</v>
      </c>
    </row>
    <row r="199" ht="15.0" customHeight="1">
      <c r="B199" s="6">
        <f t="shared" si="8"/>
        <v>197</v>
      </c>
      <c r="C199" s="1" t="s">
        <v>412</v>
      </c>
      <c r="D199" s="1" t="str">
        <f t="shared" si="2"/>
        <v>Private Credit</v>
      </c>
      <c r="E199" s="1" t="s">
        <v>39</v>
      </c>
      <c r="F199" s="1" t="s">
        <v>39</v>
      </c>
      <c r="G199" s="1" t="s">
        <v>412</v>
      </c>
      <c r="H199" s="1" t="s">
        <v>413</v>
      </c>
      <c r="I199" s="1" t="s">
        <v>318</v>
      </c>
      <c r="J199" s="1" t="s">
        <v>345</v>
      </c>
      <c r="K199" s="1" t="s">
        <v>92</v>
      </c>
      <c r="L199" s="1" t="s">
        <v>93</v>
      </c>
      <c r="N199" s="6">
        <v>2018.0</v>
      </c>
      <c r="O199" s="10">
        <f t="shared" ref="O199:R199" si="219">IFERROR(V199*INDEX($AH$4:$AH$8,MATCH($AA199,$AG$4:$AG$8,0)),"")</f>
        <v>150000000</v>
      </c>
      <c r="P199" s="10">
        <f t="shared" si="219"/>
        <v>215621052.3</v>
      </c>
      <c r="Q199" s="10">
        <f t="shared" si="219"/>
        <v>225602070.6</v>
      </c>
      <c r="R199" s="10">
        <f t="shared" si="219"/>
        <v>27150114</v>
      </c>
      <c r="S199" s="10">
        <f t="shared" si="4"/>
        <v>252752184.6</v>
      </c>
      <c r="T199" s="10">
        <f t="shared" si="5"/>
        <v>104604359.1</v>
      </c>
      <c r="U199" s="8">
        <v>46112.0</v>
      </c>
      <c r="V199" s="7">
        <v>1.5E8</v>
      </c>
      <c r="W199" s="7">
        <v>2.1562105228E8</v>
      </c>
      <c r="X199" s="7">
        <v>2.2560207061E8</v>
      </c>
      <c r="Y199" s="7">
        <v>2.7150114E7</v>
      </c>
      <c r="Z199" s="7">
        <v>1.0460435911E8</v>
      </c>
      <c r="AA199" s="6" t="s">
        <v>52</v>
      </c>
      <c r="AB199" s="11" t="str">
        <f t="shared" si="6"/>
        <v>Include</v>
      </c>
      <c r="AC199" s="1">
        <f t="shared" si="204"/>
        <v>1.172205506</v>
      </c>
    </row>
    <row r="200" ht="15.0" customHeight="1">
      <c r="B200" s="6">
        <f t="shared" si="8"/>
        <v>198</v>
      </c>
      <c r="C200" s="1" t="s">
        <v>414</v>
      </c>
      <c r="D200" s="1" t="str">
        <f t="shared" si="2"/>
        <v>Private Credit</v>
      </c>
      <c r="E200" s="1" t="s">
        <v>39</v>
      </c>
      <c r="F200" s="1" t="s">
        <v>39</v>
      </c>
      <c r="G200" s="1" t="s">
        <v>414</v>
      </c>
      <c r="H200" s="1" t="s">
        <v>413</v>
      </c>
      <c r="I200" s="1" t="s">
        <v>318</v>
      </c>
      <c r="J200" s="1" t="s">
        <v>345</v>
      </c>
      <c r="K200" s="1" t="s">
        <v>92</v>
      </c>
      <c r="L200" s="1" t="s">
        <v>93</v>
      </c>
      <c r="N200" s="6">
        <v>2019.0</v>
      </c>
      <c r="O200" s="10">
        <f t="shared" ref="O200:R200" si="220">IFERROR(V200*INDEX($AH$4:$AH$8,MATCH($AA200,$AG$4:$AG$8,0)),"")</f>
        <v>150000000</v>
      </c>
      <c r="P200" s="10">
        <f t="shared" si="220"/>
        <v>203145788.6</v>
      </c>
      <c r="Q200" s="10">
        <f t="shared" si="220"/>
        <v>229846442.3</v>
      </c>
      <c r="R200" s="10">
        <f t="shared" si="220"/>
        <v>47020269</v>
      </c>
      <c r="S200" s="10">
        <f t="shared" si="4"/>
        <v>276866711.3</v>
      </c>
      <c r="T200" s="10">
        <f t="shared" si="5"/>
        <v>89982643.82</v>
      </c>
      <c r="U200" s="8">
        <v>46112.0</v>
      </c>
      <c r="V200" s="7">
        <v>1.5E8</v>
      </c>
      <c r="W200" s="7">
        <v>2.0314578862E8</v>
      </c>
      <c r="X200" s="7">
        <v>2.2984644231E8</v>
      </c>
      <c r="Y200" s="7">
        <v>4.7020269E7</v>
      </c>
      <c r="Z200" s="7">
        <v>8.998264382E7</v>
      </c>
      <c r="AA200" s="6" t="s">
        <v>52</v>
      </c>
      <c r="AB200" s="11" t="str">
        <f t="shared" si="6"/>
        <v>Include</v>
      </c>
      <c r="AC200" s="1">
        <f t="shared" si="204"/>
        <v>1.362896633</v>
      </c>
    </row>
    <row r="201" ht="15.0" customHeight="1">
      <c r="B201" s="6">
        <f t="shared" si="8"/>
        <v>199</v>
      </c>
      <c r="C201" s="1" t="s">
        <v>415</v>
      </c>
      <c r="D201" s="1" t="str">
        <f t="shared" si="2"/>
        <v>Private Credit</v>
      </c>
      <c r="E201" s="1" t="s">
        <v>39</v>
      </c>
      <c r="F201" s="1" t="s">
        <v>39</v>
      </c>
      <c r="G201" s="1" t="s">
        <v>415</v>
      </c>
      <c r="H201" s="1" t="s">
        <v>105</v>
      </c>
      <c r="I201" s="1" t="s">
        <v>318</v>
      </c>
      <c r="J201" s="1" t="s">
        <v>345</v>
      </c>
      <c r="K201" s="1" t="s">
        <v>92</v>
      </c>
      <c r="L201" s="1" t="s">
        <v>346</v>
      </c>
      <c r="N201" s="6">
        <v>2020.0</v>
      </c>
      <c r="O201" s="10">
        <f t="shared" ref="O201:R201" si="221">IFERROR(V201*INDEX($AH$4:$AH$8,MATCH($AA201,$AG$4:$AG$8,0)),"")</f>
        <v>200000000</v>
      </c>
      <c r="P201" s="10">
        <f t="shared" si="221"/>
        <v>372346157</v>
      </c>
      <c r="Q201" s="10">
        <f t="shared" si="221"/>
        <v>314270807</v>
      </c>
      <c r="R201" s="10">
        <f t="shared" si="221"/>
        <v>108033087</v>
      </c>
      <c r="S201" s="10">
        <f t="shared" si="4"/>
        <v>422303894</v>
      </c>
      <c r="T201" s="10">
        <f t="shared" si="5"/>
        <v>56493579.99</v>
      </c>
      <c r="U201" s="8">
        <v>46112.0</v>
      </c>
      <c r="V201" s="7">
        <v>2.0E8</v>
      </c>
      <c r="W201" s="7">
        <v>3.7234615701E8</v>
      </c>
      <c r="X201" s="7">
        <v>3.14270807E8</v>
      </c>
      <c r="Y201" s="7">
        <v>1.08033087E8</v>
      </c>
      <c r="Z201" s="7">
        <v>5.649357999E7</v>
      </c>
      <c r="AA201" s="6" t="s">
        <v>52</v>
      </c>
      <c r="AB201" s="11" t="str">
        <f t="shared" si="6"/>
        <v>Include</v>
      </c>
      <c r="AC201" s="1">
        <f t="shared" si="204"/>
        <v>1.134170143</v>
      </c>
    </row>
    <row r="202" ht="15.0" customHeight="1">
      <c r="B202" s="6">
        <f t="shared" si="8"/>
        <v>200</v>
      </c>
      <c r="C202" s="1" t="s">
        <v>416</v>
      </c>
      <c r="D202" s="1" t="str">
        <f t="shared" si="2"/>
        <v>Private Credit</v>
      </c>
      <c r="E202" s="1" t="s">
        <v>39</v>
      </c>
      <c r="F202" s="1" t="s">
        <v>39</v>
      </c>
      <c r="G202" s="1" t="s">
        <v>417</v>
      </c>
      <c r="H202" s="1" t="s">
        <v>418</v>
      </c>
      <c r="I202" s="1" t="s">
        <v>318</v>
      </c>
      <c r="J202" s="1" t="s">
        <v>345</v>
      </c>
      <c r="K202" s="1" t="s">
        <v>376</v>
      </c>
      <c r="L202" s="1" t="s">
        <v>419</v>
      </c>
      <c r="N202" s="6">
        <v>2020.0</v>
      </c>
      <c r="O202" s="10">
        <f t="shared" ref="O202:R202" si="222">IFERROR(V202*INDEX($AH$4:$AH$8,MATCH($AA202,$AG$4:$AG$8,0)),"")</f>
        <v>200000000</v>
      </c>
      <c r="P202" s="10">
        <f t="shared" si="222"/>
        <v>171049435</v>
      </c>
      <c r="Q202" s="10">
        <f t="shared" si="222"/>
        <v>91660749.07</v>
      </c>
      <c r="R202" s="10">
        <f t="shared" si="222"/>
        <v>0</v>
      </c>
      <c r="S202" s="10">
        <f t="shared" si="4"/>
        <v>91660749.07</v>
      </c>
      <c r="T202" s="10">
        <f t="shared" si="5"/>
        <v>0.27</v>
      </c>
      <c r="U202" s="8">
        <v>44929.0</v>
      </c>
      <c r="V202" s="7">
        <v>2.0E8</v>
      </c>
      <c r="W202" s="7">
        <v>1.7104943501E8</v>
      </c>
      <c r="X202" s="7">
        <v>9.166074907E7</v>
      </c>
      <c r="Y202" s="7">
        <v>0.0</v>
      </c>
      <c r="Z202" s="7">
        <v>0.27</v>
      </c>
      <c r="AA202" s="6" t="s">
        <v>52</v>
      </c>
      <c r="AB202" s="11" t="str">
        <f t="shared" si="6"/>
        <v>Exclude</v>
      </c>
    </row>
    <row r="203" ht="15.0" customHeight="1">
      <c r="B203" s="6">
        <f t="shared" si="8"/>
        <v>201</v>
      </c>
      <c r="C203" s="1" t="s">
        <v>420</v>
      </c>
      <c r="D203" s="1" t="str">
        <f t="shared" si="2"/>
        <v>Private Credit</v>
      </c>
      <c r="E203" s="1" t="s">
        <v>39</v>
      </c>
      <c r="F203" s="1" t="s">
        <v>39</v>
      </c>
      <c r="G203" s="1" t="s">
        <v>420</v>
      </c>
      <c r="H203" s="1" t="s">
        <v>105</v>
      </c>
      <c r="I203" s="1" t="s">
        <v>318</v>
      </c>
      <c r="J203" s="1" t="s">
        <v>345</v>
      </c>
      <c r="K203" s="1" t="s">
        <v>102</v>
      </c>
      <c r="L203" s="1" t="s">
        <v>421</v>
      </c>
      <c r="N203" s="6">
        <v>2020.0</v>
      </c>
      <c r="O203" s="10">
        <f t="shared" ref="O203:R203" si="223">IFERROR(V203*INDEX($AH$4:$AH$8,MATCH($AA203,$AG$4:$AG$8,0)),"")</f>
        <v>125000000</v>
      </c>
      <c r="P203" s="10">
        <f t="shared" si="223"/>
        <v>159478950</v>
      </c>
      <c r="Q203" s="10">
        <f t="shared" si="223"/>
        <v>113809238</v>
      </c>
      <c r="R203" s="10">
        <f t="shared" si="223"/>
        <v>85477761</v>
      </c>
      <c r="S203" s="10">
        <f t="shared" si="4"/>
        <v>199286999</v>
      </c>
      <c r="T203" s="10">
        <f t="shared" si="5"/>
        <v>61594507</v>
      </c>
      <c r="U203" s="8">
        <v>46112.0</v>
      </c>
      <c r="V203" s="7">
        <v>1.25E8</v>
      </c>
      <c r="W203" s="7">
        <v>1.5947895E8</v>
      </c>
      <c r="X203" s="7">
        <v>1.13809238E8</v>
      </c>
      <c r="Y203" s="7">
        <v>8.5477761E7</v>
      </c>
      <c r="Z203" s="7">
        <v>6.1594507E7</v>
      </c>
      <c r="AA203" s="6" t="s">
        <v>52</v>
      </c>
      <c r="AB203" s="11" t="str">
        <f t="shared" si="6"/>
        <v>Include</v>
      </c>
      <c r="AC203" s="1">
        <f t="shared" ref="AC203:AC208" si="225">S203/P203</f>
        <v>1.249613187</v>
      </c>
    </row>
    <row r="204" ht="15.0" customHeight="1">
      <c r="B204" s="6">
        <f t="shared" si="8"/>
        <v>202</v>
      </c>
      <c r="C204" s="1" t="s">
        <v>422</v>
      </c>
      <c r="D204" s="1" t="str">
        <f t="shared" si="2"/>
        <v>Private Credit</v>
      </c>
      <c r="E204" s="1" t="s">
        <v>39</v>
      </c>
      <c r="F204" s="1" t="s">
        <v>39</v>
      </c>
      <c r="G204" s="1" t="s">
        <v>422</v>
      </c>
      <c r="H204" s="1" t="s">
        <v>105</v>
      </c>
      <c r="I204" s="1" t="s">
        <v>318</v>
      </c>
      <c r="J204" s="1" t="s">
        <v>345</v>
      </c>
      <c r="K204" s="1" t="s">
        <v>92</v>
      </c>
      <c r="L204" s="1" t="s">
        <v>93</v>
      </c>
      <c r="N204" s="6">
        <v>2022.0</v>
      </c>
      <c r="O204" s="10">
        <f t="shared" ref="O204:R204" si="224">IFERROR(V204*INDEX($AH$4:$AH$8,MATCH($AA204,$AG$4:$AG$8,0)),"")</f>
        <v>150000000</v>
      </c>
      <c r="P204" s="10">
        <f t="shared" si="224"/>
        <v>184187140</v>
      </c>
      <c r="Q204" s="10">
        <f t="shared" si="224"/>
        <v>80639816</v>
      </c>
      <c r="R204" s="10">
        <f t="shared" si="224"/>
        <v>135787679</v>
      </c>
      <c r="S204" s="10">
        <f t="shared" si="4"/>
        <v>216427495</v>
      </c>
      <c r="T204" s="10">
        <f t="shared" si="5"/>
        <v>46360296</v>
      </c>
      <c r="U204" s="8">
        <v>46112.0</v>
      </c>
      <c r="V204" s="7">
        <v>1.5E8</v>
      </c>
      <c r="W204" s="7">
        <v>1.8418714E8</v>
      </c>
      <c r="X204" s="7">
        <v>8.0639816E7</v>
      </c>
      <c r="Y204" s="7">
        <v>1.35787679E8</v>
      </c>
      <c r="Z204" s="7">
        <v>4.6360296E7</v>
      </c>
      <c r="AA204" s="6" t="s">
        <v>52</v>
      </c>
      <c r="AB204" s="11" t="str">
        <f t="shared" si="6"/>
        <v>Include</v>
      </c>
      <c r="AC204" s="1">
        <f t="shared" si="225"/>
        <v>1.175041292</v>
      </c>
    </row>
    <row r="205" ht="15.0" customHeight="1">
      <c r="B205" s="6">
        <f t="shared" si="8"/>
        <v>203</v>
      </c>
      <c r="C205" s="1" t="s">
        <v>423</v>
      </c>
      <c r="D205" s="1" t="str">
        <f t="shared" si="2"/>
        <v>Private Credit</v>
      </c>
      <c r="E205" s="1" t="s">
        <v>39</v>
      </c>
      <c r="F205" s="1" t="s">
        <v>39</v>
      </c>
      <c r="G205" s="1" t="s">
        <v>423</v>
      </c>
      <c r="H205" s="1" t="s">
        <v>232</v>
      </c>
      <c r="I205" s="1" t="s">
        <v>318</v>
      </c>
      <c r="J205" s="1" t="s">
        <v>345</v>
      </c>
      <c r="K205" s="1" t="s">
        <v>92</v>
      </c>
      <c r="L205" s="1" t="s">
        <v>93</v>
      </c>
      <c r="N205" s="6">
        <v>2021.0</v>
      </c>
      <c r="O205" s="10">
        <f t="shared" ref="O205:R205" si="226">IFERROR(V205*INDEX($AH$4:$AH$8,MATCH($AA205,$AG$4:$AG$8,0)),"")</f>
        <v>125000000</v>
      </c>
      <c r="P205" s="10">
        <f t="shared" si="226"/>
        <v>106894143.8</v>
      </c>
      <c r="Q205" s="10">
        <f t="shared" si="226"/>
        <v>0</v>
      </c>
      <c r="R205" s="10">
        <f t="shared" si="226"/>
        <v>134445708</v>
      </c>
      <c r="S205" s="10">
        <f t="shared" si="4"/>
        <v>134445708</v>
      </c>
      <c r="T205" s="10">
        <f t="shared" si="5"/>
        <v>18750000</v>
      </c>
      <c r="U205" s="8">
        <v>46112.0</v>
      </c>
      <c r="V205" s="7">
        <v>1.25E8</v>
      </c>
      <c r="W205" s="7">
        <v>1.0689414384E8</v>
      </c>
      <c r="X205" s="7">
        <v>0.0</v>
      </c>
      <c r="Y205" s="7">
        <v>1.34445708E8</v>
      </c>
      <c r="Z205" s="7">
        <v>1.875E7</v>
      </c>
      <c r="AA205" s="6" t="s">
        <v>52</v>
      </c>
      <c r="AB205" s="11" t="str">
        <f t="shared" si="6"/>
        <v>Include</v>
      </c>
      <c r="AC205" s="1">
        <f t="shared" si="225"/>
        <v>1.257746245</v>
      </c>
    </row>
    <row r="206" ht="15.0" customHeight="1">
      <c r="B206" s="6">
        <f t="shared" si="8"/>
        <v>204</v>
      </c>
      <c r="C206" s="1" t="s">
        <v>424</v>
      </c>
      <c r="D206" s="1" t="str">
        <f t="shared" si="2"/>
        <v>Private Credit</v>
      </c>
      <c r="E206" s="1" t="s">
        <v>39</v>
      </c>
      <c r="F206" s="1" t="s">
        <v>39</v>
      </c>
      <c r="G206" s="1" t="s">
        <v>424</v>
      </c>
      <c r="H206" s="1" t="s">
        <v>317</v>
      </c>
      <c r="I206" s="1" t="s">
        <v>318</v>
      </c>
      <c r="J206" s="1" t="s">
        <v>345</v>
      </c>
      <c r="K206" s="1" t="s">
        <v>376</v>
      </c>
      <c r="L206" s="1" t="s">
        <v>320</v>
      </c>
      <c r="N206" s="6">
        <v>2020.0</v>
      </c>
      <c r="O206" s="10">
        <f t="shared" ref="O206:R206" si="227">IFERROR(V206*INDEX($AH$4:$AH$8,MATCH($AA206,$AG$4:$AG$8,0)),"")</f>
        <v>150000000</v>
      </c>
      <c r="P206" s="10">
        <f t="shared" si="227"/>
        <v>218287458.7</v>
      </c>
      <c r="Q206" s="10">
        <f t="shared" si="227"/>
        <v>181254798</v>
      </c>
      <c r="R206" s="10">
        <f t="shared" si="227"/>
        <v>74027634</v>
      </c>
      <c r="S206" s="10">
        <f t="shared" si="4"/>
        <v>255282432</v>
      </c>
      <c r="T206" s="10">
        <f t="shared" si="5"/>
        <v>37195065.73</v>
      </c>
      <c r="U206" s="8">
        <v>46112.0</v>
      </c>
      <c r="V206" s="7">
        <v>1.5E8</v>
      </c>
      <c r="W206" s="7">
        <v>2.1828745867E8</v>
      </c>
      <c r="X206" s="7">
        <v>1.8125479798E8</v>
      </c>
      <c r="Y206" s="7">
        <v>7.4027634E7</v>
      </c>
      <c r="Z206" s="7">
        <v>3.719506573E7</v>
      </c>
      <c r="AA206" s="6" t="s">
        <v>52</v>
      </c>
      <c r="AB206" s="11" t="str">
        <f t="shared" si="6"/>
        <v>Include</v>
      </c>
      <c r="AC206" s="1">
        <f t="shared" si="225"/>
        <v>1.169478235</v>
      </c>
    </row>
    <row r="207" ht="15.0" customHeight="1">
      <c r="B207" s="6">
        <f t="shared" si="8"/>
        <v>205</v>
      </c>
      <c r="C207" s="1" t="s">
        <v>425</v>
      </c>
      <c r="D207" s="1" t="str">
        <f t="shared" si="2"/>
        <v>Private Credit</v>
      </c>
      <c r="E207" s="1" t="s">
        <v>39</v>
      </c>
      <c r="F207" s="1" t="s">
        <v>39</v>
      </c>
      <c r="G207" s="1" t="s">
        <v>425</v>
      </c>
      <c r="H207" s="1" t="s">
        <v>317</v>
      </c>
      <c r="I207" s="1" t="s">
        <v>318</v>
      </c>
      <c r="J207" s="1" t="s">
        <v>345</v>
      </c>
      <c r="K207" s="1" t="s">
        <v>376</v>
      </c>
      <c r="L207" s="1" t="s">
        <v>320</v>
      </c>
      <c r="N207" s="6">
        <v>2022.0</v>
      </c>
      <c r="O207" s="10">
        <f t="shared" ref="O207:R207" si="228">IFERROR(V207*INDEX($AH$4:$AH$8,MATCH($AA207,$AG$4:$AG$8,0)),"")</f>
        <v>100000000</v>
      </c>
      <c r="P207" s="10">
        <f t="shared" si="228"/>
        <v>127933248.8</v>
      </c>
      <c r="Q207" s="10">
        <f t="shared" si="228"/>
        <v>96229746.33</v>
      </c>
      <c r="R207" s="10">
        <f t="shared" si="228"/>
        <v>72698546</v>
      </c>
      <c r="S207" s="10">
        <f t="shared" si="4"/>
        <v>168928292.3</v>
      </c>
      <c r="T207" s="10">
        <f t="shared" si="5"/>
        <v>30322389.39</v>
      </c>
      <c r="U207" s="8">
        <v>46112.0</v>
      </c>
      <c r="V207" s="7">
        <v>1.0E8</v>
      </c>
      <c r="W207" s="7">
        <v>1.2793324883E8</v>
      </c>
      <c r="X207" s="7">
        <v>9.622974633E7</v>
      </c>
      <c r="Y207" s="7">
        <v>7.2698546E7</v>
      </c>
      <c r="Z207" s="7">
        <v>3.032238939E7</v>
      </c>
      <c r="AA207" s="6" t="s">
        <v>52</v>
      </c>
      <c r="AB207" s="11" t="str">
        <f t="shared" si="6"/>
        <v>Include</v>
      </c>
      <c r="AC207" s="1">
        <f t="shared" si="225"/>
        <v>1.320440885</v>
      </c>
    </row>
    <row r="208" ht="15.0" customHeight="1">
      <c r="B208" s="6">
        <f t="shared" si="8"/>
        <v>206</v>
      </c>
      <c r="C208" s="1" t="s">
        <v>426</v>
      </c>
      <c r="D208" s="1" t="str">
        <f t="shared" si="2"/>
        <v>Private Credit</v>
      </c>
      <c r="E208" s="1" t="s">
        <v>39</v>
      </c>
      <c r="F208" s="1" t="s">
        <v>39</v>
      </c>
      <c r="G208" s="1" t="s">
        <v>426</v>
      </c>
      <c r="H208" s="1" t="s">
        <v>80</v>
      </c>
      <c r="I208" s="1" t="s">
        <v>318</v>
      </c>
      <c r="J208" s="1" t="s">
        <v>345</v>
      </c>
      <c r="K208" s="1" t="s">
        <v>82</v>
      </c>
      <c r="L208" s="1" t="s">
        <v>83</v>
      </c>
      <c r="N208" s="6">
        <v>2021.0</v>
      </c>
      <c r="O208" s="10">
        <f t="shared" ref="O208:R208" si="229">IFERROR(V208*INDEX($AH$4:$AH$8,MATCH($AA208,$AG$4:$AG$8,0)),"")</f>
        <v>231102000</v>
      </c>
      <c r="P208" s="10">
        <f t="shared" si="229"/>
        <v>184330961.5</v>
      </c>
      <c r="Q208" s="10">
        <f t="shared" si="229"/>
        <v>26566067.82</v>
      </c>
      <c r="R208" s="10">
        <f t="shared" si="229"/>
        <v>218388591.5</v>
      </c>
      <c r="S208" s="10">
        <f t="shared" si="4"/>
        <v>244954659.3</v>
      </c>
      <c r="T208" s="10">
        <f t="shared" si="5"/>
        <v>74862776.05</v>
      </c>
      <c r="U208" s="8">
        <v>46112.0</v>
      </c>
      <c r="V208" s="7">
        <v>2.0E8</v>
      </c>
      <c r="W208" s="7">
        <v>1.5952346715E8</v>
      </c>
      <c r="X208" s="7">
        <v>2.299077275E7</v>
      </c>
      <c r="Y208" s="7">
        <v>1.8899757812E8</v>
      </c>
      <c r="Z208" s="7">
        <v>6.478764879E7</v>
      </c>
      <c r="AA208" s="6" t="s">
        <v>45</v>
      </c>
      <c r="AB208" s="11" t="str">
        <f t="shared" si="6"/>
        <v>Include</v>
      </c>
      <c r="AC208" s="1">
        <f t="shared" si="225"/>
        <v>1.328885052</v>
      </c>
    </row>
    <row r="209" ht="15.0" customHeight="1">
      <c r="B209" s="6">
        <f t="shared" si="8"/>
        <v>207</v>
      </c>
      <c r="C209" s="1" t="s">
        <v>427</v>
      </c>
      <c r="D209" s="1" t="str">
        <f t="shared" si="2"/>
        <v>Private Credit</v>
      </c>
      <c r="E209" s="1" t="s">
        <v>39</v>
      </c>
      <c r="F209" s="1" t="s">
        <v>39</v>
      </c>
      <c r="G209" s="1" t="s">
        <v>428</v>
      </c>
      <c r="H209" s="1" t="s">
        <v>418</v>
      </c>
      <c r="I209" s="1" t="s">
        <v>318</v>
      </c>
      <c r="J209" s="1" t="s">
        <v>345</v>
      </c>
      <c r="K209" s="1" t="s">
        <v>376</v>
      </c>
      <c r="L209" s="1" t="s">
        <v>419</v>
      </c>
      <c r="N209" s="6">
        <v>2022.0</v>
      </c>
      <c r="O209" s="10">
        <f t="shared" ref="O209:R209" si="230">IFERROR(V209*INDEX($AH$4:$AH$8,MATCH($AA209,$AG$4:$AG$8,0)),"")</f>
        <v>200000000</v>
      </c>
      <c r="P209" s="10">
        <f t="shared" si="230"/>
        <v>84669759.89</v>
      </c>
      <c r="Q209" s="10">
        <f t="shared" si="230"/>
        <v>24657597.23</v>
      </c>
      <c r="R209" s="10">
        <f t="shared" si="230"/>
        <v>0</v>
      </c>
      <c r="S209" s="10">
        <f t="shared" si="4"/>
        <v>24657597.23</v>
      </c>
      <c r="T209" s="10">
        <f t="shared" si="5"/>
        <v>-0.49</v>
      </c>
      <c r="U209" s="8">
        <v>44929.0</v>
      </c>
      <c r="V209" s="7">
        <v>2.0E8</v>
      </c>
      <c r="W209" s="7">
        <v>8.466975989E7</v>
      </c>
      <c r="X209" s="7">
        <v>2.465759723E7</v>
      </c>
      <c r="Y209" s="7">
        <v>0.0</v>
      </c>
      <c r="Z209" s="7">
        <v>-0.49</v>
      </c>
      <c r="AA209" s="6" t="s">
        <v>52</v>
      </c>
      <c r="AB209" s="11" t="str">
        <f t="shared" si="6"/>
        <v>Exclude</v>
      </c>
    </row>
    <row r="210" ht="15.0" customHeight="1">
      <c r="B210" s="6">
        <f t="shared" si="8"/>
        <v>208</v>
      </c>
      <c r="C210" s="1" t="s">
        <v>429</v>
      </c>
      <c r="D210" s="1" t="str">
        <f t="shared" si="2"/>
        <v>Private Credit</v>
      </c>
      <c r="E210" s="1" t="s">
        <v>39</v>
      </c>
      <c r="F210" s="1" t="s">
        <v>39</v>
      </c>
      <c r="G210" s="1" t="s">
        <v>429</v>
      </c>
      <c r="H210" s="1" t="s">
        <v>88</v>
      </c>
      <c r="I210" s="1" t="s">
        <v>318</v>
      </c>
      <c r="J210" s="1" t="s">
        <v>345</v>
      </c>
      <c r="K210" s="1" t="s">
        <v>82</v>
      </c>
      <c r="L210" s="1" t="s">
        <v>89</v>
      </c>
      <c r="N210" s="6">
        <v>2022.0</v>
      </c>
      <c r="O210" s="10">
        <f t="shared" ref="O210:R210" si="231">IFERROR(V210*INDEX($AH$4:$AH$8,MATCH($AA210,$AG$4:$AG$8,0)),"")</f>
        <v>100000000</v>
      </c>
      <c r="P210" s="10">
        <f t="shared" si="231"/>
        <v>37275871.1</v>
      </c>
      <c r="Q210" s="10">
        <f t="shared" si="231"/>
        <v>378690.3</v>
      </c>
      <c r="R210" s="10">
        <f t="shared" si="231"/>
        <v>26303996</v>
      </c>
      <c r="S210" s="10">
        <f t="shared" si="4"/>
        <v>26682686.3</v>
      </c>
      <c r="T210" s="10">
        <f t="shared" si="5"/>
        <v>62724587.49</v>
      </c>
      <c r="U210" s="8">
        <v>46112.0</v>
      </c>
      <c r="V210" s="7">
        <v>1.0E8</v>
      </c>
      <c r="W210" s="7">
        <v>3.72758711E7</v>
      </c>
      <c r="X210" s="7">
        <v>378690.3</v>
      </c>
      <c r="Y210" s="7">
        <v>2.6303996E7</v>
      </c>
      <c r="Z210" s="7">
        <v>6.272458749E7</v>
      </c>
      <c r="AA210" s="6" t="s">
        <v>52</v>
      </c>
      <c r="AB210" s="11" t="str">
        <f t="shared" si="6"/>
        <v>Include</v>
      </c>
      <c r="AC210" s="1">
        <f t="shared" ref="AC210:AC223" si="233">S210/P210</f>
        <v>0.7158165728</v>
      </c>
    </row>
    <row r="211" ht="15.0" customHeight="1">
      <c r="B211" s="6">
        <f t="shared" si="8"/>
        <v>209</v>
      </c>
      <c r="C211" s="1" t="s">
        <v>430</v>
      </c>
      <c r="D211" s="1" t="str">
        <f t="shared" si="2"/>
        <v>Private Credit</v>
      </c>
      <c r="E211" s="1" t="s">
        <v>39</v>
      </c>
      <c r="F211" s="1" t="s">
        <v>39</v>
      </c>
      <c r="G211" s="1" t="s">
        <v>430</v>
      </c>
      <c r="H211" s="1" t="s">
        <v>111</v>
      </c>
      <c r="I211" s="1" t="s">
        <v>318</v>
      </c>
      <c r="J211" s="1" t="s">
        <v>345</v>
      </c>
      <c r="K211" s="1" t="s">
        <v>372</v>
      </c>
      <c r="L211" s="1" t="s">
        <v>401</v>
      </c>
      <c r="N211" s="6">
        <v>2021.0</v>
      </c>
      <c r="O211" s="10">
        <f t="shared" ref="O211:R211" si="232">IFERROR(V211*INDEX($AH$4:$AH$8,MATCH($AA211,$AG$4:$AG$8,0)),"")</f>
        <v>200000000</v>
      </c>
      <c r="P211" s="10">
        <f t="shared" si="232"/>
        <v>160131263.3</v>
      </c>
      <c r="Q211" s="10">
        <f t="shared" si="232"/>
        <v>94478483.38</v>
      </c>
      <c r="R211" s="10">
        <f t="shared" si="232"/>
        <v>106998371</v>
      </c>
      <c r="S211" s="10">
        <f t="shared" si="4"/>
        <v>201476854.4</v>
      </c>
      <c r="T211" s="10">
        <f t="shared" si="5"/>
        <v>132753896.2</v>
      </c>
      <c r="U211" s="8">
        <v>46112.0</v>
      </c>
      <c r="V211" s="7">
        <v>2.0E8</v>
      </c>
      <c r="W211" s="7">
        <v>1.6013126334E8</v>
      </c>
      <c r="X211" s="7">
        <v>9.447848338E7</v>
      </c>
      <c r="Y211" s="7">
        <v>1.06998371E8</v>
      </c>
      <c r="Z211" s="7">
        <v>1.3275389623E8</v>
      </c>
      <c r="AA211" s="6" t="s">
        <v>52</v>
      </c>
      <c r="AB211" s="11" t="str">
        <f t="shared" si="6"/>
        <v>Include</v>
      </c>
      <c r="AC211" s="1">
        <f t="shared" si="233"/>
        <v>1.258198119</v>
      </c>
    </row>
    <row r="212" ht="15.0" customHeight="1">
      <c r="B212" s="6">
        <f t="shared" si="8"/>
        <v>210</v>
      </c>
      <c r="C212" s="1" t="s">
        <v>431</v>
      </c>
      <c r="D212" s="1" t="str">
        <f t="shared" si="2"/>
        <v>Private Credit</v>
      </c>
      <c r="E212" s="1" t="s">
        <v>39</v>
      </c>
      <c r="F212" s="1" t="s">
        <v>39</v>
      </c>
      <c r="G212" s="1" t="s">
        <v>431</v>
      </c>
      <c r="H212" s="1" t="s">
        <v>407</v>
      </c>
      <c r="I212" s="1" t="s">
        <v>318</v>
      </c>
      <c r="J212" s="1" t="s">
        <v>345</v>
      </c>
      <c r="K212" s="1" t="s">
        <v>372</v>
      </c>
      <c r="L212" s="1" t="s">
        <v>294</v>
      </c>
      <c r="N212" s="6">
        <v>2023.0</v>
      </c>
      <c r="O212" s="10">
        <f t="shared" ref="O212:R212" si="234">IFERROR(V212*INDEX($AH$4:$AH$8,MATCH($AA212,$AG$4:$AG$8,0)),"")</f>
        <v>200000000</v>
      </c>
      <c r="P212" s="10">
        <f t="shared" si="234"/>
        <v>89758536.39</v>
      </c>
      <c r="Q212" s="10">
        <f t="shared" si="234"/>
        <v>7303911.03</v>
      </c>
      <c r="R212" s="10">
        <f t="shared" si="234"/>
        <v>107200688</v>
      </c>
      <c r="S212" s="10">
        <f t="shared" si="4"/>
        <v>114504599</v>
      </c>
      <c r="T212" s="10">
        <f t="shared" si="5"/>
        <v>107870515.7</v>
      </c>
      <c r="U212" s="8">
        <v>46112.0</v>
      </c>
      <c r="V212" s="7">
        <v>2.0E8</v>
      </c>
      <c r="W212" s="7">
        <v>8.975853639E7</v>
      </c>
      <c r="X212" s="7">
        <v>7303911.03</v>
      </c>
      <c r="Y212" s="7">
        <v>1.07200688E8</v>
      </c>
      <c r="Z212" s="7">
        <v>1.0787051567E8</v>
      </c>
      <c r="AA212" s="6" t="s">
        <v>52</v>
      </c>
      <c r="AB212" s="11" t="str">
        <f t="shared" si="6"/>
        <v>Include</v>
      </c>
      <c r="AC212" s="1">
        <f t="shared" si="233"/>
        <v>1.275695924</v>
      </c>
    </row>
    <row r="213" ht="15.0" customHeight="1">
      <c r="B213" s="6">
        <f t="shared" si="8"/>
        <v>211</v>
      </c>
      <c r="C213" s="1" t="s">
        <v>432</v>
      </c>
      <c r="D213" s="1" t="str">
        <f t="shared" si="2"/>
        <v>Private Credit</v>
      </c>
      <c r="E213" s="1" t="s">
        <v>39</v>
      </c>
      <c r="F213" s="1" t="s">
        <v>39</v>
      </c>
      <c r="G213" s="1" t="s">
        <v>433</v>
      </c>
      <c r="H213" s="1" t="s">
        <v>105</v>
      </c>
      <c r="I213" s="1" t="s">
        <v>318</v>
      </c>
      <c r="J213" s="1" t="s">
        <v>345</v>
      </c>
      <c r="K213" s="1" t="s">
        <v>102</v>
      </c>
      <c r="L213" s="1" t="s">
        <v>103</v>
      </c>
      <c r="N213" s="6">
        <v>2022.0</v>
      </c>
      <c r="O213" s="10">
        <f t="shared" ref="O213:R213" si="235">IFERROR(V213*INDEX($AH$4:$AH$8,MATCH($AA213,$AG$4:$AG$8,0)),"")</f>
        <v>250000000</v>
      </c>
      <c r="P213" s="10">
        <f t="shared" si="235"/>
        <v>133131677</v>
      </c>
      <c r="Q213" s="10">
        <f t="shared" si="235"/>
        <v>36044630</v>
      </c>
      <c r="R213" s="10">
        <f t="shared" si="235"/>
        <v>121022602</v>
      </c>
      <c r="S213" s="10">
        <f t="shared" si="4"/>
        <v>157067232</v>
      </c>
      <c r="T213" s="10">
        <f t="shared" si="5"/>
        <v>116868323</v>
      </c>
      <c r="U213" s="8">
        <v>46112.0</v>
      </c>
      <c r="V213" s="7">
        <v>2.5E8</v>
      </c>
      <c r="W213" s="7">
        <v>1.33131677E8</v>
      </c>
      <c r="X213" s="7">
        <v>3.604463E7</v>
      </c>
      <c r="Y213" s="7">
        <v>1.21022602E8</v>
      </c>
      <c r="Z213" s="7">
        <v>1.16868323E8</v>
      </c>
      <c r="AA213" s="6" t="s">
        <v>52</v>
      </c>
      <c r="AB213" s="11" t="str">
        <f t="shared" si="6"/>
        <v>Include</v>
      </c>
      <c r="AC213" s="1">
        <f t="shared" si="233"/>
        <v>1.179788579</v>
      </c>
    </row>
    <row r="214" ht="15.0" customHeight="1">
      <c r="B214" s="6">
        <f t="shared" si="8"/>
        <v>212</v>
      </c>
      <c r="C214" s="1" t="s">
        <v>434</v>
      </c>
      <c r="D214" s="1" t="str">
        <f t="shared" si="2"/>
        <v>Private Credit</v>
      </c>
      <c r="E214" s="1" t="s">
        <v>39</v>
      </c>
      <c r="F214" s="1" t="s">
        <v>39</v>
      </c>
      <c r="G214" s="1" t="s">
        <v>434</v>
      </c>
      <c r="H214" s="1" t="s">
        <v>435</v>
      </c>
      <c r="I214" s="1" t="s">
        <v>318</v>
      </c>
      <c r="J214" s="1" t="s">
        <v>345</v>
      </c>
      <c r="K214" s="1" t="s">
        <v>98</v>
      </c>
      <c r="L214" s="1" t="s">
        <v>42</v>
      </c>
      <c r="N214" s="6">
        <v>2018.0</v>
      </c>
      <c r="O214" s="10">
        <f t="shared" ref="O214:R214" si="236">IFERROR(V214*INDEX($AH$4:$AH$8,MATCH($AA214,$AG$4:$AG$8,0)),"")</f>
        <v>100000000</v>
      </c>
      <c r="P214" s="10">
        <f t="shared" si="236"/>
        <v>93338413.54</v>
      </c>
      <c r="Q214" s="10">
        <f t="shared" si="236"/>
        <v>55248405.6</v>
      </c>
      <c r="R214" s="10">
        <f t="shared" si="236"/>
        <v>54680029</v>
      </c>
      <c r="S214" s="10">
        <f t="shared" si="4"/>
        <v>109928434.6</v>
      </c>
      <c r="T214" s="10">
        <f t="shared" si="5"/>
        <v>30916087.2</v>
      </c>
      <c r="U214" s="8">
        <v>46112.0</v>
      </c>
      <c r="V214" s="7">
        <v>1.0E8</v>
      </c>
      <c r="W214" s="7">
        <v>9.333841354E7</v>
      </c>
      <c r="X214" s="7">
        <v>5.52484056E7</v>
      </c>
      <c r="Y214" s="7">
        <v>5.4680029E7</v>
      </c>
      <c r="Z214" s="7">
        <v>3.09160872E7</v>
      </c>
      <c r="AA214" s="6" t="s">
        <v>52</v>
      </c>
      <c r="AB214" s="11" t="str">
        <f t="shared" si="6"/>
        <v>Include</v>
      </c>
      <c r="AC214" s="1">
        <f t="shared" si="233"/>
        <v>1.177740551</v>
      </c>
    </row>
    <row r="215" ht="15.0" customHeight="1">
      <c r="B215" s="6">
        <f t="shared" si="8"/>
        <v>213</v>
      </c>
      <c r="C215" s="1" t="s">
        <v>436</v>
      </c>
      <c r="D215" s="1" t="str">
        <f t="shared" si="2"/>
        <v>Private Credit</v>
      </c>
      <c r="E215" s="1" t="s">
        <v>39</v>
      </c>
      <c r="F215" s="1" t="s">
        <v>39</v>
      </c>
      <c r="G215" s="1" t="s">
        <v>436</v>
      </c>
      <c r="H215" s="1" t="s">
        <v>97</v>
      </c>
      <c r="I215" s="1" t="s">
        <v>318</v>
      </c>
      <c r="J215" s="1" t="s">
        <v>345</v>
      </c>
      <c r="K215" s="1" t="s">
        <v>98</v>
      </c>
      <c r="L215" s="1" t="s">
        <v>42</v>
      </c>
      <c r="N215" s="6">
        <v>2014.0</v>
      </c>
      <c r="O215" s="10">
        <f t="shared" ref="O215:R215" si="237">IFERROR(V215*INDEX($AH$4:$AH$8,MATCH($AA215,$AG$4:$AG$8,0)),"")</f>
        <v>150000000</v>
      </c>
      <c r="P215" s="10">
        <f t="shared" si="237"/>
        <v>11003224.58</v>
      </c>
      <c r="Q215" s="10">
        <f t="shared" si="237"/>
        <v>17189644.56</v>
      </c>
      <c r="R215" s="10">
        <f t="shared" si="237"/>
        <v>12675576.22</v>
      </c>
      <c r="S215" s="10">
        <f t="shared" si="4"/>
        <v>29865220.78</v>
      </c>
      <c r="T215" s="10">
        <f t="shared" si="5"/>
        <v>52876888.13</v>
      </c>
      <c r="U215" s="8">
        <v>46112.0</v>
      </c>
      <c r="V215" s="7">
        <v>1.5E8</v>
      </c>
      <c r="W215" s="7">
        <v>1.100322458E7</v>
      </c>
      <c r="X215" s="7">
        <v>1.718964456E7</v>
      </c>
      <c r="Y215" s="7">
        <v>1.267557622E7</v>
      </c>
      <c r="Z215" s="7">
        <v>5.287688813E7</v>
      </c>
      <c r="AA215" s="6" t="s">
        <v>52</v>
      </c>
      <c r="AB215" s="11" t="str">
        <f t="shared" si="6"/>
        <v>Include</v>
      </c>
      <c r="AC215" s="1">
        <f t="shared" si="233"/>
        <v>2.714224413</v>
      </c>
    </row>
    <row r="216" ht="15.0" customHeight="1">
      <c r="B216" s="6">
        <f t="shared" si="8"/>
        <v>214</v>
      </c>
      <c r="C216" s="1" t="s">
        <v>437</v>
      </c>
      <c r="D216" s="1" t="str">
        <f t="shared" si="2"/>
        <v>Private Credit</v>
      </c>
      <c r="E216" s="1" t="s">
        <v>39</v>
      </c>
      <c r="F216" s="1" t="s">
        <v>39</v>
      </c>
      <c r="G216" s="1" t="s">
        <v>437</v>
      </c>
      <c r="H216" s="1" t="s">
        <v>97</v>
      </c>
      <c r="I216" s="1" t="s">
        <v>318</v>
      </c>
      <c r="J216" s="1" t="s">
        <v>345</v>
      </c>
      <c r="K216" s="1" t="s">
        <v>98</v>
      </c>
      <c r="L216" s="1" t="s">
        <v>42</v>
      </c>
      <c r="N216" s="6">
        <v>2017.0</v>
      </c>
      <c r="O216" s="10">
        <f t="shared" ref="O216:R216" si="238">IFERROR(V216*INDEX($AH$4:$AH$8,MATCH($AA216,$AG$4:$AG$8,0)),"")</f>
        <v>150000000</v>
      </c>
      <c r="P216" s="10">
        <f t="shared" si="238"/>
        <v>46371737</v>
      </c>
      <c r="Q216" s="10">
        <f t="shared" si="238"/>
        <v>75000000.08</v>
      </c>
      <c r="R216" s="10">
        <f t="shared" si="238"/>
        <v>81285070</v>
      </c>
      <c r="S216" s="10">
        <f t="shared" si="4"/>
        <v>156285070.1</v>
      </c>
      <c r="T216" s="10">
        <f t="shared" si="5"/>
        <v>71999102</v>
      </c>
      <c r="U216" s="8">
        <v>46112.0</v>
      </c>
      <c r="V216" s="7">
        <v>1.5E8</v>
      </c>
      <c r="W216" s="7">
        <v>4.6371737E7</v>
      </c>
      <c r="X216" s="7">
        <v>7.500000008E7</v>
      </c>
      <c r="Y216" s="7">
        <v>8.128507E7</v>
      </c>
      <c r="Z216" s="7">
        <v>7.1999102E7</v>
      </c>
      <c r="AA216" s="6" t="s">
        <v>52</v>
      </c>
      <c r="AB216" s="11" t="str">
        <f t="shared" si="6"/>
        <v>Include</v>
      </c>
      <c r="AC216" s="1">
        <f t="shared" si="233"/>
        <v>3.370265601</v>
      </c>
    </row>
    <row r="217" ht="15.0" customHeight="1">
      <c r="B217" s="6">
        <f t="shared" si="8"/>
        <v>215</v>
      </c>
      <c r="C217" s="1" t="s">
        <v>438</v>
      </c>
      <c r="D217" s="1" t="str">
        <f t="shared" si="2"/>
        <v>Private Credit</v>
      </c>
      <c r="E217" s="1" t="s">
        <v>39</v>
      </c>
      <c r="F217" s="1" t="s">
        <v>39</v>
      </c>
      <c r="G217" s="1" t="s">
        <v>438</v>
      </c>
      <c r="H217" s="1" t="s">
        <v>97</v>
      </c>
      <c r="I217" s="1" t="s">
        <v>318</v>
      </c>
      <c r="J217" s="1" t="s">
        <v>345</v>
      </c>
      <c r="K217" s="1" t="s">
        <v>98</v>
      </c>
      <c r="L217" s="1" t="s">
        <v>42</v>
      </c>
      <c r="N217" s="6">
        <v>2020.0</v>
      </c>
      <c r="O217" s="10">
        <f t="shared" ref="O217:R217" si="239">IFERROR(V217*INDEX($AH$4:$AH$8,MATCH($AA217,$AG$4:$AG$8,0)),"")</f>
        <v>150000000</v>
      </c>
      <c r="P217" s="10">
        <f t="shared" si="239"/>
        <v>123942056</v>
      </c>
      <c r="Q217" s="10">
        <f t="shared" si="239"/>
        <v>71846153.58</v>
      </c>
      <c r="R217" s="10">
        <f t="shared" si="239"/>
        <v>116391948</v>
      </c>
      <c r="S217" s="10">
        <f t="shared" si="4"/>
        <v>188238101.6</v>
      </c>
      <c r="T217" s="10">
        <f t="shared" si="5"/>
        <v>33262337</v>
      </c>
      <c r="U217" s="8">
        <v>46112.0</v>
      </c>
      <c r="V217" s="7">
        <v>1.5E8</v>
      </c>
      <c r="W217" s="7">
        <v>1.23942056E8</v>
      </c>
      <c r="X217" s="7">
        <v>7.184615358E7</v>
      </c>
      <c r="Y217" s="7">
        <v>1.16391948E8</v>
      </c>
      <c r="Z217" s="7">
        <v>3.3262337E7</v>
      </c>
      <c r="AA217" s="6" t="s">
        <v>52</v>
      </c>
      <c r="AB217" s="11" t="str">
        <f t="shared" si="6"/>
        <v>Include</v>
      </c>
      <c r="AC217" s="1">
        <f t="shared" si="233"/>
        <v>1.518758908</v>
      </c>
    </row>
    <row r="218" ht="15.0" customHeight="1">
      <c r="B218" s="6">
        <f t="shared" si="8"/>
        <v>216</v>
      </c>
      <c r="C218" s="1" t="s">
        <v>439</v>
      </c>
      <c r="D218" s="1" t="str">
        <f t="shared" si="2"/>
        <v>Private Credit</v>
      </c>
      <c r="E218" s="1" t="s">
        <v>39</v>
      </c>
      <c r="F218" s="1" t="s">
        <v>39</v>
      </c>
      <c r="G218" s="1" t="s">
        <v>440</v>
      </c>
      <c r="H218" s="1" t="s">
        <v>441</v>
      </c>
      <c r="I218" s="1" t="s">
        <v>318</v>
      </c>
      <c r="J218" s="1" t="s">
        <v>345</v>
      </c>
      <c r="K218" s="1" t="s">
        <v>372</v>
      </c>
      <c r="L218" s="1" t="s">
        <v>294</v>
      </c>
      <c r="N218" s="6">
        <v>2024.0</v>
      </c>
      <c r="O218" s="10">
        <f t="shared" ref="O218:R218" si="240">IFERROR(V218*INDEX($AH$4:$AH$8,MATCH($AA218,$AG$4:$AG$8,0)),"")</f>
        <v>125000000</v>
      </c>
      <c r="P218" s="10">
        <f t="shared" si="240"/>
        <v>71668491.83</v>
      </c>
      <c r="Q218" s="10">
        <f t="shared" si="240"/>
        <v>18767111.68</v>
      </c>
      <c r="R218" s="10">
        <f t="shared" si="240"/>
        <v>49495341</v>
      </c>
      <c r="S218" s="10">
        <f t="shared" si="4"/>
        <v>68262452.68</v>
      </c>
      <c r="T218" s="10">
        <f t="shared" si="5"/>
        <v>67882703.48</v>
      </c>
      <c r="U218" s="8">
        <v>46112.0</v>
      </c>
      <c r="V218" s="7">
        <v>1.25E8</v>
      </c>
      <c r="W218" s="7">
        <v>7.166849183E7</v>
      </c>
      <c r="X218" s="7">
        <v>1.876711168E7</v>
      </c>
      <c r="Y218" s="7">
        <v>4.9495341E7</v>
      </c>
      <c r="Z218" s="7">
        <v>6.788270348E7</v>
      </c>
      <c r="AA218" s="6" t="s">
        <v>52</v>
      </c>
      <c r="AB218" s="11" t="str">
        <f t="shared" si="6"/>
        <v>Include</v>
      </c>
      <c r="AC218" s="1">
        <f t="shared" si="233"/>
        <v>0.9524750827</v>
      </c>
    </row>
    <row r="219" ht="15.0" customHeight="1">
      <c r="B219" s="6">
        <f t="shared" si="8"/>
        <v>217</v>
      </c>
      <c r="C219" s="1" t="s">
        <v>442</v>
      </c>
      <c r="D219" s="1" t="str">
        <f t="shared" si="2"/>
        <v>Private Credit</v>
      </c>
      <c r="E219" s="1" t="s">
        <v>39</v>
      </c>
      <c r="F219" s="1" t="s">
        <v>39</v>
      </c>
      <c r="G219" s="1" t="s">
        <v>442</v>
      </c>
      <c r="H219" s="1" t="s">
        <v>441</v>
      </c>
      <c r="I219" s="1" t="s">
        <v>318</v>
      </c>
      <c r="J219" s="1" t="s">
        <v>345</v>
      </c>
      <c r="K219" s="1" t="s">
        <v>372</v>
      </c>
      <c r="L219" s="1" t="s">
        <v>294</v>
      </c>
      <c r="N219" s="6">
        <v>2024.0</v>
      </c>
      <c r="O219" s="10">
        <f t="shared" ref="O219:R219" si="241">IFERROR(V219*INDEX($AH$4:$AH$8,MATCH($AA219,$AG$4:$AG$8,0)),"")</f>
        <v>50000000</v>
      </c>
      <c r="P219" s="10">
        <f t="shared" si="241"/>
        <v>23003992.01</v>
      </c>
      <c r="Q219" s="10">
        <f t="shared" si="241"/>
        <v>0</v>
      </c>
      <c r="R219" s="10">
        <f t="shared" si="241"/>
        <v>23661524</v>
      </c>
      <c r="S219" s="10">
        <f t="shared" si="4"/>
        <v>23661524</v>
      </c>
      <c r="T219" s="10">
        <f t="shared" si="5"/>
        <v>26996007.99</v>
      </c>
      <c r="U219" s="8">
        <v>46112.0</v>
      </c>
      <c r="V219" s="7">
        <v>5.0E7</v>
      </c>
      <c r="W219" s="7">
        <v>2.300399201E7</v>
      </c>
      <c r="X219" s="7">
        <v>0.0</v>
      </c>
      <c r="Y219" s="7">
        <v>2.3661524E7</v>
      </c>
      <c r="Z219" s="7">
        <v>2.699600799E7</v>
      </c>
      <c r="AA219" s="6" t="s">
        <v>52</v>
      </c>
      <c r="AB219" s="11" t="str">
        <f t="shared" si="6"/>
        <v>Include</v>
      </c>
      <c r="AC219" s="1">
        <f t="shared" si="233"/>
        <v>1.028583386</v>
      </c>
    </row>
    <row r="220" ht="15.0" customHeight="1">
      <c r="B220" s="6">
        <f t="shared" si="8"/>
        <v>218</v>
      </c>
      <c r="C220" s="1" t="s">
        <v>443</v>
      </c>
      <c r="D220" s="1" t="str">
        <f t="shared" si="2"/>
        <v>Private Credit</v>
      </c>
      <c r="E220" s="1" t="s">
        <v>39</v>
      </c>
      <c r="F220" s="1" t="s">
        <v>39</v>
      </c>
      <c r="G220" s="1" t="s">
        <v>443</v>
      </c>
      <c r="H220" s="1" t="s">
        <v>80</v>
      </c>
      <c r="I220" s="1" t="s">
        <v>318</v>
      </c>
      <c r="J220" s="1" t="s">
        <v>345</v>
      </c>
      <c r="K220" s="1" t="s">
        <v>82</v>
      </c>
      <c r="L220" s="1" t="s">
        <v>83</v>
      </c>
      <c r="N220" s="6">
        <v>2023.0</v>
      </c>
      <c r="O220" s="10">
        <f t="shared" ref="O220:R220" si="242">IFERROR(V220*INDEX($AH$4:$AH$8,MATCH($AA220,$AG$4:$AG$8,0)),"")</f>
        <v>173326500</v>
      </c>
      <c r="P220" s="10">
        <f t="shared" si="242"/>
        <v>61001304.13</v>
      </c>
      <c r="Q220" s="10">
        <f t="shared" si="242"/>
        <v>19728930.08</v>
      </c>
      <c r="R220" s="10">
        <f t="shared" si="242"/>
        <v>34453503.11</v>
      </c>
      <c r="S220" s="10">
        <f t="shared" si="4"/>
        <v>54182433.19</v>
      </c>
      <c r="T220" s="10">
        <f t="shared" si="5"/>
        <v>123706024.7</v>
      </c>
      <c r="U220" s="8">
        <v>46112.0</v>
      </c>
      <c r="V220" s="7">
        <v>1.5E8</v>
      </c>
      <c r="W220" s="7">
        <v>5.279167132E7</v>
      </c>
      <c r="X220" s="7">
        <v>1.707378567E7</v>
      </c>
      <c r="Y220" s="7">
        <v>2.9816707E7</v>
      </c>
      <c r="Z220" s="7">
        <v>1.0705751118E8</v>
      </c>
      <c r="AA220" s="6" t="s">
        <v>45</v>
      </c>
      <c r="AB220" s="11" t="str">
        <f t="shared" si="6"/>
        <v>Include</v>
      </c>
      <c r="AC220" s="1">
        <f t="shared" si="233"/>
        <v>0.8882176203</v>
      </c>
    </row>
    <row r="221" ht="15.0" customHeight="1">
      <c r="B221" s="6">
        <f t="shared" si="8"/>
        <v>219</v>
      </c>
      <c r="C221" s="1" t="s">
        <v>444</v>
      </c>
      <c r="D221" s="1" t="str">
        <f t="shared" si="2"/>
        <v>Private Credit</v>
      </c>
      <c r="E221" s="1" t="s">
        <v>39</v>
      </c>
      <c r="F221" s="1" t="s">
        <v>39</v>
      </c>
      <c r="G221" s="1" t="s">
        <v>444</v>
      </c>
      <c r="H221" s="1" t="s">
        <v>105</v>
      </c>
      <c r="I221" s="1" t="s">
        <v>318</v>
      </c>
      <c r="J221" s="1" t="s">
        <v>345</v>
      </c>
      <c r="K221" s="1" t="s">
        <v>102</v>
      </c>
      <c r="L221" s="1" t="s">
        <v>421</v>
      </c>
      <c r="N221" s="6">
        <v>2024.0</v>
      </c>
      <c r="O221" s="10">
        <f t="shared" ref="O221:R221" si="243">IFERROR(V221*INDEX($AH$4:$AH$8,MATCH($AA221,$AG$4:$AG$8,0)),"")</f>
        <v>165000000</v>
      </c>
      <c r="P221" s="10">
        <f t="shared" si="243"/>
        <v>13898403</v>
      </c>
      <c r="Q221" s="10">
        <f t="shared" si="243"/>
        <v>4294971</v>
      </c>
      <c r="R221" s="10">
        <f t="shared" si="243"/>
        <v>12757706</v>
      </c>
      <c r="S221" s="10">
        <f t="shared" si="4"/>
        <v>17052677</v>
      </c>
      <c r="T221" s="10">
        <f t="shared" si="5"/>
        <v>155376051</v>
      </c>
      <c r="U221" s="8">
        <v>46112.0</v>
      </c>
      <c r="V221" s="7">
        <v>1.65E8</v>
      </c>
      <c r="W221" s="7">
        <v>1.3898403E7</v>
      </c>
      <c r="X221" s="7">
        <v>4294971.0</v>
      </c>
      <c r="Y221" s="7">
        <v>1.2757706E7</v>
      </c>
      <c r="Z221" s="7">
        <v>1.55376051E8</v>
      </c>
      <c r="AA221" s="6" t="s">
        <v>52</v>
      </c>
      <c r="AB221" s="11" t="str">
        <f t="shared" si="6"/>
        <v>Include</v>
      </c>
      <c r="AC221" s="1">
        <f t="shared" si="233"/>
        <v>1.226952262</v>
      </c>
    </row>
    <row r="222" ht="15.0" customHeight="1">
      <c r="B222" s="6">
        <f t="shared" si="8"/>
        <v>220</v>
      </c>
      <c r="C222" s="1" t="s">
        <v>445</v>
      </c>
      <c r="D222" s="1" t="str">
        <f t="shared" si="2"/>
        <v>Private Credit</v>
      </c>
      <c r="E222" s="1" t="s">
        <v>39</v>
      </c>
      <c r="F222" s="1" t="s">
        <v>39</v>
      </c>
      <c r="G222" s="1" t="s">
        <v>445</v>
      </c>
      <c r="H222" s="1" t="s">
        <v>80</v>
      </c>
      <c r="I222" s="1" t="s">
        <v>318</v>
      </c>
      <c r="J222" s="1" t="s">
        <v>345</v>
      </c>
      <c r="K222" s="1" t="s">
        <v>82</v>
      </c>
      <c r="L222" s="1" t="s">
        <v>83</v>
      </c>
      <c r="N222" s="6">
        <v>2025.0</v>
      </c>
      <c r="O222" s="10">
        <f t="shared" ref="O222:R222" si="244">IFERROR(V222*INDEX($AH$4:$AH$8,MATCH($AA222,$AG$4:$AG$8,0)),"")</f>
        <v>173326500</v>
      </c>
      <c r="P222" s="10">
        <f t="shared" si="244"/>
        <v>1440451.452</v>
      </c>
      <c r="Q222" s="10">
        <f t="shared" si="244"/>
        <v>0</v>
      </c>
      <c r="R222" s="10">
        <f t="shared" si="244"/>
        <v>1932623.985</v>
      </c>
      <c r="S222" s="10">
        <f t="shared" si="4"/>
        <v>1932623.985</v>
      </c>
      <c r="T222" s="10">
        <f t="shared" si="5"/>
        <v>171886048.5</v>
      </c>
      <c r="U222" s="8">
        <v>46112.0</v>
      </c>
      <c r="V222" s="7">
        <v>1.5E8</v>
      </c>
      <c r="W222" s="7">
        <v>1246593.67</v>
      </c>
      <c r="X222" s="7">
        <v>0.0</v>
      </c>
      <c r="Y222" s="7">
        <v>1672529.0</v>
      </c>
      <c r="Z222" s="7">
        <v>1.4875340633E8</v>
      </c>
      <c r="AA222" s="6" t="s">
        <v>45</v>
      </c>
      <c r="AB222" s="11" t="str">
        <f t="shared" si="6"/>
        <v>Include</v>
      </c>
      <c r="AC222" s="1">
        <f t="shared" si="233"/>
        <v>1.341679362</v>
      </c>
    </row>
    <row r="223" ht="15.0" customHeight="1">
      <c r="B223" s="6">
        <f t="shared" si="8"/>
        <v>221</v>
      </c>
      <c r="C223" s="1" t="s">
        <v>446</v>
      </c>
      <c r="D223" s="1" t="str">
        <f t="shared" si="2"/>
        <v>Private Credit</v>
      </c>
      <c r="E223" s="1" t="s">
        <v>39</v>
      </c>
      <c r="F223" s="1" t="s">
        <v>39</v>
      </c>
      <c r="G223" s="1" t="s">
        <v>446</v>
      </c>
      <c r="H223" s="1" t="s">
        <v>50</v>
      </c>
      <c r="I223" s="1" t="s">
        <v>318</v>
      </c>
      <c r="J223" s="1" t="s">
        <v>345</v>
      </c>
      <c r="K223" s="1" t="s">
        <v>98</v>
      </c>
      <c r="L223" s="1" t="s">
        <v>41</v>
      </c>
      <c r="N223" s="6">
        <v>2024.0</v>
      </c>
      <c r="O223" s="10">
        <f t="shared" ref="O223:R223" si="245">IFERROR(V223*INDEX($AH$4:$AH$8,MATCH($AA223,$AG$4:$AG$8,0)),"")</f>
        <v>150000000</v>
      </c>
      <c r="P223" s="10">
        <f t="shared" si="245"/>
        <v>32607620.6</v>
      </c>
      <c r="Q223" s="10">
        <f t="shared" si="245"/>
        <v>0</v>
      </c>
      <c r="R223" s="10">
        <f t="shared" si="245"/>
        <v>12542099</v>
      </c>
      <c r="S223" s="10">
        <f t="shared" si="4"/>
        <v>12542099</v>
      </c>
      <c r="T223" s="10">
        <f t="shared" si="5"/>
        <v>117392379.4</v>
      </c>
      <c r="U223" s="8">
        <v>46112.0</v>
      </c>
      <c r="V223" s="7">
        <v>1.5E8</v>
      </c>
      <c r="W223" s="7">
        <v>3.26076206E7</v>
      </c>
      <c r="X223" s="7">
        <v>0.0</v>
      </c>
      <c r="Y223" s="7">
        <v>1.2542099E7</v>
      </c>
      <c r="Z223" s="7">
        <v>1.173923794E8</v>
      </c>
      <c r="AA223" s="6" t="s">
        <v>52</v>
      </c>
      <c r="AB223" s="11" t="str">
        <f t="shared" si="6"/>
        <v>Include</v>
      </c>
      <c r="AC223" s="1">
        <f t="shared" si="233"/>
        <v>0.3846370502</v>
      </c>
    </row>
    <row r="224" ht="15.0" customHeight="1">
      <c r="B224" s="6">
        <f t="shared" si="8"/>
        <v>222</v>
      </c>
      <c r="C224" s="1" t="s">
        <v>447</v>
      </c>
      <c r="D224" s="1" t="str">
        <f t="shared" si="2"/>
        <v>Private Credit</v>
      </c>
      <c r="E224" s="1" t="s">
        <v>39</v>
      </c>
      <c r="F224" s="1" t="s">
        <v>39</v>
      </c>
      <c r="G224" s="1" t="s">
        <v>448</v>
      </c>
      <c r="H224" s="1" t="s">
        <v>109</v>
      </c>
      <c r="I224" s="1" t="s">
        <v>318</v>
      </c>
      <c r="J224" s="1" t="s">
        <v>345</v>
      </c>
      <c r="K224" s="1" t="s">
        <v>102</v>
      </c>
      <c r="L224" s="1" t="s">
        <v>103</v>
      </c>
      <c r="N224" s="6">
        <v>2025.0</v>
      </c>
      <c r="O224" s="10">
        <f t="shared" ref="O224:R224" si="246">IFERROR(V224*INDEX($AH$4:$AH$8,MATCH($AA224,$AG$4:$AG$8,0)),"")</f>
        <v>100000000</v>
      </c>
      <c r="P224" s="10">
        <f t="shared" si="246"/>
        <v>0.01</v>
      </c>
      <c r="Q224" s="10">
        <f t="shared" si="246"/>
        <v>0</v>
      </c>
      <c r="R224" s="10">
        <f t="shared" si="246"/>
        <v>-649741</v>
      </c>
      <c r="S224" s="10">
        <f t="shared" si="4"/>
        <v>-649741</v>
      </c>
      <c r="T224" s="10">
        <f t="shared" si="5"/>
        <v>99999999.99</v>
      </c>
      <c r="U224" s="8">
        <v>46112.0</v>
      </c>
      <c r="V224" s="7">
        <v>1.0E8</v>
      </c>
      <c r="W224" s="7">
        <v>0.01</v>
      </c>
      <c r="X224" s="7">
        <v>0.0</v>
      </c>
      <c r="Y224" s="7">
        <v>-649741.0</v>
      </c>
      <c r="Z224" s="7">
        <v>9.999999999E7</v>
      </c>
      <c r="AA224" s="6" t="s">
        <v>52</v>
      </c>
      <c r="AB224" s="11" t="str">
        <f t="shared" si="6"/>
        <v>Exclude</v>
      </c>
    </row>
    <row r="225" ht="15.0" customHeight="1">
      <c r="B225" s="6">
        <f t="shared" si="8"/>
        <v>223</v>
      </c>
      <c r="C225" s="1" t="s">
        <v>449</v>
      </c>
      <c r="D225" s="1" t="str">
        <f t="shared" si="2"/>
        <v>Private Credit</v>
      </c>
      <c r="E225" s="1" t="s">
        <v>39</v>
      </c>
      <c r="F225" s="1" t="s">
        <v>39</v>
      </c>
      <c r="G225" s="1" t="s">
        <v>449</v>
      </c>
      <c r="H225" s="1" t="s">
        <v>232</v>
      </c>
      <c r="I225" s="1" t="s">
        <v>318</v>
      </c>
      <c r="J225" s="1" t="s">
        <v>345</v>
      </c>
      <c r="K225" s="1" t="s">
        <v>92</v>
      </c>
      <c r="L225" s="1" t="s">
        <v>93</v>
      </c>
      <c r="N225" s="6">
        <v>2017.0</v>
      </c>
      <c r="O225" s="10">
        <f t="shared" ref="O225:R225" si="247">IFERROR(V225*INDEX($AH$4:$AH$8,MATCH($AA225,$AG$4:$AG$8,0)),"")</f>
        <v>75000000</v>
      </c>
      <c r="P225" s="10">
        <f t="shared" si="247"/>
        <v>57422637</v>
      </c>
      <c r="Q225" s="10">
        <f t="shared" si="247"/>
        <v>6763902.51</v>
      </c>
      <c r="R225" s="10">
        <f t="shared" si="247"/>
        <v>50537078</v>
      </c>
      <c r="S225" s="10">
        <f t="shared" si="4"/>
        <v>57300980.51</v>
      </c>
      <c r="T225" s="10">
        <f t="shared" si="5"/>
        <v>72161092.51</v>
      </c>
      <c r="U225" s="8">
        <v>46112.0</v>
      </c>
      <c r="V225" s="7">
        <v>7.5E7</v>
      </c>
      <c r="W225" s="7">
        <v>5.7422637E7</v>
      </c>
      <c r="X225" s="7">
        <v>6763902.51</v>
      </c>
      <c r="Y225" s="7">
        <v>5.0537078E7</v>
      </c>
      <c r="Z225" s="7">
        <v>7.216109251E7</v>
      </c>
      <c r="AA225" s="6" t="s">
        <v>52</v>
      </c>
      <c r="AB225" s="11" t="str">
        <f t="shared" si="6"/>
        <v>Include</v>
      </c>
      <c r="AC225" s="1">
        <f t="shared" ref="AC225:AC226" si="249">S225/P225</f>
        <v>0.9978813845</v>
      </c>
    </row>
    <row r="226" ht="15.0" customHeight="1">
      <c r="B226" s="6">
        <f t="shared" si="8"/>
        <v>224</v>
      </c>
      <c r="C226" s="1" t="s">
        <v>450</v>
      </c>
      <c r="D226" s="1" t="str">
        <f t="shared" si="2"/>
        <v>Private Credit</v>
      </c>
      <c r="E226" s="1" t="s">
        <v>39</v>
      </c>
      <c r="F226" s="1" t="s">
        <v>39</v>
      </c>
      <c r="G226" s="1" t="s">
        <v>450</v>
      </c>
      <c r="H226" s="1" t="s">
        <v>105</v>
      </c>
      <c r="I226" s="1" t="s">
        <v>318</v>
      </c>
      <c r="J226" s="1" t="s">
        <v>345</v>
      </c>
      <c r="K226" s="1" t="s">
        <v>92</v>
      </c>
      <c r="L226" s="1" t="s">
        <v>93</v>
      </c>
      <c r="N226" s="6">
        <v>2025.0</v>
      </c>
      <c r="O226" s="10">
        <f t="shared" ref="O226:R226" si="248">IFERROR(V226*INDEX($AH$4:$AH$8,MATCH($AA226,$AG$4:$AG$8,0)),"")</f>
        <v>75000000</v>
      </c>
      <c r="P226" s="10">
        <f t="shared" si="248"/>
        <v>19216625.01</v>
      </c>
      <c r="Q226" s="10">
        <f t="shared" si="248"/>
        <v>641298</v>
      </c>
      <c r="R226" s="10">
        <f t="shared" si="248"/>
        <v>1241292</v>
      </c>
      <c r="S226" s="10">
        <f t="shared" si="4"/>
        <v>1882590</v>
      </c>
      <c r="T226" s="10">
        <f t="shared" si="5"/>
        <v>56002516.99</v>
      </c>
      <c r="U226" s="8">
        <v>46112.0</v>
      </c>
      <c r="V226" s="7">
        <v>7.5E7</v>
      </c>
      <c r="W226" s="7">
        <v>1.921662501E7</v>
      </c>
      <c r="X226" s="7">
        <v>641298.0</v>
      </c>
      <c r="Y226" s="7">
        <v>1241292.0</v>
      </c>
      <c r="Z226" s="7">
        <v>5.600251699E7</v>
      </c>
      <c r="AA226" s="6" t="s">
        <v>52</v>
      </c>
      <c r="AB226" s="11" t="str">
        <f t="shared" si="6"/>
        <v>Include</v>
      </c>
      <c r="AC226" s="1">
        <f t="shared" si="249"/>
        <v>0.09796673448</v>
      </c>
    </row>
    <row r="227" ht="15.0" customHeight="1">
      <c r="B227" s="6">
        <f t="shared" si="8"/>
        <v>225</v>
      </c>
      <c r="C227" s="1" t="s">
        <v>451</v>
      </c>
      <c r="D227" s="1" t="str">
        <f t="shared" si="2"/>
        <v>VC &amp; Growth</v>
      </c>
      <c r="E227" s="1" t="s">
        <v>270</v>
      </c>
      <c r="F227" s="1" t="s">
        <v>43</v>
      </c>
      <c r="G227" s="1" t="s">
        <v>451</v>
      </c>
      <c r="H227" s="1" t="s">
        <v>208</v>
      </c>
      <c r="I227" s="1" t="s">
        <v>318</v>
      </c>
      <c r="J227" s="1" t="s">
        <v>150</v>
      </c>
      <c r="K227" s="1" t="s">
        <v>150</v>
      </c>
      <c r="L227" s="1" t="s">
        <v>123</v>
      </c>
      <c r="N227" s="6">
        <v>1987.0</v>
      </c>
      <c r="O227" s="10">
        <f t="shared" ref="O227:R227" si="250">IFERROR(V227*INDEX($AH$4:$AH$8,MATCH($AA227,$AG$4:$AG$8,0)),"")</f>
        <v>20000000</v>
      </c>
      <c r="P227" s="10">
        <f t="shared" si="250"/>
        <v>20000000</v>
      </c>
      <c r="Q227" s="10">
        <f t="shared" si="250"/>
        <v>77132193.11</v>
      </c>
      <c r="R227" s="10">
        <f t="shared" si="250"/>
        <v>0</v>
      </c>
      <c r="S227" s="10">
        <f t="shared" si="4"/>
        <v>77132193.11</v>
      </c>
      <c r="T227" s="10">
        <f t="shared" si="5"/>
        <v>0</v>
      </c>
      <c r="U227" s="8">
        <v>40178.0</v>
      </c>
      <c r="V227" s="7">
        <v>2.0E7</v>
      </c>
      <c r="W227" s="7">
        <v>2.0E7</v>
      </c>
      <c r="X227" s="7">
        <v>7.713219311E7</v>
      </c>
      <c r="Y227" s="7">
        <v>0.0</v>
      </c>
      <c r="Z227" s="7">
        <v>0.0</v>
      </c>
      <c r="AA227" s="6" t="s">
        <v>52</v>
      </c>
      <c r="AB227" s="11" t="str">
        <f t="shared" si="6"/>
        <v>Exclude</v>
      </c>
    </row>
    <row r="228" ht="15.0" customHeight="1">
      <c r="B228" s="6">
        <f t="shared" si="8"/>
        <v>226</v>
      </c>
      <c r="C228" s="1" t="s">
        <v>452</v>
      </c>
      <c r="D228" s="1" t="str">
        <f t="shared" si="2"/>
        <v>Private Equity</v>
      </c>
      <c r="E228" s="1" t="s">
        <v>43</v>
      </c>
      <c r="F228" s="1" t="s">
        <v>43</v>
      </c>
      <c r="G228" s="1" t="s">
        <v>453</v>
      </c>
      <c r="H228" s="1" t="s">
        <v>454</v>
      </c>
      <c r="I228" s="1" t="s">
        <v>318</v>
      </c>
      <c r="J228" s="1" t="s">
        <v>121</v>
      </c>
      <c r="K228" s="1" t="s">
        <v>122</v>
      </c>
      <c r="L228" s="1" t="s">
        <v>123</v>
      </c>
      <c r="N228" s="6">
        <v>1994.0</v>
      </c>
      <c r="O228" s="10">
        <f t="shared" ref="O228:R228" si="251">IFERROR(V228*INDEX($AH$4:$AH$8,MATCH($AA228,$AG$4:$AG$8,0)),"")</f>
        <v>12500000</v>
      </c>
      <c r="P228" s="10">
        <f t="shared" si="251"/>
        <v>12246895.44</v>
      </c>
      <c r="Q228" s="10">
        <f t="shared" si="251"/>
        <v>24148318.55</v>
      </c>
      <c r="R228" s="10">
        <f t="shared" si="251"/>
        <v>0</v>
      </c>
      <c r="S228" s="10">
        <f t="shared" si="4"/>
        <v>24148318.55</v>
      </c>
      <c r="T228" s="10">
        <f t="shared" si="5"/>
        <v>0</v>
      </c>
      <c r="U228" s="8">
        <v>39629.0</v>
      </c>
      <c r="V228" s="7">
        <v>1.25E7</v>
      </c>
      <c r="W228" s="7">
        <v>1.224689544E7</v>
      </c>
      <c r="X228" s="7">
        <v>2.414831855E7</v>
      </c>
      <c r="Y228" s="7">
        <v>0.0</v>
      </c>
      <c r="Z228" s="7">
        <v>0.0</v>
      </c>
      <c r="AA228" s="6" t="s">
        <v>52</v>
      </c>
      <c r="AB228" s="11" t="str">
        <f t="shared" si="6"/>
        <v>Exclude</v>
      </c>
    </row>
    <row r="229" ht="15.0" customHeight="1">
      <c r="B229" s="6">
        <f t="shared" si="8"/>
        <v>227</v>
      </c>
      <c r="C229" s="1" t="s">
        <v>455</v>
      </c>
      <c r="D229" s="1" t="str">
        <f t="shared" si="2"/>
        <v>Private Equity</v>
      </c>
      <c r="E229" s="1" t="s">
        <v>43</v>
      </c>
      <c r="F229" s="1" t="s">
        <v>43</v>
      </c>
      <c r="G229" s="1" t="s">
        <v>455</v>
      </c>
      <c r="H229" s="1" t="s">
        <v>456</v>
      </c>
      <c r="I229" s="1" t="s">
        <v>318</v>
      </c>
      <c r="J229" s="1" t="s">
        <v>121</v>
      </c>
      <c r="K229" s="1" t="s">
        <v>122</v>
      </c>
      <c r="L229" s="1" t="s">
        <v>123</v>
      </c>
      <c r="N229" s="6">
        <v>1996.0</v>
      </c>
      <c r="O229" s="10">
        <f t="shared" ref="O229:R229" si="252">IFERROR(V229*INDEX($AH$4:$AH$8,MATCH($AA229,$AG$4:$AG$8,0)),"")</f>
        <v>25000000</v>
      </c>
      <c r="P229" s="10">
        <f t="shared" si="252"/>
        <v>24445014.42</v>
      </c>
      <c r="Q229" s="10">
        <f t="shared" si="252"/>
        <v>44560024.52</v>
      </c>
      <c r="R229" s="10">
        <f t="shared" si="252"/>
        <v>0</v>
      </c>
      <c r="S229" s="10">
        <f t="shared" si="4"/>
        <v>44560024.52</v>
      </c>
      <c r="T229" s="10">
        <f t="shared" si="5"/>
        <v>0</v>
      </c>
      <c r="U229" s="8">
        <v>41270.0</v>
      </c>
      <c r="V229" s="7">
        <v>2.5E7</v>
      </c>
      <c r="W229" s="7">
        <v>2.444501442E7</v>
      </c>
      <c r="X229" s="7">
        <v>4.456002452E7</v>
      </c>
      <c r="Y229" s="7">
        <v>0.0</v>
      </c>
      <c r="Z229" s="7">
        <v>0.0</v>
      </c>
      <c r="AA229" s="6" t="s">
        <v>52</v>
      </c>
      <c r="AB229" s="11" t="str">
        <f t="shared" si="6"/>
        <v>Exclude</v>
      </c>
    </row>
    <row r="230" ht="15.0" customHeight="1">
      <c r="B230" s="6">
        <f t="shared" si="8"/>
        <v>228</v>
      </c>
      <c r="C230" s="1" t="s">
        <v>457</v>
      </c>
      <c r="D230" s="1" t="str">
        <f t="shared" si="2"/>
        <v>VC &amp; Growth</v>
      </c>
      <c r="E230" s="1" t="s">
        <v>270</v>
      </c>
      <c r="F230" s="1" t="s">
        <v>43</v>
      </c>
      <c r="G230" s="1" t="s">
        <v>457</v>
      </c>
      <c r="H230" s="1" t="s">
        <v>458</v>
      </c>
      <c r="I230" s="1" t="s">
        <v>318</v>
      </c>
      <c r="J230" s="1" t="s">
        <v>150</v>
      </c>
      <c r="K230" s="1" t="s">
        <v>150</v>
      </c>
      <c r="L230" s="1" t="s">
        <v>173</v>
      </c>
      <c r="N230" s="6">
        <v>1987.0</v>
      </c>
      <c r="O230" s="10">
        <f t="shared" ref="O230:R230" si="253">IFERROR(V230*INDEX($AH$4:$AH$8,MATCH($AA230,$AG$4:$AG$8,0)),"")</f>
        <v>1000000</v>
      </c>
      <c r="P230" s="10">
        <f t="shared" si="253"/>
        <v>1000000</v>
      </c>
      <c r="Q230" s="10">
        <f t="shared" si="253"/>
        <v>1101748.77</v>
      </c>
      <c r="R230" s="10">
        <f t="shared" si="253"/>
        <v>0</v>
      </c>
      <c r="S230" s="10">
        <f t="shared" si="4"/>
        <v>1101748.77</v>
      </c>
      <c r="T230" s="10">
        <f t="shared" si="5"/>
        <v>0</v>
      </c>
      <c r="U230" s="8">
        <v>37529.0</v>
      </c>
      <c r="V230" s="7">
        <v>1000000.0</v>
      </c>
      <c r="W230" s="7">
        <v>1000000.0</v>
      </c>
      <c r="X230" s="7">
        <v>1101748.77</v>
      </c>
      <c r="Y230" s="7">
        <v>0.0</v>
      </c>
      <c r="Z230" s="7">
        <v>0.0</v>
      </c>
      <c r="AA230" s="6" t="s">
        <v>52</v>
      </c>
      <c r="AB230" s="11" t="str">
        <f t="shared" si="6"/>
        <v>Exclude</v>
      </c>
    </row>
    <row r="231" ht="15.0" customHeight="1">
      <c r="B231" s="6">
        <f t="shared" si="8"/>
        <v>229</v>
      </c>
      <c r="C231" s="1" t="s">
        <v>459</v>
      </c>
      <c r="D231" s="1" t="str">
        <f t="shared" si="2"/>
        <v>VC &amp; Growth</v>
      </c>
      <c r="E231" s="1" t="s">
        <v>270</v>
      </c>
      <c r="F231" s="1" t="s">
        <v>43</v>
      </c>
      <c r="G231" s="1" t="s">
        <v>459</v>
      </c>
      <c r="H231" s="1" t="s">
        <v>458</v>
      </c>
      <c r="I231" s="1" t="s">
        <v>318</v>
      </c>
      <c r="J231" s="1" t="s">
        <v>150</v>
      </c>
      <c r="K231" s="1" t="s">
        <v>150</v>
      </c>
      <c r="L231" s="1" t="s">
        <v>173</v>
      </c>
      <c r="N231" s="6">
        <v>1989.0</v>
      </c>
      <c r="O231" s="10">
        <f t="shared" ref="O231:R231" si="254">IFERROR(V231*INDEX($AH$4:$AH$8,MATCH($AA231,$AG$4:$AG$8,0)),"")</f>
        <v>15000000</v>
      </c>
      <c r="P231" s="10">
        <f t="shared" si="254"/>
        <v>15000000</v>
      </c>
      <c r="Q231" s="10">
        <f t="shared" si="254"/>
        <v>10651730.35</v>
      </c>
      <c r="R231" s="10">
        <f t="shared" si="254"/>
        <v>0</v>
      </c>
      <c r="S231" s="10">
        <f t="shared" si="4"/>
        <v>10651730.35</v>
      </c>
      <c r="T231" s="10">
        <f t="shared" si="5"/>
        <v>0</v>
      </c>
      <c r="U231" s="8">
        <v>39082.0</v>
      </c>
      <c r="V231" s="7">
        <v>1.5E7</v>
      </c>
      <c r="W231" s="7">
        <v>1.5E7</v>
      </c>
      <c r="X231" s="7">
        <v>1.065173035E7</v>
      </c>
      <c r="Y231" s="7">
        <v>0.0</v>
      </c>
      <c r="Z231" s="7">
        <v>0.0</v>
      </c>
      <c r="AA231" s="6" t="s">
        <v>52</v>
      </c>
      <c r="AB231" s="11" t="str">
        <f t="shared" si="6"/>
        <v>Exclude</v>
      </c>
    </row>
    <row r="232" ht="15.0" customHeight="1">
      <c r="B232" s="6">
        <f t="shared" si="8"/>
        <v>230</v>
      </c>
      <c r="C232" s="1" t="s">
        <v>460</v>
      </c>
      <c r="D232" s="1" t="str">
        <f t="shared" si="2"/>
        <v>VC &amp; Growth</v>
      </c>
      <c r="E232" s="1" t="s">
        <v>270</v>
      </c>
      <c r="F232" s="1" t="s">
        <v>43</v>
      </c>
      <c r="G232" s="1" t="s">
        <v>460</v>
      </c>
      <c r="H232" s="1" t="s">
        <v>461</v>
      </c>
      <c r="I232" s="1" t="s">
        <v>318</v>
      </c>
      <c r="J232" s="1" t="s">
        <v>150</v>
      </c>
      <c r="K232" s="1" t="s">
        <v>150</v>
      </c>
      <c r="L232" s="1" t="s">
        <v>132</v>
      </c>
      <c r="N232" s="6">
        <v>1988.0</v>
      </c>
      <c r="O232" s="10">
        <f t="shared" ref="O232:R232" si="255">IFERROR(V232*INDEX($AH$4:$AH$8,MATCH($AA232,$AG$4:$AG$8,0)),"")</f>
        <v>4566946</v>
      </c>
      <c r="P232" s="10">
        <f t="shared" si="255"/>
        <v>4566946</v>
      </c>
      <c r="Q232" s="10">
        <f t="shared" si="255"/>
        <v>6645348.71</v>
      </c>
      <c r="R232" s="10">
        <f t="shared" si="255"/>
        <v>0</v>
      </c>
      <c r="S232" s="10">
        <f t="shared" si="4"/>
        <v>6645348.71</v>
      </c>
      <c r="T232" s="10">
        <f t="shared" si="5"/>
        <v>0</v>
      </c>
      <c r="U232" s="8">
        <v>37529.0</v>
      </c>
      <c r="V232" s="7">
        <v>4566946.0</v>
      </c>
      <c r="W232" s="7">
        <v>4566946.0</v>
      </c>
      <c r="X232" s="7">
        <v>6645348.71</v>
      </c>
      <c r="Y232" s="7">
        <v>0.0</v>
      </c>
      <c r="Z232" s="7">
        <v>0.0</v>
      </c>
      <c r="AA232" s="6" t="s">
        <v>52</v>
      </c>
      <c r="AB232" s="11" t="str">
        <f t="shared" si="6"/>
        <v>Exclude</v>
      </c>
    </row>
    <row r="233" ht="15.0" customHeight="1">
      <c r="B233" s="6">
        <f t="shared" si="8"/>
        <v>231</v>
      </c>
      <c r="C233" s="1" t="s">
        <v>462</v>
      </c>
      <c r="D233" s="1" t="str">
        <f t="shared" si="2"/>
        <v>VC &amp; Growth</v>
      </c>
      <c r="E233" s="1" t="s">
        <v>270</v>
      </c>
      <c r="F233" s="1" t="s">
        <v>43</v>
      </c>
      <c r="G233" s="1" t="s">
        <v>462</v>
      </c>
      <c r="H233" s="1" t="s">
        <v>463</v>
      </c>
      <c r="I233" s="1" t="s">
        <v>318</v>
      </c>
      <c r="J233" s="1" t="s">
        <v>150</v>
      </c>
      <c r="K233" s="1" t="s">
        <v>150</v>
      </c>
      <c r="L233" s="1" t="s">
        <v>173</v>
      </c>
      <c r="N233" s="6">
        <v>1986.0</v>
      </c>
      <c r="O233" s="10">
        <f t="shared" ref="O233:R233" si="256">IFERROR(V233*INDEX($AH$4:$AH$8,MATCH($AA233,$AG$4:$AG$8,0)),"")</f>
        <v>20000000</v>
      </c>
      <c r="P233" s="10">
        <f t="shared" si="256"/>
        <v>20000000</v>
      </c>
      <c r="Q233" s="10">
        <f t="shared" si="256"/>
        <v>20584156.04</v>
      </c>
      <c r="R233" s="10">
        <f t="shared" si="256"/>
        <v>0</v>
      </c>
      <c r="S233" s="10">
        <f t="shared" si="4"/>
        <v>20584156.04</v>
      </c>
      <c r="T233" s="10">
        <f t="shared" si="5"/>
        <v>0</v>
      </c>
      <c r="U233" s="8">
        <v>40268.0</v>
      </c>
      <c r="V233" s="7">
        <v>2.0E7</v>
      </c>
      <c r="W233" s="7">
        <v>2.0E7</v>
      </c>
      <c r="X233" s="7">
        <v>2.058415604E7</v>
      </c>
      <c r="Y233" s="7">
        <v>0.0</v>
      </c>
      <c r="Z233" s="7">
        <v>0.0</v>
      </c>
      <c r="AA233" s="6" t="s">
        <v>52</v>
      </c>
      <c r="AB233" s="11" t="str">
        <f t="shared" si="6"/>
        <v>Exclude</v>
      </c>
    </row>
    <row r="234" ht="15.0" customHeight="1">
      <c r="B234" s="6">
        <f t="shared" si="8"/>
        <v>232</v>
      </c>
      <c r="C234" s="1" t="s">
        <v>464</v>
      </c>
      <c r="D234" s="1" t="str">
        <f t="shared" si="2"/>
        <v>VC &amp; Growth</v>
      </c>
      <c r="E234" s="1" t="s">
        <v>270</v>
      </c>
      <c r="F234" s="1" t="s">
        <v>43</v>
      </c>
      <c r="G234" s="1" t="s">
        <v>464</v>
      </c>
      <c r="H234" s="1" t="s">
        <v>463</v>
      </c>
      <c r="I234" s="1" t="s">
        <v>318</v>
      </c>
      <c r="J234" s="1" t="s">
        <v>150</v>
      </c>
      <c r="K234" s="1" t="s">
        <v>150</v>
      </c>
      <c r="L234" s="1" t="s">
        <v>173</v>
      </c>
      <c r="N234" s="6">
        <v>1992.0</v>
      </c>
      <c r="O234" s="10">
        <f t="shared" ref="O234:R234" si="257">IFERROR(V234*INDEX($AH$4:$AH$8,MATCH($AA234,$AG$4:$AG$8,0)),"")</f>
        <v>10000000</v>
      </c>
      <c r="P234" s="10">
        <f t="shared" si="257"/>
        <v>10000000</v>
      </c>
      <c r="Q234" s="10">
        <f t="shared" si="257"/>
        <v>15214766.03</v>
      </c>
      <c r="R234" s="10">
        <f t="shared" si="257"/>
        <v>0</v>
      </c>
      <c r="S234" s="10">
        <f t="shared" si="4"/>
        <v>15214766.03</v>
      </c>
      <c r="T234" s="10">
        <f t="shared" si="5"/>
        <v>0</v>
      </c>
      <c r="U234" s="8">
        <v>40268.0</v>
      </c>
      <c r="V234" s="7">
        <v>1.0E7</v>
      </c>
      <c r="W234" s="7">
        <v>1.0E7</v>
      </c>
      <c r="X234" s="7">
        <v>1.521476603E7</v>
      </c>
      <c r="Y234" s="7">
        <v>0.0</v>
      </c>
      <c r="Z234" s="7">
        <v>0.0</v>
      </c>
      <c r="AA234" s="6" t="s">
        <v>52</v>
      </c>
      <c r="AB234" s="11" t="str">
        <f t="shared" si="6"/>
        <v>Exclude</v>
      </c>
    </row>
    <row r="235" ht="15.0" customHeight="1">
      <c r="B235" s="6">
        <f t="shared" si="8"/>
        <v>233</v>
      </c>
      <c r="C235" s="1" t="s">
        <v>465</v>
      </c>
      <c r="D235" s="1" t="str">
        <f t="shared" si="2"/>
        <v>VC &amp; Growth</v>
      </c>
      <c r="E235" s="1" t="s">
        <v>270</v>
      </c>
      <c r="F235" s="1" t="s">
        <v>43</v>
      </c>
      <c r="G235" s="1" t="s">
        <v>465</v>
      </c>
      <c r="H235" s="1" t="s">
        <v>466</v>
      </c>
      <c r="I235" s="1" t="s">
        <v>318</v>
      </c>
      <c r="J235" s="1" t="s">
        <v>150</v>
      </c>
      <c r="K235" s="1" t="s">
        <v>150</v>
      </c>
      <c r="L235" s="1" t="s">
        <v>151</v>
      </c>
      <c r="N235" s="6">
        <v>1991.0</v>
      </c>
      <c r="O235" s="10">
        <f t="shared" ref="O235:R235" si="258">IFERROR(V235*INDEX($AH$4:$AH$8,MATCH($AA235,$AG$4:$AG$8,0)),"")</f>
        <v>10000000</v>
      </c>
      <c r="P235" s="10">
        <f t="shared" si="258"/>
        <v>10000000</v>
      </c>
      <c r="Q235" s="10">
        <f t="shared" si="258"/>
        <v>25972603.4</v>
      </c>
      <c r="R235" s="10">
        <f t="shared" si="258"/>
        <v>0</v>
      </c>
      <c r="S235" s="10">
        <f t="shared" si="4"/>
        <v>25972603.4</v>
      </c>
      <c r="T235" s="10">
        <f t="shared" si="5"/>
        <v>0</v>
      </c>
      <c r="U235" s="8">
        <v>40178.0</v>
      </c>
      <c r="V235" s="7">
        <v>1.0E7</v>
      </c>
      <c r="W235" s="7">
        <v>1.0E7</v>
      </c>
      <c r="X235" s="7">
        <v>2.59726034E7</v>
      </c>
      <c r="Y235" s="7">
        <v>0.0</v>
      </c>
      <c r="Z235" s="7">
        <v>0.0</v>
      </c>
      <c r="AA235" s="6" t="s">
        <v>52</v>
      </c>
      <c r="AB235" s="11" t="str">
        <f t="shared" si="6"/>
        <v>Exclude</v>
      </c>
    </row>
    <row r="236" ht="15.0" customHeight="1">
      <c r="B236" s="6">
        <f t="shared" si="8"/>
        <v>234</v>
      </c>
      <c r="C236" s="1" t="s">
        <v>467</v>
      </c>
      <c r="D236" s="1" t="str">
        <f t="shared" si="2"/>
        <v>VC &amp; Growth</v>
      </c>
      <c r="E236" s="1" t="s">
        <v>270</v>
      </c>
      <c r="F236" s="1" t="s">
        <v>43</v>
      </c>
      <c r="G236" s="1" t="s">
        <v>467</v>
      </c>
      <c r="H236" s="1" t="s">
        <v>466</v>
      </c>
      <c r="I236" s="1" t="s">
        <v>318</v>
      </c>
      <c r="J236" s="1" t="s">
        <v>150</v>
      </c>
      <c r="K236" s="1" t="s">
        <v>150</v>
      </c>
      <c r="L236" s="1" t="s">
        <v>151</v>
      </c>
      <c r="N236" s="6">
        <v>1994.0</v>
      </c>
      <c r="O236" s="10">
        <f t="shared" ref="O236:R236" si="259">IFERROR(V236*INDEX($AH$4:$AH$8,MATCH($AA236,$AG$4:$AG$8,0)),"")</f>
        <v>14807690</v>
      </c>
      <c r="P236" s="10">
        <f t="shared" si="259"/>
        <v>14807690.2</v>
      </c>
      <c r="Q236" s="10">
        <f t="shared" si="259"/>
        <v>28785013.22</v>
      </c>
      <c r="R236" s="10">
        <f t="shared" si="259"/>
        <v>0</v>
      </c>
      <c r="S236" s="10">
        <f t="shared" si="4"/>
        <v>28785013.22</v>
      </c>
      <c r="T236" s="10">
        <f t="shared" si="5"/>
        <v>0</v>
      </c>
      <c r="U236" s="8">
        <v>40724.0</v>
      </c>
      <c r="V236" s="7">
        <v>1.480769E7</v>
      </c>
      <c r="W236" s="7">
        <v>1.48076902E7</v>
      </c>
      <c r="X236" s="7">
        <v>2.878501322E7</v>
      </c>
      <c r="Y236" s="7">
        <v>0.0</v>
      </c>
      <c r="Z236" s="7">
        <v>0.0</v>
      </c>
      <c r="AA236" s="6" t="s">
        <v>52</v>
      </c>
      <c r="AB236" s="11" t="str">
        <f t="shared" si="6"/>
        <v>Exclude</v>
      </c>
    </row>
    <row r="237" ht="15.0" customHeight="1">
      <c r="B237" s="6">
        <f t="shared" si="8"/>
        <v>235</v>
      </c>
      <c r="C237" s="1" t="s">
        <v>468</v>
      </c>
      <c r="D237" s="1" t="str">
        <f t="shared" si="2"/>
        <v>VC &amp; Growth</v>
      </c>
      <c r="E237" s="1" t="s">
        <v>270</v>
      </c>
      <c r="F237" s="1" t="s">
        <v>43</v>
      </c>
      <c r="G237" s="1" t="s">
        <v>468</v>
      </c>
      <c r="H237" s="1" t="s">
        <v>469</v>
      </c>
      <c r="I237" s="1" t="s">
        <v>318</v>
      </c>
      <c r="J237" s="1" t="s">
        <v>150</v>
      </c>
      <c r="K237" s="1" t="s">
        <v>150</v>
      </c>
      <c r="L237" s="1" t="s">
        <v>470</v>
      </c>
      <c r="N237" s="6">
        <v>1995.0</v>
      </c>
      <c r="O237" s="10">
        <f t="shared" ref="O237:R237" si="260">IFERROR(V237*INDEX($AH$4:$AH$8,MATCH($AA237,$AG$4:$AG$8,0)),"")</f>
        <v>15000000</v>
      </c>
      <c r="P237" s="10">
        <f t="shared" si="260"/>
        <v>15000000</v>
      </c>
      <c r="Q237" s="10">
        <f t="shared" si="260"/>
        <v>14558464.82</v>
      </c>
      <c r="R237" s="10">
        <f t="shared" si="260"/>
        <v>0</v>
      </c>
      <c r="S237" s="10">
        <f t="shared" si="4"/>
        <v>14558464.82</v>
      </c>
      <c r="T237" s="10">
        <f t="shared" si="5"/>
        <v>0</v>
      </c>
      <c r="U237" s="8">
        <v>42735.0</v>
      </c>
      <c r="V237" s="7">
        <v>1.5E7</v>
      </c>
      <c r="W237" s="7">
        <v>1.5E7</v>
      </c>
      <c r="X237" s="7">
        <v>1.455846482E7</v>
      </c>
      <c r="Y237" s="7">
        <v>0.0</v>
      </c>
      <c r="Z237" s="7">
        <v>0.0</v>
      </c>
      <c r="AA237" s="6" t="s">
        <v>52</v>
      </c>
      <c r="AB237" s="11" t="str">
        <f t="shared" si="6"/>
        <v>Exclude</v>
      </c>
    </row>
    <row r="238" ht="15.0" customHeight="1">
      <c r="B238" s="6">
        <f t="shared" si="8"/>
        <v>236</v>
      </c>
      <c r="C238" s="1" t="s">
        <v>471</v>
      </c>
      <c r="D238" s="1" t="str">
        <f t="shared" si="2"/>
        <v>VC &amp; Growth</v>
      </c>
      <c r="E238" s="1" t="s">
        <v>270</v>
      </c>
      <c r="F238" s="1" t="s">
        <v>43</v>
      </c>
      <c r="G238" s="1" t="s">
        <v>471</v>
      </c>
      <c r="H238" s="1" t="s">
        <v>472</v>
      </c>
      <c r="I238" s="1" t="s">
        <v>318</v>
      </c>
      <c r="J238" s="1" t="s">
        <v>150</v>
      </c>
      <c r="K238" s="1" t="s">
        <v>150</v>
      </c>
      <c r="L238" s="1" t="s">
        <v>173</v>
      </c>
      <c r="N238" s="6">
        <v>1987.0</v>
      </c>
      <c r="O238" s="10">
        <f t="shared" ref="O238:R238" si="261">IFERROR(V238*INDEX($AH$4:$AH$8,MATCH($AA238,$AG$4:$AG$8,0)),"")</f>
        <v>2000000</v>
      </c>
      <c r="P238" s="10">
        <f t="shared" si="261"/>
        <v>2000000</v>
      </c>
      <c r="Q238" s="10">
        <f t="shared" si="261"/>
        <v>815686.99</v>
      </c>
      <c r="R238" s="10">
        <f t="shared" si="261"/>
        <v>0</v>
      </c>
      <c r="S238" s="10">
        <f t="shared" si="4"/>
        <v>815686.99</v>
      </c>
      <c r="T238" s="10">
        <f t="shared" si="5"/>
        <v>0</v>
      </c>
      <c r="U238" s="8">
        <v>37529.0</v>
      </c>
      <c r="V238" s="7">
        <v>2000000.0</v>
      </c>
      <c r="W238" s="7">
        <v>2000000.0</v>
      </c>
      <c r="X238" s="7">
        <v>815686.99</v>
      </c>
      <c r="Y238" s="7">
        <v>0.0</v>
      </c>
      <c r="Z238" s="7">
        <v>0.0</v>
      </c>
      <c r="AA238" s="6" t="s">
        <v>52</v>
      </c>
      <c r="AB238" s="11" t="str">
        <f t="shared" si="6"/>
        <v>Exclude</v>
      </c>
    </row>
    <row r="239" ht="15.0" customHeight="1">
      <c r="B239" s="6">
        <f t="shared" si="8"/>
        <v>237</v>
      </c>
      <c r="C239" s="1" t="s">
        <v>473</v>
      </c>
      <c r="D239" s="1" t="str">
        <f t="shared" si="2"/>
        <v>Private Equity</v>
      </c>
      <c r="E239" s="1" t="s">
        <v>43</v>
      </c>
      <c r="F239" s="1" t="s">
        <v>43</v>
      </c>
      <c r="G239" s="1" t="s">
        <v>473</v>
      </c>
      <c r="H239" s="1" t="s">
        <v>474</v>
      </c>
      <c r="I239" s="1" t="s">
        <v>318</v>
      </c>
      <c r="J239" s="1" t="s">
        <v>121</v>
      </c>
      <c r="K239" s="1" t="s">
        <v>122</v>
      </c>
      <c r="L239" s="1" t="s">
        <v>123</v>
      </c>
      <c r="N239" s="6">
        <v>1994.0</v>
      </c>
      <c r="O239" s="10">
        <f t="shared" ref="O239:R239" si="262">IFERROR(V239*INDEX($AH$4:$AH$8,MATCH($AA239,$AG$4:$AG$8,0)),"")</f>
        <v>25000000</v>
      </c>
      <c r="P239" s="10">
        <f t="shared" si="262"/>
        <v>24151004.7</v>
      </c>
      <c r="Q239" s="10">
        <f t="shared" si="262"/>
        <v>50916126.63</v>
      </c>
      <c r="R239" s="10">
        <f t="shared" si="262"/>
        <v>0</v>
      </c>
      <c r="S239" s="10">
        <f t="shared" si="4"/>
        <v>50916126.63</v>
      </c>
      <c r="T239" s="10">
        <f t="shared" si="5"/>
        <v>0</v>
      </c>
      <c r="U239" s="8">
        <v>41274.0</v>
      </c>
      <c r="V239" s="7">
        <v>2.5E7</v>
      </c>
      <c r="W239" s="7">
        <v>2.41510047E7</v>
      </c>
      <c r="X239" s="7">
        <v>5.091612663E7</v>
      </c>
      <c r="Y239" s="7">
        <v>0.0</v>
      </c>
      <c r="Z239" s="7">
        <v>0.0</v>
      </c>
      <c r="AA239" s="6" t="s">
        <v>52</v>
      </c>
      <c r="AB239" s="11" t="str">
        <f t="shared" si="6"/>
        <v>Exclude</v>
      </c>
    </row>
    <row r="240" ht="15.0" customHeight="1">
      <c r="B240" s="6">
        <f t="shared" si="8"/>
        <v>238</v>
      </c>
      <c r="C240" s="1" t="s">
        <v>475</v>
      </c>
      <c r="D240" s="1" t="str">
        <f t="shared" si="2"/>
        <v>VC &amp; Growth</v>
      </c>
      <c r="E240" s="1" t="s">
        <v>270</v>
      </c>
      <c r="F240" s="1" t="s">
        <v>43</v>
      </c>
      <c r="G240" s="1" t="s">
        <v>476</v>
      </c>
      <c r="H240" s="1" t="s">
        <v>477</v>
      </c>
      <c r="I240" s="1" t="s">
        <v>318</v>
      </c>
      <c r="J240" s="1" t="s">
        <v>150</v>
      </c>
      <c r="K240" s="1" t="s">
        <v>150</v>
      </c>
      <c r="L240" s="1" t="s">
        <v>173</v>
      </c>
      <c r="N240" s="6">
        <v>1993.0</v>
      </c>
      <c r="O240" s="10">
        <f t="shared" ref="O240:R240" si="263">IFERROR(V240*INDEX($AH$4:$AH$8,MATCH($AA240,$AG$4:$AG$8,0)),"")</f>
        <v>25000000</v>
      </c>
      <c r="P240" s="10">
        <f t="shared" si="263"/>
        <v>25000000</v>
      </c>
      <c r="Q240" s="10">
        <f t="shared" si="263"/>
        <v>44210693.18</v>
      </c>
      <c r="R240" s="10">
        <f t="shared" si="263"/>
        <v>0</v>
      </c>
      <c r="S240" s="10">
        <f t="shared" si="4"/>
        <v>44210693.18</v>
      </c>
      <c r="T240" s="10">
        <f t="shared" si="5"/>
        <v>0</v>
      </c>
      <c r="U240" s="8">
        <v>39813.0</v>
      </c>
      <c r="V240" s="7">
        <v>2.5E7</v>
      </c>
      <c r="W240" s="7">
        <v>2.5E7</v>
      </c>
      <c r="X240" s="7">
        <v>4.421069318E7</v>
      </c>
      <c r="Y240" s="7">
        <v>0.0</v>
      </c>
      <c r="Z240" s="7">
        <v>0.0</v>
      </c>
      <c r="AA240" s="6" t="s">
        <v>52</v>
      </c>
      <c r="AB240" s="11" t="str">
        <f t="shared" si="6"/>
        <v>Exclude</v>
      </c>
    </row>
    <row r="241" ht="15.0" customHeight="1">
      <c r="B241" s="6">
        <f t="shared" si="8"/>
        <v>239</v>
      </c>
      <c r="C241" s="1" t="s">
        <v>478</v>
      </c>
      <c r="D241" s="1" t="str">
        <f t="shared" si="2"/>
        <v>Private Equity</v>
      </c>
      <c r="E241" s="1" t="s">
        <v>43</v>
      </c>
      <c r="F241" s="1" t="s">
        <v>43</v>
      </c>
      <c r="G241" s="1" t="s">
        <v>478</v>
      </c>
      <c r="H241" s="1" t="s">
        <v>479</v>
      </c>
      <c r="I241" s="1" t="s">
        <v>318</v>
      </c>
      <c r="J241" s="1" t="s">
        <v>121</v>
      </c>
      <c r="K241" s="1" t="s">
        <v>122</v>
      </c>
      <c r="L241" s="1" t="s">
        <v>123</v>
      </c>
      <c r="N241" s="6">
        <v>1994.0</v>
      </c>
      <c r="O241" s="10">
        <f t="shared" ref="O241:R241" si="264">IFERROR(V241*INDEX($AH$4:$AH$8,MATCH($AA241,$AG$4:$AG$8,0)),"")</f>
        <v>25000000</v>
      </c>
      <c r="P241" s="10">
        <f t="shared" si="264"/>
        <v>24999999</v>
      </c>
      <c r="Q241" s="10">
        <f t="shared" si="264"/>
        <v>24755484.3</v>
      </c>
      <c r="R241" s="10">
        <f t="shared" si="264"/>
        <v>0</v>
      </c>
      <c r="S241" s="10">
        <f t="shared" si="4"/>
        <v>24755484.3</v>
      </c>
      <c r="T241" s="10">
        <f t="shared" si="5"/>
        <v>0</v>
      </c>
      <c r="U241" s="8">
        <v>40492.0</v>
      </c>
      <c r="V241" s="7">
        <v>2.5E7</v>
      </c>
      <c r="W241" s="7">
        <v>2.4999999E7</v>
      </c>
      <c r="X241" s="7">
        <v>2.47554843E7</v>
      </c>
      <c r="Y241" s="7">
        <v>0.0</v>
      </c>
      <c r="Z241" s="7">
        <v>0.0</v>
      </c>
      <c r="AA241" s="6" t="s">
        <v>52</v>
      </c>
      <c r="AB241" s="11" t="str">
        <f t="shared" si="6"/>
        <v>Exclude</v>
      </c>
    </row>
    <row r="242" ht="15.0" customHeight="1">
      <c r="B242" s="6">
        <f t="shared" si="8"/>
        <v>240</v>
      </c>
      <c r="C242" s="1" t="s">
        <v>480</v>
      </c>
      <c r="D242" s="1" t="str">
        <f t="shared" si="2"/>
        <v>VC &amp; Growth</v>
      </c>
      <c r="E242" s="1" t="s">
        <v>270</v>
      </c>
      <c r="F242" s="1" t="s">
        <v>43</v>
      </c>
      <c r="G242" s="1" t="s">
        <v>480</v>
      </c>
      <c r="H242" s="1" t="s">
        <v>481</v>
      </c>
      <c r="I242" s="1" t="s">
        <v>318</v>
      </c>
      <c r="J242" s="1" t="s">
        <v>150</v>
      </c>
      <c r="K242" s="1" t="s">
        <v>150</v>
      </c>
      <c r="L242" s="1" t="s">
        <v>470</v>
      </c>
      <c r="N242" s="6">
        <v>1994.0</v>
      </c>
      <c r="O242" s="10">
        <f t="shared" ref="O242:R242" si="265">IFERROR(V242*INDEX($AH$4:$AH$8,MATCH($AA242,$AG$4:$AG$8,0)),"")</f>
        <v>114865</v>
      </c>
      <c r="P242" s="10">
        <f t="shared" si="265"/>
        <v>114864.86</v>
      </c>
      <c r="Q242" s="10">
        <f t="shared" si="265"/>
        <v>15364.99</v>
      </c>
      <c r="R242" s="10">
        <f t="shared" si="265"/>
        <v>0</v>
      </c>
      <c r="S242" s="10">
        <f t="shared" si="4"/>
        <v>15364.99</v>
      </c>
      <c r="T242" s="10">
        <f t="shared" si="5"/>
        <v>0</v>
      </c>
      <c r="U242" s="8">
        <v>39263.0</v>
      </c>
      <c r="V242" s="7">
        <v>114865.0</v>
      </c>
      <c r="W242" s="7">
        <v>114864.86</v>
      </c>
      <c r="X242" s="7">
        <v>15364.99</v>
      </c>
      <c r="Y242" s="7">
        <v>0.0</v>
      </c>
      <c r="Z242" s="7">
        <v>0.0</v>
      </c>
      <c r="AA242" s="6" t="s">
        <v>52</v>
      </c>
      <c r="AB242" s="11" t="str">
        <f t="shared" si="6"/>
        <v>Exclude</v>
      </c>
    </row>
    <row r="243" ht="15.0" customHeight="1">
      <c r="B243" s="6">
        <f t="shared" si="8"/>
        <v>241</v>
      </c>
      <c r="C243" s="1" t="s">
        <v>482</v>
      </c>
      <c r="D243" s="1" t="str">
        <f t="shared" si="2"/>
        <v>VC &amp; Growth</v>
      </c>
      <c r="E243" s="1" t="s">
        <v>270</v>
      </c>
      <c r="F243" s="1" t="s">
        <v>43</v>
      </c>
      <c r="G243" s="1" t="s">
        <v>482</v>
      </c>
      <c r="H243" s="1" t="s">
        <v>483</v>
      </c>
      <c r="I243" s="1" t="s">
        <v>318</v>
      </c>
      <c r="J243" s="1" t="s">
        <v>150</v>
      </c>
      <c r="K243" s="1" t="s">
        <v>150</v>
      </c>
      <c r="L243" s="1" t="s">
        <v>151</v>
      </c>
      <c r="N243" s="6">
        <v>1993.0</v>
      </c>
      <c r="O243" s="10">
        <f t="shared" ref="O243:R243" si="266">IFERROR(V243*INDEX($AH$4:$AH$8,MATCH($AA243,$AG$4:$AG$8,0)),"")</f>
        <v>7766667</v>
      </c>
      <c r="P243" s="10">
        <f t="shared" si="266"/>
        <v>7766666.47</v>
      </c>
      <c r="Q243" s="10">
        <f t="shared" si="266"/>
        <v>5904516.32</v>
      </c>
      <c r="R243" s="10">
        <f t="shared" si="266"/>
        <v>0</v>
      </c>
      <c r="S243" s="10">
        <f t="shared" si="4"/>
        <v>5904516.32</v>
      </c>
      <c r="T243" s="10">
        <f t="shared" si="5"/>
        <v>0</v>
      </c>
      <c r="U243" s="8">
        <v>39629.0</v>
      </c>
      <c r="V243" s="7">
        <v>7766667.0</v>
      </c>
      <c r="W243" s="7">
        <v>7766666.47</v>
      </c>
      <c r="X243" s="7">
        <v>5904516.32</v>
      </c>
      <c r="Y243" s="7">
        <v>0.0</v>
      </c>
      <c r="Z243" s="7">
        <v>0.0</v>
      </c>
      <c r="AA243" s="6" t="s">
        <v>52</v>
      </c>
      <c r="AB243" s="11" t="str">
        <f t="shared" si="6"/>
        <v>Exclude</v>
      </c>
    </row>
    <row r="244" ht="15.0" customHeight="1">
      <c r="B244" s="6">
        <f t="shared" si="8"/>
        <v>242</v>
      </c>
      <c r="C244" s="1" t="s">
        <v>484</v>
      </c>
      <c r="D244" s="1" t="str">
        <f t="shared" si="2"/>
        <v>VC &amp; Growth</v>
      </c>
      <c r="E244" s="1" t="s">
        <v>270</v>
      </c>
      <c r="F244" s="1" t="s">
        <v>43</v>
      </c>
      <c r="G244" s="1" t="s">
        <v>484</v>
      </c>
      <c r="H244" s="1" t="s">
        <v>413</v>
      </c>
      <c r="I244" s="1" t="s">
        <v>318</v>
      </c>
      <c r="J244" s="1" t="s">
        <v>150</v>
      </c>
      <c r="K244" s="1" t="s">
        <v>274</v>
      </c>
      <c r="L244" s="1" t="s">
        <v>204</v>
      </c>
      <c r="N244" s="6">
        <v>1992.0</v>
      </c>
      <c r="O244" s="10">
        <f t="shared" ref="O244:R244" si="267">IFERROR(V244*INDEX($AH$4:$AH$8,MATCH($AA244,$AG$4:$AG$8,0)),"")</f>
        <v>25000000</v>
      </c>
      <c r="P244" s="10">
        <f t="shared" si="267"/>
        <v>25000000</v>
      </c>
      <c r="Q244" s="10">
        <f t="shared" si="267"/>
        <v>39042318.02</v>
      </c>
      <c r="R244" s="10">
        <f t="shared" si="267"/>
        <v>0</v>
      </c>
      <c r="S244" s="10">
        <f t="shared" si="4"/>
        <v>39042318.02</v>
      </c>
      <c r="T244" s="10">
        <f t="shared" si="5"/>
        <v>0</v>
      </c>
      <c r="U244" s="8">
        <v>41820.0</v>
      </c>
      <c r="V244" s="7">
        <v>2.5E7</v>
      </c>
      <c r="W244" s="7">
        <v>2.5E7</v>
      </c>
      <c r="X244" s="7">
        <v>3.904231802E7</v>
      </c>
      <c r="Y244" s="7">
        <v>0.0</v>
      </c>
      <c r="Z244" s="7">
        <v>0.0</v>
      </c>
      <c r="AA244" s="6" t="s">
        <v>52</v>
      </c>
      <c r="AB244" s="11" t="str">
        <f t="shared" si="6"/>
        <v>Exclude</v>
      </c>
    </row>
    <row r="245" ht="15.0" customHeight="1">
      <c r="B245" s="6">
        <f t="shared" si="8"/>
        <v>243</v>
      </c>
      <c r="C245" s="1" t="s">
        <v>485</v>
      </c>
      <c r="D245" s="1" t="str">
        <f t="shared" si="2"/>
        <v>Private Equity</v>
      </c>
      <c r="E245" s="1" t="s">
        <v>43</v>
      </c>
      <c r="F245" s="1" t="s">
        <v>43</v>
      </c>
      <c r="G245" s="1" t="s">
        <v>485</v>
      </c>
      <c r="H245" s="1" t="s">
        <v>413</v>
      </c>
      <c r="I245" s="1" t="s">
        <v>318</v>
      </c>
      <c r="J245" s="1" t="s">
        <v>121</v>
      </c>
      <c r="K245" s="1" t="s">
        <v>274</v>
      </c>
      <c r="L245" s="1" t="s">
        <v>204</v>
      </c>
      <c r="N245" s="6">
        <v>1993.0</v>
      </c>
      <c r="O245" s="10">
        <f t="shared" ref="O245:R245" si="268">IFERROR(V245*INDEX($AH$4:$AH$8,MATCH($AA245,$AG$4:$AG$8,0)),"")</f>
        <v>27085010</v>
      </c>
      <c r="P245" s="10">
        <f t="shared" si="268"/>
        <v>27085010</v>
      </c>
      <c r="Q245" s="10">
        <f t="shared" si="268"/>
        <v>76454208.86</v>
      </c>
      <c r="R245" s="10">
        <f t="shared" si="268"/>
        <v>0</v>
      </c>
      <c r="S245" s="10">
        <f t="shared" si="4"/>
        <v>76454208.86</v>
      </c>
      <c r="T245" s="10">
        <f t="shared" si="5"/>
        <v>0</v>
      </c>
      <c r="U245" s="8">
        <v>41820.0</v>
      </c>
      <c r="V245" s="7">
        <v>2.708501E7</v>
      </c>
      <c r="W245" s="7">
        <v>2.708501E7</v>
      </c>
      <c r="X245" s="7">
        <v>7.645420886E7</v>
      </c>
      <c r="Y245" s="7">
        <v>0.0</v>
      </c>
      <c r="Z245" s="7">
        <v>0.0</v>
      </c>
      <c r="AA245" s="6" t="s">
        <v>52</v>
      </c>
      <c r="AB245" s="11" t="str">
        <f t="shared" si="6"/>
        <v>Exclude</v>
      </c>
    </row>
    <row r="246" ht="15.0" customHeight="1">
      <c r="B246" s="6">
        <f t="shared" si="8"/>
        <v>244</v>
      </c>
      <c r="C246" s="1" t="s">
        <v>486</v>
      </c>
      <c r="D246" s="1" t="str">
        <f t="shared" si="2"/>
        <v>Private Equity</v>
      </c>
      <c r="E246" s="1" t="s">
        <v>43</v>
      </c>
      <c r="F246" s="1" t="s">
        <v>43</v>
      </c>
      <c r="G246" s="1" t="s">
        <v>486</v>
      </c>
      <c r="H246" s="1" t="s">
        <v>413</v>
      </c>
      <c r="I246" s="1" t="s">
        <v>318</v>
      </c>
      <c r="J246" s="1" t="s">
        <v>121</v>
      </c>
      <c r="K246" s="1" t="s">
        <v>274</v>
      </c>
      <c r="L246" s="1" t="s">
        <v>204</v>
      </c>
      <c r="N246" s="6">
        <v>1994.0</v>
      </c>
      <c r="O246" s="10">
        <f t="shared" ref="O246:R246" si="269">IFERROR(V246*INDEX($AH$4:$AH$8,MATCH($AA246,$AG$4:$AG$8,0)),"")</f>
        <v>10533687</v>
      </c>
      <c r="P246" s="10">
        <f t="shared" si="269"/>
        <v>10254032</v>
      </c>
      <c r="Q246" s="10">
        <f t="shared" si="269"/>
        <v>15424544.03</v>
      </c>
      <c r="R246" s="10">
        <f t="shared" si="269"/>
        <v>0</v>
      </c>
      <c r="S246" s="10">
        <f t="shared" si="4"/>
        <v>15424544.03</v>
      </c>
      <c r="T246" s="10">
        <f t="shared" si="5"/>
        <v>0</v>
      </c>
      <c r="U246" s="8">
        <v>45278.0</v>
      </c>
      <c r="V246" s="7">
        <v>1.0533687E7</v>
      </c>
      <c r="W246" s="7">
        <v>1.0254032E7</v>
      </c>
      <c r="X246" s="7">
        <v>1.542454403E7</v>
      </c>
      <c r="Y246" s="7">
        <v>0.0</v>
      </c>
      <c r="Z246" s="7">
        <v>0.0</v>
      </c>
      <c r="AA246" s="6" t="s">
        <v>52</v>
      </c>
      <c r="AB246" s="11" t="str">
        <f t="shared" si="6"/>
        <v>Exclude</v>
      </c>
    </row>
    <row r="247" ht="15.0" customHeight="1">
      <c r="B247" s="6">
        <f t="shared" si="8"/>
        <v>245</v>
      </c>
      <c r="C247" s="1" t="s">
        <v>487</v>
      </c>
      <c r="D247" s="1" t="str">
        <f t="shared" si="2"/>
        <v>Private Equity</v>
      </c>
      <c r="E247" s="1" t="s">
        <v>43</v>
      </c>
      <c r="F247" s="1" t="s">
        <v>43</v>
      </c>
      <c r="G247" s="1" t="s">
        <v>487</v>
      </c>
      <c r="H247" s="1" t="s">
        <v>413</v>
      </c>
      <c r="I247" s="1" t="s">
        <v>318</v>
      </c>
      <c r="J247" s="1" t="s">
        <v>121</v>
      </c>
      <c r="K247" s="1" t="s">
        <v>274</v>
      </c>
      <c r="L247" s="1" t="s">
        <v>488</v>
      </c>
      <c r="N247" s="6">
        <v>1994.0</v>
      </c>
      <c r="O247" s="10">
        <f t="shared" ref="O247:R247" si="270">IFERROR(V247*INDEX($AH$4:$AH$8,MATCH($AA247,$AG$4:$AG$8,0)),"")</f>
        <v>75000000</v>
      </c>
      <c r="P247" s="10">
        <f t="shared" si="270"/>
        <v>59171339.7</v>
      </c>
      <c r="Q247" s="10">
        <f t="shared" si="270"/>
        <v>107827690</v>
      </c>
      <c r="R247" s="10">
        <f t="shared" si="270"/>
        <v>0</v>
      </c>
      <c r="S247" s="10">
        <f t="shared" si="4"/>
        <v>107827690</v>
      </c>
      <c r="T247" s="10">
        <f t="shared" si="5"/>
        <v>0</v>
      </c>
      <c r="U247" s="8">
        <v>45278.0</v>
      </c>
      <c r="V247" s="7">
        <v>7.5E7</v>
      </c>
      <c r="W247" s="7">
        <v>5.91713397E7</v>
      </c>
      <c r="X247" s="7">
        <v>1.0782769002E8</v>
      </c>
      <c r="Y247" s="7">
        <v>0.0</v>
      </c>
      <c r="Z247" s="7">
        <v>0.0</v>
      </c>
      <c r="AA247" s="6" t="s">
        <v>52</v>
      </c>
      <c r="AB247" s="11" t="str">
        <f t="shared" si="6"/>
        <v>Exclude</v>
      </c>
    </row>
    <row r="248" ht="15.0" customHeight="1">
      <c r="B248" s="6">
        <f t="shared" si="8"/>
        <v>246</v>
      </c>
      <c r="C248" s="1" t="s">
        <v>489</v>
      </c>
      <c r="D248" s="1" t="str">
        <f t="shared" si="2"/>
        <v>VC &amp; Growth</v>
      </c>
      <c r="E248" s="1" t="s">
        <v>270</v>
      </c>
      <c r="F248" s="1" t="s">
        <v>43</v>
      </c>
      <c r="G248" s="1" t="s">
        <v>489</v>
      </c>
      <c r="H248" s="1" t="s">
        <v>490</v>
      </c>
      <c r="I248" s="1" t="s">
        <v>318</v>
      </c>
      <c r="J248" s="1" t="s">
        <v>150</v>
      </c>
      <c r="K248" s="1" t="s">
        <v>150</v>
      </c>
      <c r="L248" s="1" t="s">
        <v>470</v>
      </c>
      <c r="N248" s="6">
        <v>1987.0</v>
      </c>
      <c r="O248" s="10">
        <f t="shared" ref="O248:R248" si="271">IFERROR(V248*INDEX($AH$4:$AH$8,MATCH($AA248,$AG$4:$AG$8,0)),"")</f>
        <v>15000000</v>
      </c>
      <c r="P248" s="10">
        <f t="shared" si="271"/>
        <v>15000000</v>
      </c>
      <c r="Q248" s="10">
        <f t="shared" si="271"/>
        <v>21446202.78</v>
      </c>
      <c r="R248" s="10">
        <f t="shared" si="271"/>
        <v>0</v>
      </c>
      <c r="S248" s="10">
        <f t="shared" si="4"/>
        <v>21446202.78</v>
      </c>
      <c r="T248" s="10">
        <f t="shared" si="5"/>
        <v>0</v>
      </c>
      <c r="U248" s="8">
        <v>37529.0</v>
      </c>
      <c r="V248" s="7">
        <v>1.5E7</v>
      </c>
      <c r="W248" s="7">
        <v>1.5E7</v>
      </c>
      <c r="X248" s="7">
        <v>2.144620278E7</v>
      </c>
      <c r="Y248" s="7">
        <v>0.0</v>
      </c>
      <c r="Z248" s="7">
        <v>0.0</v>
      </c>
      <c r="AA248" s="6" t="s">
        <v>52</v>
      </c>
      <c r="AB248" s="11" t="str">
        <f t="shared" si="6"/>
        <v>Exclude</v>
      </c>
    </row>
    <row r="249" ht="15.0" customHeight="1">
      <c r="B249" s="6">
        <f t="shared" si="8"/>
        <v>247</v>
      </c>
      <c r="C249" s="1" t="s">
        <v>491</v>
      </c>
      <c r="D249" s="1" t="str">
        <f t="shared" si="2"/>
        <v>Private Equity</v>
      </c>
      <c r="E249" s="1" t="s">
        <v>43</v>
      </c>
      <c r="F249" s="1" t="s">
        <v>43</v>
      </c>
      <c r="G249" s="1" t="s">
        <v>491</v>
      </c>
      <c r="H249" s="1" t="s">
        <v>492</v>
      </c>
      <c r="I249" s="1" t="s">
        <v>318</v>
      </c>
      <c r="J249" s="1" t="s">
        <v>121</v>
      </c>
      <c r="K249" s="1" t="s">
        <v>274</v>
      </c>
      <c r="L249" s="1" t="s">
        <v>204</v>
      </c>
      <c r="N249" s="6">
        <v>1996.0</v>
      </c>
      <c r="O249" s="10">
        <f t="shared" ref="O249:R249" si="272">IFERROR(V249*INDEX($AH$4:$AH$8,MATCH($AA249,$AG$4:$AG$8,0)),"")</f>
        <v>50000000</v>
      </c>
      <c r="P249" s="10">
        <f t="shared" si="272"/>
        <v>49613120</v>
      </c>
      <c r="Q249" s="10">
        <f t="shared" si="272"/>
        <v>62993730</v>
      </c>
      <c r="R249" s="10">
        <f t="shared" si="272"/>
        <v>0</v>
      </c>
      <c r="S249" s="10">
        <f t="shared" si="4"/>
        <v>62993730</v>
      </c>
      <c r="T249" s="10">
        <f t="shared" si="5"/>
        <v>0</v>
      </c>
      <c r="U249" s="8">
        <v>43190.0</v>
      </c>
      <c r="V249" s="7">
        <v>5.0E7</v>
      </c>
      <c r="W249" s="7">
        <v>4.961312E7</v>
      </c>
      <c r="X249" s="7">
        <v>6.299373E7</v>
      </c>
      <c r="Y249" s="7">
        <v>0.0</v>
      </c>
      <c r="Z249" s="7">
        <v>0.0</v>
      </c>
      <c r="AA249" s="6" t="s">
        <v>52</v>
      </c>
      <c r="AB249" s="11" t="str">
        <f t="shared" si="6"/>
        <v>Exclude</v>
      </c>
    </row>
    <row r="250" ht="15.0" customHeight="1">
      <c r="B250" s="6">
        <f t="shared" si="8"/>
        <v>248</v>
      </c>
      <c r="C250" s="1" t="s">
        <v>493</v>
      </c>
      <c r="D250" s="1" t="str">
        <f t="shared" si="2"/>
        <v>VC &amp; Growth</v>
      </c>
      <c r="E250" s="1" t="s">
        <v>270</v>
      </c>
      <c r="F250" s="1" t="s">
        <v>43</v>
      </c>
      <c r="G250" s="1" t="s">
        <v>493</v>
      </c>
      <c r="H250" s="1" t="s">
        <v>494</v>
      </c>
      <c r="I250" s="1" t="s">
        <v>318</v>
      </c>
      <c r="J250" s="1" t="s">
        <v>150</v>
      </c>
      <c r="K250" s="1" t="s">
        <v>150</v>
      </c>
      <c r="L250" s="1" t="s">
        <v>173</v>
      </c>
      <c r="N250" s="6">
        <v>1985.0</v>
      </c>
      <c r="O250" s="10">
        <f t="shared" ref="O250:R250" si="273">IFERROR(V250*INDEX($AH$4:$AH$8,MATCH($AA250,$AG$4:$AG$8,0)),"")</f>
        <v>1000000</v>
      </c>
      <c r="P250" s="10">
        <f t="shared" si="273"/>
        <v>1000000</v>
      </c>
      <c r="Q250" s="10">
        <f t="shared" si="273"/>
        <v>6080528.26</v>
      </c>
      <c r="R250" s="10">
        <f t="shared" si="273"/>
        <v>0</v>
      </c>
      <c r="S250" s="10">
        <f t="shared" si="4"/>
        <v>6080528.26</v>
      </c>
      <c r="T250" s="10">
        <f t="shared" si="5"/>
        <v>0</v>
      </c>
      <c r="U250" s="8">
        <v>37894.0</v>
      </c>
      <c r="V250" s="7">
        <v>1000000.0</v>
      </c>
      <c r="W250" s="7">
        <v>1000000.0</v>
      </c>
      <c r="X250" s="7">
        <v>6080528.26</v>
      </c>
      <c r="Y250" s="7">
        <v>0.0</v>
      </c>
      <c r="Z250" s="7">
        <v>0.0</v>
      </c>
      <c r="AA250" s="6" t="s">
        <v>52</v>
      </c>
      <c r="AB250" s="11" t="str">
        <f t="shared" si="6"/>
        <v>Exclude</v>
      </c>
    </row>
    <row r="251" ht="15.0" customHeight="1">
      <c r="B251" s="6">
        <f t="shared" si="8"/>
        <v>249</v>
      </c>
      <c r="C251" s="1" t="s">
        <v>495</v>
      </c>
      <c r="D251" s="1" t="str">
        <f t="shared" si="2"/>
        <v>VC &amp; Growth</v>
      </c>
      <c r="E251" s="1" t="s">
        <v>270</v>
      </c>
      <c r="F251" s="1" t="s">
        <v>43</v>
      </c>
      <c r="G251" s="1" t="s">
        <v>495</v>
      </c>
      <c r="H251" s="1" t="s">
        <v>494</v>
      </c>
      <c r="I251" s="1" t="s">
        <v>318</v>
      </c>
      <c r="J251" s="1" t="s">
        <v>150</v>
      </c>
      <c r="K251" s="1" t="s">
        <v>150</v>
      </c>
      <c r="L251" s="1" t="s">
        <v>173</v>
      </c>
      <c r="N251" s="6">
        <v>1992.0</v>
      </c>
      <c r="O251" s="10">
        <f t="shared" ref="O251:R251" si="274">IFERROR(V251*INDEX($AH$4:$AH$8,MATCH($AA251,$AG$4:$AG$8,0)),"")</f>
        <v>5000000</v>
      </c>
      <c r="P251" s="10">
        <f t="shared" si="274"/>
        <v>5000000</v>
      </c>
      <c r="Q251" s="10">
        <f t="shared" si="274"/>
        <v>27097659</v>
      </c>
      <c r="R251" s="10">
        <f t="shared" si="274"/>
        <v>0</v>
      </c>
      <c r="S251" s="10">
        <f t="shared" si="4"/>
        <v>27097659</v>
      </c>
      <c r="T251" s="10">
        <f t="shared" si="5"/>
        <v>0</v>
      </c>
      <c r="U251" s="8">
        <v>45589.0</v>
      </c>
      <c r="V251" s="7">
        <v>5000000.0</v>
      </c>
      <c r="W251" s="7">
        <v>5000000.0</v>
      </c>
      <c r="X251" s="7">
        <v>2.7097659E7</v>
      </c>
      <c r="Y251" s="7">
        <v>0.0</v>
      </c>
      <c r="Z251" s="7">
        <v>0.0</v>
      </c>
      <c r="AA251" s="6" t="s">
        <v>52</v>
      </c>
      <c r="AB251" s="11" t="str">
        <f t="shared" si="6"/>
        <v>Exclude</v>
      </c>
    </row>
    <row r="252" ht="15.0" customHeight="1">
      <c r="B252" s="6">
        <f t="shared" si="8"/>
        <v>250</v>
      </c>
      <c r="C252" s="1" t="s">
        <v>496</v>
      </c>
      <c r="D252" s="1" t="str">
        <f t="shared" si="2"/>
        <v>VC &amp; Growth</v>
      </c>
      <c r="E252" s="1" t="s">
        <v>270</v>
      </c>
      <c r="F252" s="1" t="s">
        <v>43</v>
      </c>
      <c r="G252" s="1" t="s">
        <v>496</v>
      </c>
      <c r="H252" s="1" t="s">
        <v>497</v>
      </c>
      <c r="I252" s="1" t="s">
        <v>318</v>
      </c>
      <c r="J252" s="1" t="s">
        <v>126</v>
      </c>
      <c r="K252" s="1" t="s">
        <v>126</v>
      </c>
      <c r="L252" s="1" t="s">
        <v>127</v>
      </c>
      <c r="N252" s="6">
        <v>1994.0</v>
      </c>
      <c r="O252" s="10">
        <f t="shared" ref="O252:R252" si="275">IFERROR(V252*INDEX($AH$4:$AH$8,MATCH($AA252,$AG$4:$AG$8,0)),"")</f>
        <v>25000000</v>
      </c>
      <c r="P252" s="10">
        <f t="shared" si="275"/>
        <v>25000000</v>
      </c>
      <c r="Q252" s="10">
        <f t="shared" si="275"/>
        <v>52261391.79</v>
      </c>
      <c r="R252" s="10">
        <f t="shared" si="275"/>
        <v>0</v>
      </c>
      <c r="S252" s="10">
        <f t="shared" si="4"/>
        <v>52261391.79</v>
      </c>
      <c r="T252" s="10">
        <f t="shared" si="5"/>
        <v>0</v>
      </c>
      <c r="U252" s="8">
        <v>38923.0</v>
      </c>
      <c r="V252" s="7">
        <v>2.5E7</v>
      </c>
      <c r="W252" s="7">
        <v>2.5E7</v>
      </c>
      <c r="X252" s="7">
        <v>5.226139179E7</v>
      </c>
      <c r="Y252" s="7">
        <v>0.0</v>
      </c>
      <c r="Z252" s="7">
        <v>0.0</v>
      </c>
      <c r="AA252" s="6" t="s">
        <v>52</v>
      </c>
      <c r="AB252" s="11" t="str">
        <f t="shared" si="6"/>
        <v>Exclude</v>
      </c>
    </row>
    <row r="253" ht="15.0" customHeight="1">
      <c r="B253" s="6">
        <f t="shared" si="8"/>
        <v>251</v>
      </c>
      <c r="C253" s="1" t="s">
        <v>498</v>
      </c>
      <c r="D253" s="1" t="str">
        <f t="shared" si="2"/>
        <v>VC &amp; Growth</v>
      </c>
      <c r="E253" s="1" t="s">
        <v>270</v>
      </c>
      <c r="F253" s="1" t="s">
        <v>43</v>
      </c>
      <c r="G253" s="1" t="s">
        <v>498</v>
      </c>
      <c r="H253" s="1" t="s">
        <v>499</v>
      </c>
      <c r="I253" s="1" t="s">
        <v>318</v>
      </c>
      <c r="J253" s="1" t="s">
        <v>150</v>
      </c>
      <c r="K253" s="1" t="s">
        <v>150</v>
      </c>
      <c r="L253" s="1" t="s">
        <v>470</v>
      </c>
      <c r="N253" s="6">
        <v>1993.0</v>
      </c>
      <c r="O253" s="10">
        <f t="shared" ref="O253:R253" si="276">IFERROR(V253*INDEX($AH$4:$AH$8,MATCH($AA253,$AG$4:$AG$8,0)),"")</f>
        <v>7350750</v>
      </c>
      <c r="P253" s="10">
        <f t="shared" si="276"/>
        <v>7350750</v>
      </c>
      <c r="Q253" s="10">
        <f t="shared" si="276"/>
        <v>4874315.77</v>
      </c>
      <c r="R253" s="10">
        <f t="shared" si="276"/>
        <v>0</v>
      </c>
      <c r="S253" s="10">
        <f t="shared" si="4"/>
        <v>4874315.77</v>
      </c>
      <c r="T253" s="10">
        <f t="shared" si="5"/>
        <v>0</v>
      </c>
      <c r="U253" s="8">
        <v>43921.0</v>
      </c>
      <c r="V253" s="7">
        <v>7350750.0</v>
      </c>
      <c r="W253" s="7">
        <v>7350750.0</v>
      </c>
      <c r="X253" s="7">
        <v>4874315.77</v>
      </c>
      <c r="Y253" s="7">
        <v>0.0</v>
      </c>
      <c r="Z253" s="7">
        <v>0.0</v>
      </c>
      <c r="AA253" s="6" t="s">
        <v>52</v>
      </c>
      <c r="AB253" s="11" t="str">
        <f t="shared" si="6"/>
        <v>Exclude</v>
      </c>
    </row>
    <row r="254" ht="15.0" customHeight="1">
      <c r="B254" s="6">
        <f t="shared" si="8"/>
        <v>252</v>
      </c>
      <c r="C254" s="1" t="s">
        <v>500</v>
      </c>
      <c r="D254" s="1" t="str">
        <f t="shared" si="2"/>
        <v>VC &amp; Growth</v>
      </c>
      <c r="E254" s="1" t="s">
        <v>270</v>
      </c>
      <c r="F254" s="1" t="s">
        <v>43</v>
      </c>
      <c r="G254" s="1" t="s">
        <v>500</v>
      </c>
      <c r="H254" s="1" t="s">
        <v>501</v>
      </c>
      <c r="I254" s="1" t="s">
        <v>318</v>
      </c>
      <c r="J254" s="1" t="s">
        <v>150</v>
      </c>
      <c r="K254" s="1" t="s">
        <v>150</v>
      </c>
      <c r="L254" s="1" t="s">
        <v>470</v>
      </c>
      <c r="N254" s="6">
        <v>1992.0</v>
      </c>
      <c r="O254" s="10">
        <f t="shared" ref="O254:R254" si="277">IFERROR(V254*INDEX($AH$4:$AH$8,MATCH($AA254,$AG$4:$AG$8,0)),"")</f>
        <v>10000000</v>
      </c>
      <c r="P254" s="10">
        <f t="shared" si="277"/>
        <v>10000000</v>
      </c>
      <c r="Q254" s="10">
        <f t="shared" si="277"/>
        <v>22111897.52</v>
      </c>
      <c r="R254" s="10">
        <f t="shared" si="277"/>
        <v>0</v>
      </c>
      <c r="S254" s="10">
        <f t="shared" si="4"/>
        <v>22111897.52</v>
      </c>
      <c r="T254" s="10">
        <f t="shared" si="5"/>
        <v>0</v>
      </c>
      <c r="U254" s="8">
        <v>39813.0</v>
      </c>
      <c r="V254" s="7">
        <v>1.0E7</v>
      </c>
      <c r="W254" s="7">
        <v>1.0E7</v>
      </c>
      <c r="X254" s="7">
        <v>2.211189752E7</v>
      </c>
      <c r="Y254" s="7">
        <v>0.0</v>
      </c>
      <c r="Z254" s="7">
        <v>0.0</v>
      </c>
      <c r="AA254" s="6" t="s">
        <v>52</v>
      </c>
      <c r="AB254" s="11" t="str">
        <f t="shared" si="6"/>
        <v>Exclude</v>
      </c>
    </row>
    <row r="255" ht="15.0" customHeight="1">
      <c r="B255" s="6">
        <f t="shared" si="8"/>
        <v>253</v>
      </c>
      <c r="C255" s="1" t="s">
        <v>502</v>
      </c>
      <c r="D255" s="1" t="str">
        <f t="shared" si="2"/>
        <v>VC &amp; Growth</v>
      </c>
      <c r="E255" s="1" t="s">
        <v>270</v>
      </c>
      <c r="F255" s="1" t="s">
        <v>43</v>
      </c>
      <c r="G255" s="1" t="s">
        <v>502</v>
      </c>
      <c r="H255" s="1" t="s">
        <v>208</v>
      </c>
      <c r="I255" s="1" t="s">
        <v>318</v>
      </c>
      <c r="J255" s="1" t="s">
        <v>150</v>
      </c>
      <c r="K255" s="1" t="s">
        <v>150</v>
      </c>
      <c r="L255" s="1" t="s">
        <v>123</v>
      </c>
      <c r="N255" s="6">
        <v>1993.0</v>
      </c>
      <c r="O255" s="10">
        <f t="shared" ref="O255:R255" si="278">IFERROR(V255*INDEX($AH$4:$AH$8,MATCH($AA255,$AG$4:$AG$8,0)),"")</f>
        <v>30000000</v>
      </c>
      <c r="P255" s="10">
        <f t="shared" si="278"/>
        <v>30000000</v>
      </c>
      <c r="Q255" s="10">
        <f t="shared" si="278"/>
        <v>66835232.81</v>
      </c>
      <c r="R255" s="10">
        <f t="shared" si="278"/>
        <v>0</v>
      </c>
      <c r="S255" s="10">
        <f t="shared" si="4"/>
        <v>66835232.81</v>
      </c>
      <c r="T255" s="10">
        <f t="shared" si="5"/>
        <v>0</v>
      </c>
      <c r="U255" s="8">
        <v>41270.0</v>
      </c>
      <c r="V255" s="7">
        <v>3.0E7</v>
      </c>
      <c r="W255" s="7">
        <v>3.0E7</v>
      </c>
      <c r="X255" s="7">
        <v>6.683523281E7</v>
      </c>
      <c r="Y255" s="7">
        <v>0.0</v>
      </c>
      <c r="Z255" s="7">
        <v>0.0</v>
      </c>
      <c r="AA255" s="6" t="s">
        <v>52</v>
      </c>
      <c r="AB255" s="11" t="str">
        <f t="shared" si="6"/>
        <v>Exclude</v>
      </c>
    </row>
    <row r="256" ht="15.0" customHeight="1">
      <c r="B256" s="6">
        <f t="shared" si="8"/>
        <v>254</v>
      </c>
      <c r="C256" s="1" t="s">
        <v>503</v>
      </c>
      <c r="D256" s="1" t="str">
        <f t="shared" si="2"/>
        <v>Private Equity</v>
      </c>
      <c r="E256" s="1" t="s">
        <v>43</v>
      </c>
      <c r="F256" s="1" t="s">
        <v>43</v>
      </c>
      <c r="G256" s="1" t="s">
        <v>503</v>
      </c>
      <c r="H256" s="1" t="s">
        <v>332</v>
      </c>
      <c r="I256" s="1" t="s">
        <v>318</v>
      </c>
      <c r="J256" s="1" t="s">
        <v>121</v>
      </c>
      <c r="K256" s="1" t="s">
        <v>122</v>
      </c>
      <c r="L256" s="1" t="s">
        <v>127</v>
      </c>
      <c r="N256" s="6">
        <v>1993.0</v>
      </c>
      <c r="O256" s="10">
        <f t="shared" ref="O256:R256" si="279">IFERROR(V256*INDEX($AH$4:$AH$8,MATCH($AA256,$AG$4:$AG$8,0)),"")</f>
        <v>24194356</v>
      </c>
      <c r="P256" s="10">
        <f t="shared" si="279"/>
        <v>24465437</v>
      </c>
      <c r="Q256" s="10">
        <f t="shared" si="279"/>
        <v>89300776.42</v>
      </c>
      <c r="R256" s="10">
        <f t="shared" si="279"/>
        <v>0</v>
      </c>
      <c r="S256" s="10">
        <f t="shared" si="4"/>
        <v>89300776.42</v>
      </c>
      <c r="T256" s="10">
        <f t="shared" si="5"/>
        <v>0</v>
      </c>
      <c r="U256" s="8">
        <v>39538.0</v>
      </c>
      <c r="V256" s="7">
        <v>2.4194356E7</v>
      </c>
      <c r="W256" s="7">
        <v>2.4465437E7</v>
      </c>
      <c r="X256" s="7">
        <v>8.930077642E7</v>
      </c>
      <c r="Y256" s="7">
        <v>0.0</v>
      </c>
      <c r="Z256" s="7">
        <v>0.0</v>
      </c>
      <c r="AA256" s="6" t="s">
        <v>52</v>
      </c>
      <c r="AB256" s="11" t="str">
        <f t="shared" si="6"/>
        <v>Exclude</v>
      </c>
    </row>
    <row r="257" ht="15.0" customHeight="1">
      <c r="B257" s="6">
        <f t="shared" si="8"/>
        <v>255</v>
      </c>
      <c r="C257" s="1" t="s">
        <v>504</v>
      </c>
      <c r="D257" s="1" t="str">
        <f t="shared" si="2"/>
        <v>Private Equity</v>
      </c>
      <c r="E257" s="1" t="s">
        <v>43</v>
      </c>
      <c r="F257" s="1" t="s">
        <v>43</v>
      </c>
      <c r="G257" s="1" t="s">
        <v>504</v>
      </c>
      <c r="H257" s="1" t="s">
        <v>505</v>
      </c>
      <c r="I257" s="1" t="s">
        <v>318</v>
      </c>
      <c r="J257" s="1" t="s">
        <v>121</v>
      </c>
      <c r="K257" s="1" t="s">
        <v>122</v>
      </c>
      <c r="L257" s="1" t="s">
        <v>123</v>
      </c>
      <c r="N257" s="6">
        <v>1996.0</v>
      </c>
      <c r="O257" s="10">
        <f t="shared" ref="O257:R257" si="280">IFERROR(V257*INDEX($AH$4:$AH$8,MATCH($AA257,$AG$4:$AG$8,0)),"")</f>
        <v>25000000</v>
      </c>
      <c r="P257" s="10">
        <f t="shared" si="280"/>
        <v>25004635</v>
      </c>
      <c r="Q257" s="10">
        <f t="shared" si="280"/>
        <v>53581016</v>
      </c>
      <c r="R257" s="10">
        <f t="shared" si="280"/>
        <v>0</v>
      </c>
      <c r="S257" s="10">
        <f t="shared" si="4"/>
        <v>53581016</v>
      </c>
      <c r="T257" s="10">
        <f t="shared" si="5"/>
        <v>0</v>
      </c>
      <c r="U257" s="8">
        <v>40816.0</v>
      </c>
      <c r="V257" s="7">
        <v>2.5E7</v>
      </c>
      <c r="W257" s="7">
        <v>2.5004635E7</v>
      </c>
      <c r="X257" s="7">
        <v>5.3581016E7</v>
      </c>
      <c r="Y257" s="7">
        <v>0.0</v>
      </c>
      <c r="Z257" s="7">
        <v>0.0</v>
      </c>
      <c r="AA257" s="6" t="s">
        <v>52</v>
      </c>
      <c r="AB257" s="11" t="str">
        <f t="shared" si="6"/>
        <v>Exclude</v>
      </c>
    </row>
    <row r="258" ht="15.0" customHeight="1">
      <c r="B258" s="6">
        <f t="shared" si="8"/>
        <v>256</v>
      </c>
      <c r="C258" s="1" t="s">
        <v>506</v>
      </c>
      <c r="D258" s="1" t="str">
        <f t="shared" si="2"/>
        <v>Private Equity</v>
      </c>
      <c r="E258" s="1" t="s">
        <v>43</v>
      </c>
      <c r="F258" s="1" t="s">
        <v>43</v>
      </c>
      <c r="G258" s="1" t="s">
        <v>506</v>
      </c>
      <c r="H258" s="1" t="s">
        <v>507</v>
      </c>
      <c r="I258" s="1" t="s">
        <v>318</v>
      </c>
      <c r="J258" s="1" t="s">
        <v>121</v>
      </c>
      <c r="K258" s="1" t="s">
        <v>122</v>
      </c>
      <c r="L258" s="1" t="s">
        <v>126</v>
      </c>
      <c r="N258" s="6">
        <v>1996.0</v>
      </c>
      <c r="O258" s="10">
        <f t="shared" ref="O258:R258" si="281">IFERROR(V258*INDEX($AH$4:$AH$8,MATCH($AA258,$AG$4:$AG$8,0)),"")</f>
        <v>40000000</v>
      </c>
      <c r="P258" s="10">
        <f t="shared" si="281"/>
        <v>39291287.19</v>
      </c>
      <c r="Q258" s="10">
        <f t="shared" si="281"/>
        <v>45875301.56</v>
      </c>
      <c r="R258" s="10">
        <f t="shared" si="281"/>
        <v>0</v>
      </c>
      <c r="S258" s="10">
        <f t="shared" si="4"/>
        <v>45875301.56</v>
      </c>
      <c r="T258" s="10">
        <f t="shared" si="5"/>
        <v>0</v>
      </c>
      <c r="U258" s="8">
        <v>43839.0</v>
      </c>
      <c r="V258" s="7">
        <v>4.0E7</v>
      </c>
      <c r="W258" s="7">
        <v>3.929128719E7</v>
      </c>
      <c r="X258" s="7">
        <v>4.587530156E7</v>
      </c>
      <c r="Y258" s="7">
        <v>0.0</v>
      </c>
      <c r="Z258" s="7">
        <v>0.0</v>
      </c>
      <c r="AA258" s="6" t="s">
        <v>52</v>
      </c>
      <c r="AB258" s="11" t="str">
        <f t="shared" si="6"/>
        <v>Exclude</v>
      </c>
    </row>
    <row r="259" ht="15.0" customHeight="1">
      <c r="B259" s="6">
        <f t="shared" si="8"/>
        <v>257</v>
      </c>
      <c r="C259" s="1" t="s">
        <v>508</v>
      </c>
      <c r="D259" s="1" t="str">
        <f t="shared" si="2"/>
        <v>VC &amp; Growth</v>
      </c>
      <c r="E259" s="1" t="s">
        <v>270</v>
      </c>
      <c r="F259" s="1" t="s">
        <v>43</v>
      </c>
      <c r="G259" s="1" t="s">
        <v>508</v>
      </c>
      <c r="H259" s="1" t="s">
        <v>509</v>
      </c>
      <c r="I259" s="1" t="s">
        <v>318</v>
      </c>
      <c r="J259" s="1" t="s">
        <v>150</v>
      </c>
      <c r="K259" s="1" t="s">
        <v>150</v>
      </c>
      <c r="L259" s="1" t="s">
        <v>173</v>
      </c>
      <c r="N259" s="6">
        <v>1997.0</v>
      </c>
      <c r="O259" s="10">
        <f t="shared" ref="O259:R259" si="282">IFERROR(V259*INDEX($AH$4:$AH$8,MATCH($AA259,$AG$4:$AG$8,0)),"")</f>
        <v>12500000</v>
      </c>
      <c r="P259" s="10">
        <f t="shared" si="282"/>
        <v>12500000</v>
      </c>
      <c r="Q259" s="10">
        <f t="shared" si="282"/>
        <v>22671838.3</v>
      </c>
      <c r="R259" s="10">
        <f t="shared" si="282"/>
        <v>177075</v>
      </c>
      <c r="S259" s="10">
        <f t="shared" si="4"/>
        <v>22848913.3</v>
      </c>
      <c r="T259" s="10">
        <f t="shared" si="5"/>
        <v>0</v>
      </c>
      <c r="U259" s="8">
        <v>46112.0</v>
      </c>
      <c r="V259" s="7">
        <v>1.25E7</v>
      </c>
      <c r="W259" s="7">
        <v>1.25E7</v>
      </c>
      <c r="X259" s="7">
        <v>2.26718383E7</v>
      </c>
      <c r="Y259" s="7">
        <v>177075.0</v>
      </c>
      <c r="Z259" s="7">
        <v>0.0</v>
      </c>
      <c r="AA259" s="6" t="s">
        <v>52</v>
      </c>
      <c r="AB259" s="11" t="str">
        <f t="shared" si="6"/>
        <v>Include</v>
      </c>
      <c r="AC259" s="1">
        <f>S259/P259</f>
        <v>1.827913064</v>
      </c>
    </row>
    <row r="260" ht="15.0" customHeight="1">
      <c r="B260" s="6">
        <f t="shared" si="8"/>
        <v>258</v>
      </c>
      <c r="C260" s="1" t="s">
        <v>510</v>
      </c>
      <c r="D260" s="1" t="str">
        <f t="shared" si="2"/>
        <v>VC &amp; Growth</v>
      </c>
      <c r="E260" s="1" t="s">
        <v>270</v>
      </c>
      <c r="F260" s="1" t="s">
        <v>43</v>
      </c>
      <c r="G260" s="1" t="s">
        <v>510</v>
      </c>
      <c r="H260" s="1" t="s">
        <v>149</v>
      </c>
      <c r="I260" s="1" t="s">
        <v>318</v>
      </c>
      <c r="J260" s="1" t="s">
        <v>150</v>
      </c>
      <c r="K260" s="1" t="s">
        <v>150</v>
      </c>
      <c r="L260" s="1" t="s">
        <v>151</v>
      </c>
      <c r="N260" s="6">
        <v>1997.0</v>
      </c>
      <c r="O260" s="10">
        <f t="shared" ref="O260:R260" si="283">IFERROR(V260*INDEX($AH$4:$AH$8,MATCH($AA260,$AG$4:$AG$8,0)),"")</f>
        <v>62500000</v>
      </c>
      <c r="P260" s="10">
        <f t="shared" si="283"/>
        <v>63285918</v>
      </c>
      <c r="Q260" s="10">
        <f t="shared" si="283"/>
        <v>43196319.99</v>
      </c>
      <c r="R260" s="10">
        <f t="shared" si="283"/>
        <v>0</v>
      </c>
      <c r="S260" s="10">
        <f t="shared" si="4"/>
        <v>43196319.99</v>
      </c>
      <c r="T260" s="10">
        <f t="shared" si="5"/>
        <v>0</v>
      </c>
      <c r="U260" s="8">
        <v>43921.0</v>
      </c>
      <c r="V260" s="7">
        <v>6.25E7</v>
      </c>
      <c r="W260" s="7">
        <v>6.3285918E7</v>
      </c>
      <c r="X260" s="7">
        <v>4.319631999E7</v>
      </c>
      <c r="Y260" s="7">
        <v>0.0</v>
      </c>
      <c r="Z260" s="7">
        <v>0.0</v>
      </c>
      <c r="AA260" s="6" t="s">
        <v>52</v>
      </c>
      <c r="AB260" s="11" t="str">
        <f t="shared" si="6"/>
        <v>Exclude</v>
      </c>
    </row>
    <row r="261" ht="15.0" customHeight="1">
      <c r="B261" s="6">
        <f t="shared" si="8"/>
        <v>259</v>
      </c>
      <c r="C261" s="1" t="s">
        <v>511</v>
      </c>
      <c r="D261" s="1" t="str">
        <f t="shared" si="2"/>
        <v>VC &amp; Growth</v>
      </c>
      <c r="E261" s="1" t="s">
        <v>270</v>
      </c>
      <c r="F261" s="1" t="s">
        <v>43</v>
      </c>
      <c r="G261" s="1" t="s">
        <v>511</v>
      </c>
      <c r="H261" s="1" t="s">
        <v>413</v>
      </c>
      <c r="I261" s="1" t="s">
        <v>318</v>
      </c>
      <c r="J261" s="1" t="s">
        <v>150</v>
      </c>
      <c r="K261" s="1" t="s">
        <v>274</v>
      </c>
      <c r="L261" s="1" t="s">
        <v>204</v>
      </c>
      <c r="N261" s="6">
        <v>1995.0</v>
      </c>
      <c r="O261" s="10">
        <f t="shared" ref="O261:R261" si="284">IFERROR(V261*INDEX($AH$4:$AH$8,MATCH($AA261,$AG$4:$AG$8,0)),"")</f>
        <v>49060283</v>
      </c>
      <c r="P261" s="10">
        <f t="shared" si="284"/>
        <v>48481948</v>
      </c>
      <c r="Q261" s="10">
        <f t="shared" si="284"/>
        <v>59576860.02</v>
      </c>
      <c r="R261" s="10">
        <f t="shared" si="284"/>
        <v>0</v>
      </c>
      <c r="S261" s="10">
        <f t="shared" si="4"/>
        <v>59576860.02</v>
      </c>
      <c r="T261" s="10">
        <f t="shared" si="5"/>
        <v>0</v>
      </c>
      <c r="U261" s="8">
        <v>45278.0</v>
      </c>
      <c r="V261" s="7">
        <v>4.9060283E7</v>
      </c>
      <c r="W261" s="7">
        <v>4.8481948E7</v>
      </c>
      <c r="X261" s="7">
        <v>5.957686002E7</v>
      </c>
      <c r="Y261" s="7">
        <v>0.0</v>
      </c>
      <c r="Z261" s="7">
        <v>0.0</v>
      </c>
      <c r="AA261" s="6" t="s">
        <v>52</v>
      </c>
      <c r="AB261" s="11" t="str">
        <f t="shared" si="6"/>
        <v>Exclude</v>
      </c>
    </row>
    <row r="262" ht="15.0" customHeight="1">
      <c r="B262" s="6">
        <f t="shared" si="8"/>
        <v>260</v>
      </c>
      <c r="C262" s="1" t="s">
        <v>512</v>
      </c>
      <c r="D262" s="1" t="str">
        <f t="shared" si="2"/>
        <v>Private Equity</v>
      </c>
      <c r="E262" s="1" t="s">
        <v>43</v>
      </c>
      <c r="F262" s="1" t="s">
        <v>43</v>
      </c>
      <c r="G262" s="1" t="s">
        <v>513</v>
      </c>
      <c r="H262" s="1" t="s">
        <v>514</v>
      </c>
      <c r="I262" s="1" t="s">
        <v>318</v>
      </c>
      <c r="J262" s="1" t="s">
        <v>121</v>
      </c>
      <c r="K262" s="1" t="s">
        <v>515</v>
      </c>
      <c r="L262" s="1" t="s">
        <v>89</v>
      </c>
      <c r="N262" s="6">
        <v>1996.0</v>
      </c>
      <c r="O262" s="10">
        <f t="shared" ref="O262:R262" si="285">IFERROR(V262*INDEX($AH$4:$AH$8,MATCH($AA262,$AG$4:$AG$8,0)),"")</f>
        <v>30000000</v>
      </c>
      <c r="P262" s="10">
        <f t="shared" si="285"/>
        <v>26883828</v>
      </c>
      <c r="Q262" s="10">
        <f t="shared" si="285"/>
        <v>39260072</v>
      </c>
      <c r="R262" s="10">
        <f t="shared" si="285"/>
        <v>0</v>
      </c>
      <c r="S262" s="10">
        <f t="shared" si="4"/>
        <v>39260072</v>
      </c>
      <c r="T262" s="10">
        <f t="shared" si="5"/>
        <v>0</v>
      </c>
      <c r="U262" s="8">
        <v>39437.0</v>
      </c>
      <c r="V262" s="7">
        <v>3.0E7</v>
      </c>
      <c r="W262" s="7">
        <v>2.6883828E7</v>
      </c>
      <c r="X262" s="7">
        <v>3.9260072E7</v>
      </c>
      <c r="Y262" s="7">
        <v>0.0</v>
      </c>
      <c r="Z262" s="7">
        <v>0.0</v>
      </c>
      <c r="AA262" s="6" t="s">
        <v>52</v>
      </c>
      <c r="AB262" s="11" t="str">
        <f t="shared" si="6"/>
        <v>Exclude</v>
      </c>
    </row>
    <row r="263" ht="15.0" customHeight="1">
      <c r="B263" s="6">
        <f t="shared" si="8"/>
        <v>261</v>
      </c>
      <c r="C263" s="1" t="s">
        <v>516</v>
      </c>
      <c r="D263" s="1" t="str">
        <f t="shared" si="2"/>
        <v>VC &amp; Growth</v>
      </c>
      <c r="E263" s="1" t="s">
        <v>270</v>
      </c>
      <c r="F263" s="1" t="s">
        <v>43</v>
      </c>
      <c r="G263" s="1" t="s">
        <v>516</v>
      </c>
      <c r="H263" s="1" t="s">
        <v>501</v>
      </c>
      <c r="I263" s="1" t="s">
        <v>318</v>
      </c>
      <c r="J263" s="1" t="s">
        <v>150</v>
      </c>
      <c r="K263" s="1" t="s">
        <v>150</v>
      </c>
      <c r="L263" s="1" t="s">
        <v>470</v>
      </c>
      <c r="N263" s="6">
        <v>1997.0</v>
      </c>
      <c r="O263" s="10">
        <f t="shared" ref="O263:R263" si="286">IFERROR(V263*INDEX($AH$4:$AH$8,MATCH($AA263,$AG$4:$AG$8,0)),"")</f>
        <v>50000000</v>
      </c>
      <c r="P263" s="10">
        <f t="shared" si="286"/>
        <v>50000000</v>
      </c>
      <c r="Q263" s="10">
        <f t="shared" si="286"/>
        <v>69245707.05</v>
      </c>
      <c r="R263" s="10">
        <f t="shared" si="286"/>
        <v>0</v>
      </c>
      <c r="S263" s="10">
        <f t="shared" si="4"/>
        <v>69245707.05</v>
      </c>
      <c r="T263" s="10">
        <f t="shared" si="5"/>
        <v>0</v>
      </c>
      <c r="U263" s="8">
        <v>40999.0</v>
      </c>
      <c r="V263" s="7">
        <v>5.0E7</v>
      </c>
      <c r="W263" s="7">
        <v>5.0E7</v>
      </c>
      <c r="X263" s="7">
        <v>6.924570705E7</v>
      </c>
      <c r="Y263" s="7">
        <v>0.0</v>
      </c>
      <c r="Z263" s="7">
        <v>0.0</v>
      </c>
      <c r="AA263" s="6" t="s">
        <v>52</v>
      </c>
      <c r="AB263" s="11" t="str">
        <f t="shared" si="6"/>
        <v>Exclude</v>
      </c>
    </row>
    <row r="264" ht="15.0" customHeight="1">
      <c r="B264" s="6">
        <f t="shared" si="8"/>
        <v>262</v>
      </c>
      <c r="C264" s="1" t="s">
        <v>517</v>
      </c>
      <c r="D264" s="1" t="str">
        <f t="shared" si="2"/>
        <v>Private Equity</v>
      </c>
      <c r="E264" s="1" t="s">
        <v>43</v>
      </c>
      <c r="F264" s="1" t="s">
        <v>43</v>
      </c>
      <c r="G264" s="1" t="s">
        <v>518</v>
      </c>
      <c r="H264" s="1" t="s">
        <v>519</v>
      </c>
      <c r="I264" s="1" t="s">
        <v>318</v>
      </c>
      <c r="J264" s="1" t="s">
        <v>121</v>
      </c>
      <c r="K264" s="1" t="s">
        <v>122</v>
      </c>
      <c r="L264" s="1" t="s">
        <v>127</v>
      </c>
      <c r="N264" s="6">
        <v>1997.0</v>
      </c>
      <c r="O264" s="10">
        <f t="shared" ref="O264:R264" si="287">IFERROR(V264*INDEX($AH$4:$AH$8,MATCH($AA264,$AG$4:$AG$8,0)),"")</f>
        <v>158552132.7</v>
      </c>
      <c r="P264" s="10">
        <f t="shared" si="287"/>
        <v>168556341.3</v>
      </c>
      <c r="Q264" s="10">
        <f t="shared" si="287"/>
        <v>220371512.5</v>
      </c>
      <c r="R264" s="10">
        <f t="shared" si="287"/>
        <v>0</v>
      </c>
      <c r="S264" s="10">
        <f t="shared" si="4"/>
        <v>220371512.5</v>
      </c>
      <c r="T264" s="10">
        <f t="shared" si="5"/>
        <v>0</v>
      </c>
      <c r="U264" s="8">
        <v>40543.0</v>
      </c>
      <c r="V264" s="7">
        <v>1.5855213267E8</v>
      </c>
      <c r="W264" s="7">
        <v>1.6855634125E8</v>
      </c>
      <c r="X264" s="7">
        <v>2.2037151251E8</v>
      </c>
      <c r="Y264" s="7">
        <v>0.0</v>
      </c>
      <c r="Z264" s="7">
        <v>0.0</v>
      </c>
      <c r="AA264" s="6" t="s">
        <v>52</v>
      </c>
      <c r="AB264" s="11" t="str">
        <f t="shared" si="6"/>
        <v>Exclude</v>
      </c>
    </row>
    <row r="265" ht="15.0" customHeight="1">
      <c r="B265" s="6">
        <f t="shared" si="8"/>
        <v>263</v>
      </c>
      <c r="C265" s="1" t="s">
        <v>520</v>
      </c>
      <c r="D265" s="1" t="str">
        <f t="shared" si="2"/>
        <v>Private Equity</v>
      </c>
      <c r="E265" s="1" t="s">
        <v>43</v>
      </c>
      <c r="F265" s="1" t="s">
        <v>43</v>
      </c>
      <c r="G265" s="1" t="s">
        <v>520</v>
      </c>
      <c r="H265" s="1" t="s">
        <v>332</v>
      </c>
      <c r="I265" s="1" t="s">
        <v>318</v>
      </c>
      <c r="J265" s="1" t="s">
        <v>121</v>
      </c>
      <c r="K265" s="1" t="s">
        <v>122</v>
      </c>
      <c r="L265" s="1" t="s">
        <v>127</v>
      </c>
      <c r="N265" s="6">
        <v>1997.0</v>
      </c>
      <c r="O265" s="10">
        <f t="shared" ref="O265:R265" si="288">IFERROR(V265*INDEX($AH$4:$AH$8,MATCH($AA265,$AG$4:$AG$8,0)),"")</f>
        <v>50000000</v>
      </c>
      <c r="P265" s="10">
        <f t="shared" si="288"/>
        <v>53854393</v>
      </c>
      <c r="Q265" s="10">
        <f t="shared" si="288"/>
        <v>91361723</v>
      </c>
      <c r="R265" s="10">
        <f t="shared" si="288"/>
        <v>0</v>
      </c>
      <c r="S265" s="10">
        <f t="shared" si="4"/>
        <v>91361723</v>
      </c>
      <c r="T265" s="10">
        <f t="shared" si="5"/>
        <v>0</v>
      </c>
      <c r="U265" s="8">
        <v>40893.0</v>
      </c>
      <c r="V265" s="7">
        <v>5.0E7</v>
      </c>
      <c r="W265" s="7">
        <v>5.3854393E7</v>
      </c>
      <c r="X265" s="7">
        <v>9.1361723E7</v>
      </c>
      <c r="Y265" s="7">
        <v>0.0</v>
      </c>
      <c r="Z265" s="7">
        <v>0.0</v>
      </c>
      <c r="AA265" s="6" t="s">
        <v>52</v>
      </c>
      <c r="AB265" s="11" t="str">
        <f t="shared" si="6"/>
        <v>Exclude</v>
      </c>
    </row>
    <row r="266" ht="15.0" customHeight="1">
      <c r="B266" s="6">
        <f t="shared" si="8"/>
        <v>264</v>
      </c>
      <c r="C266" s="1" t="s">
        <v>521</v>
      </c>
      <c r="D266" s="1" t="str">
        <f t="shared" si="2"/>
        <v>Private Equity</v>
      </c>
      <c r="E266" s="1" t="s">
        <v>43</v>
      </c>
      <c r="F266" s="1" t="s">
        <v>43</v>
      </c>
      <c r="G266" s="1" t="s">
        <v>521</v>
      </c>
      <c r="H266" s="1" t="s">
        <v>522</v>
      </c>
      <c r="I266" s="1" t="s">
        <v>318</v>
      </c>
      <c r="J266" s="1" t="s">
        <v>121</v>
      </c>
      <c r="K266" s="1" t="s">
        <v>122</v>
      </c>
      <c r="L266" s="1" t="s">
        <v>123</v>
      </c>
      <c r="N266" s="6">
        <v>1998.0</v>
      </c>
      <c r="O266" s="10">
        <f t="shared" ref="O266:R266" si="289">IFERROR(V266*INDEX($AH$4:$AH$8,MATCH($AA266,$AG$4:$AG$8,0)),"")</f>
        <v>56250000</v>
      </c>
      <c r="P266" s="10">
        <f t="shared" si="289"/>
        <v>55816076.92</v>
      </c>
      <c r="Q266" s="10">
        <f t="shared" si="289"/>
        <v>96375368.22</v>
      </c>
      <c r="R266" s="10">
        <f t="shared" si="289"/>
        <v>0</v>
      </c>
      <c r="S266" s="10">
        <f t="shared" si="4"/>
        <v>96375368.22</v>
      </c>
      <c r="T266" s="10">
        <f t="shared" si="5"/>
        <v>0</v>
      </c>
      <c r="U266" s="8">
        <v>42855.0</v>
      </c>
      <c r="V266" s="7">
        <v>5.625E7</v>
      </c>
      <c r="W266" s="7">
        <v>5.581607692E7</v>
      </c>
      <c r="X266" s="7">
        <v>9.637536822E7</v>
      </c>
      <c r="Y266" s="7">
        <v>0.0</v>
      </c>
      <c r="Z266" s="7">
        <v>0.0</v>
      </c>
      <c r="AA266" s="6" t="s">
        <v>52</v>
      </c>
      <c r="AB266" s="11" t="str">
        <f t="shared" si="6"/>
        <v>Exclude</v>
      </c>
    </row>
    <row r="267" ht="15.0" customHeight="1">
      <c r="B267" s="6">
        <f t="shared" si="8"/>
        <v>265</v>
      </c>
      <c r="C267" s="1" t="s">
        <v>523</v>
      </c>
      <c r="D267" s="1" t="str">
        <f t="shared" si="2"/>
        <v>Private Equity</v>
      </c>
      <c r="E267" s="1" t="s">
        <v>43</v>
      </c>
      <c r="F267" s="1" t="s">
        <v>43</v>
      </c>
      <c r="G267" s="1" t="s">
        <v>524</v>
      </c>
      <c r="H267" s="1" t="s">
        <v>525</v>
      </c>
      <c r="I267" s="1" t="s">
        <v>318</v>
      </c>
      <c r="J267" s="1" t="s">
        <v>121</v>
      </c>
      <c r="K267" s="1" t="s">
        <v>122</v>
      </c>
      <c r="L267" s="1" t="s">
        <v>123</v>
      </c>
      <c r="N267" s="6">
        <v>1996.0</v>
      </c>
      <c r="O267" s="10">
        <f t="shared" ref="O267:R267" si="290">IFERROR(V267*INDEX($AH$4:$AH$8,MATCH($AA267,$AG$4:$AG$8,0)),"")</f>
        <v>75000000</v>
      </c>
      <c r="P267" s="10">
        <f t="shared" si="290"/>
        <v>76336235.18</v>
      </c>
      <c r="Q267" s="10">
        <f t="shared" si="290"/>
        <v>69738856.42</v>
      </c>
      <c r="R267" s="10">
        <f t="shared" si="290"/>
        <v>0</v>
      </c>
      <c r="S267" s="10">
        <f t="shared" si="4"/>
        <v>69738856.42</v>
      </c>
      <c r="T267" s="10">
        <f t="shared" si="5"/>
        <v>0</v>
      </c>
      <c r="U267" s="8">
        <v>40086.0</v>
      </c>
      <c r="V267" s="7">
        <v>7.5E7</v>
      </c>
      <c r="W267" s="7">
        <v>7.633623518E7</v>
      </c>
      <c r="X267" s="7">
        <v>6.973885642E7</v>
      </c>
      <c r="Y267" s="7">
        <v>0.0</v>
      </c>
      <c r="Z267" s="7">
        <v>0.0</v>
      </c>
      <c r="AA267" s="6" t="s">
        <v>52</v>
      </c>
      <c r="AB267" s="11" t="str">
        <f t="shared" si="6"/>
        <v>Exclude</v>
      </c>
    </row>
    <row r="268" ht="15.0" customHeight="1">
      <c r="B268" s="6">
        <f t="shared" si="8"/>
        <v>266</v>
      </c>
      <c r="C268" s="1" t="s">
        <v>526</v>
      </c>
      <c r="D268" s="1" t="str">
        <f t="shared" si="2"/>
        <v>VC &amp; Growth</v>
      </c>
      <c r="E268" s="1" t="s">
        <v>270</v>
      </c>
      <c r="F268" s="1" t="s">
        <v>43</v>
      </c>
      <c r="G268" s="1" t="s">
        <v>527</v>
      </c>
      <c r="H268" s="1" t="s">
        <v>528</v>
      </c>
      <c r="I268" s="1" t="s">
        <v>318</v>
      </c>
      <c r="J268" s="1" t="s">
        <v>150</v>
      </c>
      <c r="K268" s="1" t="s">
        <v>150</v>
      </c>
      <c r="L268" s="1" t="s">
        <v>173</v>
      </c>
      <c r="N268" s="6">
        <v>1997.0</v>
      </c>
      <c r="O268" s="10">
        <f t="shared" ref="O268:R268" si="291">IFERROR(V268*INDEX($AH$4:$AH$8,MATCH($AA268,$AG$4:$AG$8,0)),"")</f>
        <v>30000000</v>
      </c>
      <c r="P268" s="10">
        <f t="shared" si="291"/>
        <v>29952000</v>
      </c>
      <c r="Q268" s="10">
        <f t="shared" si="291"/>
        <v>35662962.33</v>
      </c>
      <c r="R268" s="10">
        <f t="shared" si="291"/>
        <v>0</v>
      </c>
      <c r="S268" s="10">
        <f t="shared" si="4"/>
        <v>35662962.33</v>
      </c>
      <c r="T268" s="10">
        <f t="shared" si="5"/>
        <v>0</v>
      </c>
      <c r="U268" s="8">
        <v>43555.0</v>
      </c>
      <c r="V268" s="7">
        <v>3.0E7</v>
      </c>
      <c r="W268" s="7">
        <v>2.9952E7</v>
      </c>
      <c r="X268" s="7">
        <v>3.566296233E7</v>
      </c>
      <c r="Y268" s="7">
        <v>0.0</v>
      </c>
      <c r="Z268" s="7">
        <v>0.0</v>
      </c>
      <c r="AA268" s="6" t="s">
        <v>52</v>
      </c>
      <c r="AB268" s="11" t="str">
        <f t="shared" si="6"/>
        <v>Exclude</v>
      </c>
    </row>
    <row r="269" ht="15.0" customHeight="1">
      <c r="B269" s="6">
        <f t="shared" si="8"/>
        <v>267</v>
      </c>
      <c r="C269" s="1" t="s">
        <v>529</v>
      </c>
      <c r="D269" s="1" t="str">
        <f t="shared" si="2"/>
        <v>Private Equity</v>
      </c>
      <c r="E269" s="1" t="s">
        <v>43</v>
      </c>
      <c r="F269" s="1" t="s">
        <v>43</v>
      </c>
      <c r="G269" s="1" t="s">
        <v>529</v>
      </c>
      <c r="H269" s="1" t="s">
        <v>530</v>
      </c>
      <c r="I269" s="1" t="s">
        <v>318</v>
      </c>
      <c r="J269" s="1" t="s">
        <v>121</v>
      </c>
      <c r="K269" s="1" t="s">
        <v>122</v>
      </c>
      <c r="L269" s="1" t="s">
        <v>123</v>
      </c>
      <c r="N269" s="6">
        <v>1997.0</v>
      </c>
      <c r="O269" s="10">
        <f t="shared" ref="O269:R269" si="292">IFERROR(V269*INDEX($AH$4:$AH$8,MATCH($AA269,$AG$4:$AG$8,0)),"")</f>
        <v>100000000</v>
      </c>
      <c r="P269" s="10">
        <f t="shared" si="292"/>
        <v>76663757.56</v>
      </c>
      <c r="Q269" s="10">
        <f t="shared" si="292"/>
        <v>95813877.41</v>
      </c>
      <c r="R269" s="10">
        <f t="shared" si="292"/>
        <v>0</v>
      </c>
      <c r="S269" s="10">
        <f t="shared" si="4"/>
        <v>95813877.41</v>
      </c>
      <c r="T269" s="10">
        <f t="shared" si="5"/>
        <v>-0.46</v>
      </c>
      <c r="U269" s="8">
        <v>42735.0</v>
      </c>
      <c r="V269" s="7">
        <v>1.0E8</v>
      </c>
      <c r="W269" s="7">
        <v>7.666375756E7</v>
      </c>
      <c r="X269" s="7">
        <v>9.581387741E7</v>
      </c>
      <c r="Y269" s="7">
        <v>0.0</v>
      </c>
      <c r="Z269" s="7">
        <v>-0.46</v>
      </c>
      <c r="AA269" s="6" t="s">
        <v>52</v>
      </c>
      <c r="AB269" s="11" t="str">
        <f t="shared" si="6"/>
        <v>Exclude</v>
      </c>
    </row>
    <row r="270" ht="15.0" customHeight="1">
      <c r="B270" s="6">
        <f t="shared" si="8"/>
        <v>268</v>
      </c>
      <c r="C270" s="1" t="s">
        <v>531</v>
      </c>
      <c r="D270" s="1" t="str">
        <f t="shared" si="2"/>
        <v>Private Equity</v>
      </c>
      <c r="E270" s="1" t="s">
        <v>43</v>
      </c>
      <c r="F270" s="1" t="s">
        <v>43</v>
      </c>
      <c r="G270" s="1" t="s">
        <v>532</v>
      </c>
      <c r="H270" s="1" t="s">
        <v>532</v>
      </c>
      <c r="I270" s="1" t="s">
        <v>318</v>
      </c>
      <c r="J270" s="1" t="s">
        <v>121</v>
      </c>
      <c r="K270" s="1" t="s">
        <v>122</v>
      </c>
      <c r="L270" s="1" t="s">
        <v>123</v>
      </c>
      <c r="N270" s="6">
        <v>1997.0</v>
      </c>
      <c r="O270" s="10">
        <f t="shared" ref="O270:R270" si="293">IFERROR(V270*INDEX($AH$4:$AH$8,MATCH($AA270,$AG$4:$AG$8,0)),"")</f>
        <v>25000000</v>
      </c>
      <c r="P270" s="10">
        <f t="shared" si="293"/>
        <v>24729264</v>
      </c>
      <c r="Q270" s="10">
        <f t="shared" si="293"/>
        <v>21119037</v>
      </c>
      <c r="R270" s="10">
        <f t="shared" si="293"/>
        <v>0</v>
      </c>
      <c r="S270" s="10">
        <f t="shared" si="4"/>
        <v>21119037</v>
      </c>
      <c r="T270" s="10">
        <f t="shared" si="5"/>
        <v>0</v>
      </c>
      <c r="U270" s="8">
        <v>40359.0</v>
      </c>
      <c r="V270" s="7">
        <v>2.5E7</v>
      </c>
      <c r="W270" s="7">
        <v>2.4729264E7</v>
      </c>
      <c r="X270" s="7">
        <v>2.1119037E7</v>
      </c>
      <c r="Y270" s="7">
        <v>0.0</v>
      </c>
      <c r="Z270" s="7">
        <v>0.0</v>
      </c>
      <c r="AA270" s="6" t="s">
        <v>52</v>
      </c>
      <c r="AB270" s="11" t="str">
        <f t="shared" si="6"/>
        <v>Exclude</v>
      </c>
    </row>
    <row r="271" ht="15.0" customHeight="1">
      <c r="B271" s="6">
        <f t="shared" si="8"/>
        <v>269</v>
      </c>
      <c r="C271" s="1" t="s">
        <v>533</v>
      </c>
      <c r="D271" s="1" t="str">
        <f t="shared" si="2"/>
        <v>Private Equity</v>
      </c>
      <c r="E271" s="1" t="s">
        <v>43</v>
      </c>
      <c r="F271" s="1" t="s">
        <v>43</v>
      </c>
      <c r="G271" s="1" t="s">
        <v>533</v>
      </c>
      <c r="H271" s="1" t="s">
        <v>125</v>
      </c>
      <c r="I271" s="1" t="s">
        <v>318</v>
      </c>
      <c r="J271" s="1" t="s">
        <v>121</v>
      </c>
      <c r="K271" s="1" t="s">
        <v>122</v>
      </c>
      <c r="L271" s="1" t="s">
        <v>127</v>
      </c>
      <c r="N271" s="6">
        <v>1998.0</v>
      </c>
      <c r="O271" s="10">
        <f t="shared" ref="O271:R271" si="294">IFERROR(V271*INDEX($AH$4:$AH$8,MATCH($AA271,$AG$4:$AG$8,0)),"")</f>
        <v>79622624.1</v>
      </c>
      <c r="P271" s="10">
        <f t="shared" si="294"/>
        <v>75089014.11</v>
      </c>
      <c r="Q271" s="10">
        <f t="shared" si="294"/>
        <v>135888182.1</v>
      </c>
      <c r="R271" s="10">
        <f t="shared" si="294"/>
        <v>0</v>
      </c>
      <c r="S271" s="10">
        <f t="shared" si="4"/>
        <v>135888182.1</v>
      </c>
      <c r="T271" s="10">
        <f t="shared" si="5"/>
        <v>0.0028</v>
      </c>
      <c r="U271" s="8">
        <v>43921.0</v>
      </c>
      <c r="V271" s="7">
        <v>7.96226241E7</v>
      </c>
      <c r="W271" s="7">
        <v>7.50890141072E7</v>
      </c>
      <c r="X271" s="7">
        <v>1.3588818214E8</v>
      </c>
      <c r="Y271" s="7">
        <v>0.0</v>
      </c>
      <c r="Z271" s="7">
        <v>0.0028</v>
      </c>
      <c r="AA271" s="6" t="s">
        <v>52</v>
      </c>
      <c r="AB271" s="11" t="str">
        <f t="shared" si="6"/>
        <v>Exclude</v>
      </c>
    </row>
    <row r="272" ht="15.0" customHeight="1">
      <c r="B272" s="6">
        <f t="shared" si="8"/>
        <v>270</v>
      </c>
      <c r="C272" s="1" t="s">
        <v>534</v>
      </c>
      <c r="D272" s="1" t="str">
        <f t="shared" si="2"/>
        <v>Private Equity</v>
      </c>
      <c r="E272" s="1" t="s">
        <v>43</v>
      </c>
      <c r="F272" s="1" t="s">
        <v>43</v>
      </c>
      <c r="G272" s="1" t="s">
        <v>535</v>
      </c>
      <c r="H272" s="1" t="s">
        <v>530</v>
      </c>
      <c r="I272" s="1" t="s">
        <v>318</v>
      </c>
      <c r="J272" s="1" t="s">
        <v>121</v>
      </c>
      <c r="K272" s="1" t="s">
        <v>122</v>
      </c>
      <c r="L272" s="1" t="s">
        <v>127</v>
      </c>
      <c r="N272" s="6">
        <v>1998.0</v>
      </c>
      <c r="O272" s="10">
        <f t="shared" ref="O272:R272" si="295">IFERROR(V272*INDEX($AH$4:$AH$8,MATCH($AA272,$AG$4:$AG$8,0)),"")</f>
        <v>137172500</v>
      </c>
      <c r="P272" s="10">
        <f t="shared" si="295"/>
        <v>114692729.9</v>
      </c>
      <c r="Q272" s="10">
        <f t="shared" si="295"/>
        <v>32926360.27</v>
      </c>
      <c r="R272" s="10">
        <f t="shared" si="295"/>
        <v>0</v>
      </c>
      <c r="S272" s="10">
        <f t="shared" si="4"/>
        <v>32926360.27</v>
      </c>
      <c r="T272" s="10">
        <f t="shared" si="5"/>
        <v>0.4</v>
      </c>
      <c r="U272" s="8">
        <v>42004.0</v>
      </c>
      <c r="V272" s="7">
        <v>1.371725E8</v>
      </c>
      <c r="W272" s="7">
        <v>1.1469272994E8</v>
      </c>
      <c r="X272" s="7">
        <v>3.29263602749E7</v>
      </c>
      <c r="Y272" s="7">
        <v>0.0</v>
      </c>
      <c r="Z272" s="7">
        <v>0.4</v>
      </c>
      <c r="AA272" s="6" t="s">
        <v>52</v>
      </c>
      <c r="AB272" s="11" t="str">
        <f t="shared" si="6"/>
        <v>Exclude</v>
      </c>
    </row>
    <row r="273" ht="15.0" customHeight="1">
      <c r="B273" s="6">
        <f t="shared" si="8"/>
        <v>271</v>
      </c>
      <c r="C273" s="1" t="s">
        <v>536</v>
      </c>
      <c r="D273" s="1" t="str">
        <f t="shared" si="2"/>
        <v>Private Equity</v>
      </c>
      <c r="E273" s="1" t="s">
        <v>43</v>
      </c>
      <c r="F273" s="1" t="s">
        <v>43</v>
      </c>
      <c r="G273" s="1" t="s">
        <v>536</v>
      </c>
      <c r="H273" s="1" t="s">
        <v>537</v>
      </c>
      <c r="I273" s="1" t="s">
        <v>318</v>
      </c>
      <c r="J273" s="1" t="s">
        <v>121</v>
      </c>
      <c r="K273" s="1" t="s">
        <v>122</v>
      </c>
      <c r="L273" s="1" t="s">
        <v>127</v>
      </c>
      <c r="N273" s="6">
        <v>1998.0</v>
      </c>
      <c r="O273" s="10">
        <f t="shared" ref="O273:R273" si="296">IFERROR(V273*INDEX($AH$4:$AH$8,MATCH($AA273,$AG$4:$AG$8,0)),"")</f>
        <v>200000000</v>
      </c>
      <c r="P273" s="10">
        <f t="shared" si="296"/>
        <v>215035126.8</v>
      </c>
      <c r="Q273" s="10">
        <f t="shared" si="296"/>
        <v>213518173</v>
      </c>
      <c r="R273" s="10">
        <f t="shared" si="296"/>
        <v>0</v>
      </c>
      <c r="S273" s="10">
        <f t="shared" si="4"/>
        <v>213518173</v>
      </c>
      <c r="T273" s="10">
        <f t="shared" si="5"/>
        <v>0</v>
      </c>
      <c r="U273" s="8">
        <v>42735.0</v>
      </c>
      <c r="V273" s="7">
        <v>2.0E8</v>
      </c>
      <c r="W273" s="7">
        <v>2.1503512682E8</v>
      </c>
      <c r="X273" s="7">
        <v>2.1351817301E8</v>
      </c>
      <c r="Y273" s="7">
        <v>0.0</v>
      </c>
      <c r="Z273" s="7">
        <v>0.0</v>
      </c>
      <c r="AA273" s="6" t="s">
        <v>52</v>
      </c>
      <c r="AB273" s="11" t="str">
        <f t="shared" si="6"/>
        <v>Exclude</v>
      </c>
    </row>
    <row r="274" ht="15.0" customHeight="1">
      <c r="B274" s="6">
        <f t="shared" si="8"/>
        <v>272</v>
      </c>
      <c r="C274" s="1" t="s">
        <v>538</v>
      </c>
      <c r="D274" s="1" t="str">
        <f t="shared" si="2"/>
        <v>Private Equity</v>
      </c>
      <c r="E274" s="1" t="s">
        <v>43</v>
      </c>
      <c r="F274" s="1" t="s">
        <v>43</v>
      </c>
      <c r="G274" s="1" t="s">
        <v>538</v>
      </c>
      <c r="H274" s="1" t="s">
        <v>539</v>
      </c>
      <c r="I274" s="1" t="s">
        <v>318</v>
      </c>
      <c r="J274" s="1" t="s">
        <v>121</v>
      </c>
      <c r="K274" s="1" t="s">
        <v>540</v>
      </c>
      <c r="L274" s="1" t="s">
        <v>164</v>
      </c>
      <c r="N274" s="6">
        <v>1999.0</v>
      </c>
      <c r="O274" s="10">
        <f t="shared" ref="O274:R274" si="297">IFERROR(V274*INDEX($AH$4:$AH$8,MATCH($AA274,$AG$4:$AG$8,0)),"")</f>
        <v>57388755</v>
      </c>
      <c r="P274" s="10">
        <f t="shared" si="297"/>
        <v>56800352.34</v>
      </c>
      <c r="Q274" s="10">
        <f t="shared" si="297"/>
        <v>20530656</v>
      </c>
      <c r="R274" s="10">
        <f t="shared" si="297"/>
        <v>0</v>
      </c>
      <c r="S274" s="10">
        <f t="shared" si="4"/>
        <v>20530656</v>
      </c>
      <c r="T274" s="10">
        <f t="shared" si="5"/>
        <v>0</v>
      </c>
      <c r="U274" s="8">
        <v>40816.0</v>
      </c>
      <c r="V274" s="7">
        <v>5.7388755E7</v>
      </c>
      <c r="W274" s="7">
        <v>5.680035234E7</v>
      </c>
      <c r="X274" s="7">
        <v>2.0530656E7</v>
      </c>
      <c r="Y274" s="7">
        <v>0.0</v>
      </c>
      <c r="Z274" s="7">
        <v>0.0</v>
      </c>
      <c r="AA274" s="6" t="s">
        <v>52</v>
      </c>
      <c r="AB274" s="11" t="str">
        <f t="shared" si="6"/>
        <v>Exclude</v>
      </c>
    </row>
    <row r="275" ht="15.0" customHeight="1">
      <c r="B275" s="6">
        <f t="shared" si="8"/>
        <v>273</v>
      </c>
      <c r="C275" s="1" t="s">
        <v>541</v>
      </c>
      <c r="D275" s="1" t="str">
        <f t="shared" si="2"/>
        <v>Private Equity</v>
      </c>
      <c r="E275" s="1" t="s">
        <v>43</v>
      </c>
      <c r="F275" s="1" t="s">
        <v>43</v>
      </c>
      <c r="G275" s="1" t="s">
        <v>541</v>
      </c>
      <c r="H275" s="1" t="s">
        <v>542</v>
      </c>
      <c r="I275" s="1" t="s">
        <v>318</v>
      </c>
      <c r="J275" s="1" t="s">
        <v>121</v>
      </c>
      <c r="K275" s="1" t="s">
        <v>122</v>
      </c>
      <c r="L275" s="1" t="s">
        <v>151</v>
      </c>
      <c r="N275" s="6">
        <v>1999.0</v>
      </c>
      <c r="O275" s="10">
        <f t="shared" ref="O275:R275" si="298">IFERROR(V275*INDEX($AH$4:$AH$8,MATCH($AA275,$AG$4:$AG$8,0)),"")</f>
        <v>300000000</v>
      </c>
      <c r="P275" s="10">
        <f t="shared" si="298"/>
        <v>236925618</v>
      </c>
      <c r="Q275" s="10">
        <f t="shared" si="298"/>
        <v>478194010</v>
      </c>
      <c r="R275" s="10">
        <f t="shared" si="298"/>
        <v>0</v>
      </c>
      <c r="S275" s="10">
        <f t="shared" si="4"/>
        <v>478194010</v>
      </c>
      <c r="T275" s="10">
        <f t="shared" si="5"/>
        <v>0</v>
      </c>
      <c r="U275" s="8">
        <v>43281.0</v>
      </c>
      <c r="V275" s="7">
        <v>3.0E8</v>
      </c>
      <c r="W275" s="7">
        <v>2.36925618E8</v>
      </c>
      <c r="X275" s="7">
        <v>4.7819401E8</v>
      </c>
      <c r="Y275" s="7">
        <v>0.0</v>
      </c>
      <c r="Z275" s="7">
        <v>0.0</v>
      </c>
      <c r="AA275" s="6" t="s">
        <v>52</v>
      </c>
      <c r="AB275" s="11" t="str">
        <f t="shared" si="6"/>
        <v>Exclude</v>
      </c>
    </row>
    <row r="276" ht="15.0" customHeight="1">
      <c r="B276" s="6">
        <f t="shared" si="8"/>
        <v>274</v>
      </c>
      <c r="C276" s="1" t="s">
        <v>543</v>
      </c>
      <c r="D276" s="1" t="str">
        <f t="shared" si="2"/>
        <v>Private Equity</v>
      </c>
      <c r="E276" s="1" t="s">
        <v>43</v>
      </c>
      <c r="F276" s="1" t="s">
        <v>43</v>
      </c>
      <c r="G276" s="1" t="s">
        <v>544</v>
      </c>
      <c r="H276" s="1" t="s">
        <v>545</v>
      </c>
      <c r="I276" s="1" t="s">
        <v>318</v>
      </c>
      <c r="J276" s="1" t="s">
        <v>121</v>
      </c>
      <c r="K276" s="1" t="s">
        <v>122</v>
      </c>
      <c r="L276" s="1" t="s">
        <v>123</v>
      </c>
      <c r="N276" s="6">
        <v>1999.0</v>
      </c>
      <c r="O276" s="10">
        <f t="shared" ref="O276:R276" si="299">IFERROR(V276*INDEX($AH$4:$AH$8,MATCH($AA276,$AG$4:$AG$8,0)),"")</f>
        <v>50000000</v>
      </c>
      <c r="P276" s="10">
        <f t="shared" si="299"/>
        <v>43254008.01</v>
      </c>
      <c r="Q276" s="10">
        <f t="shared" si="299"/>
        <v>91626888</v>
      </c>
      <c r="R276" s="10">
        <f t="shared" si="299"/>
        <v>0</v>
      </c>
      <c r="S276" s="10">
        <f t="shared" si="4"/>
        <v>91626888</v>
      </c>
      <c r="T276" s="10">
        <f t="shared" si="5"/>
        <v>-0.01</v>
      </c>
      <c r="U276" s="8">
        <v>40359.0</v>
      </c>
      <c r="V276" s="7">
        <v>5.0E7</v>
      </c>
      <c r="W276" s="7">
        <v>4.325400801E7</v>
      </c>
      <c r="X276" s="7">
        <v>9.1626888E7</v>
      </c>
      <c r="Y276" s="7">
        <v>0.0</v>
      </c>
      <c r="Z276" s="7">
        <v>-0.01</v>
      </c>
      <c r="AA276" s="6" t="s">
        <v>52</v>
      </c>
      <c r="AB276" s="11" t="str">
        <f t="shared" si="6"/>
        <v>Exclude</v>
      </c>
    </row>
    <row r="277" ht="15.0" customHeight="1">
      <c r="B277" s="6">
        <f t="shared" si="8"/>
        <v>275</v>
      </c>
      <c r="C277" s="1" t="s">
        <v>546</v>
      </c>
      <c r="D277" s="1" t="str">
        <f t="shared" si="2"/>
        <v>VC &amp; Growth</v>
      </c>
      <c r="E277" s="1" t="s">
        <v>270</v>
      </c>
      <c r="F277" s="1" t="s">
        <v>43</v>
      </c>
      <c r="G277" s="1" t="s">
        <v>546</v>
      </c>
      <c r="H277" s="1" t="s">
        <v>547</v>
      </c>
      <c r="I277" s="1" t="s">
        <v>318</v>
      </c>
      <c r="J277" s="1" t="s">
        <v>126</v>
      </c>
      <c r="K277" s="1" t="s">
        <v>126</v>
      </c>
      <c r="L277" s="1" t="s">
        <v>126</v>
      </c>
      <c r="N277" s="6">
        <v>1999.0</v>
      </c>
      <c r="O277" s="10">
        <f t="shared" ref="O277:R277" si="300">IFERROR(V277*INDEX($AH$4:$AH$8,MATCH($AA277,$AG$4:$AG$8,0)),"")</f>
        <v>30141666</v>
      </c>
      <c r="P277" s="10">
        <f t="shared" si="300"/>
        <v>30357584</v>
      </c>
      <c r="Q277" s="10">
        <f t="shared" si="300"/>
        <v>36261799</v>
      </c>
      <c r="R277" s="10">
        <f t="shared" si="300"/>
        <v>106648</v>
      </c>
      <c r="S277" s="10">
        <f t="shared" si="4"/>
        <v>36368447</v>
      </c>
      <c r="T277" s="10">
        <f t="shared" si="5"/>
        <v>0</v>
      </c>
      <c r="U277" s="8">
        <v>46022.0</v>
      </c>
      <c r="V277" s="7">
        <v>3.0141666E7</v>
      </c>
      <c r="W277" s="7">
        <v>3.0357584E7</v>
      </c>
      <c r="X277" s="7">
        <v>3.6261799E7</v>
      </c>
      <c r="Y277" s="7">
        <v>106648.0</v>
      </c>
      <c r="Z277" s="7">
        <v>0.0</v>
      </c>
      <c r="AA277" s="6" t="s">
        <v>52</v>
      </c>
      <c r="AB277" s="11" t="str">
        <f t="shared" si="6"/>
        <v>Include</v>
      </c>
      <c r="AC277" s="1">
        <f>S277/P277</f>
        <v>1.198002022</v>
      </c>
    </row>
    <row r="278" ht="15.0" customHeight="1">
      <c r="B278" s="6">
        <f t="shared" si="8"/>
        <v>276</v>
      </c>
      <c r="C278" s="1" t="s">
        <v>548</v>
      </c>
      <c r="D278" s="1" t="str">
        <f t="shared" si="2"/>
        <v>Private Equity</v>
      </c>
      <c r="E278" s="1" t="s">
        <v>43</v>
      </c>
      <c r="F278" s="1" t="s">
        <v>43</v>
      </c>
      <c r="G278" s="1" t="s">
        <v>548</v>
      </c>
      <c r="H278" s="1" t="s">
        <v>549</v>
      </c>
      <c r="I278" s="1" t="s">
        <v>318</v>
      </c>
      <c r="J278" s="1" t="s">
        <v>121</v>
      </c>
      <c r="K278" s="1" t="s">
        <v>122</v>
      </c>
      <c r="L278" s="1" t="s">
        <v>123</v>
      </c>
      <c r="N278" s="6">
        <v>1999.0</v>
      </c>
      <c r="O278" s="10">
        <f t="shared" ref="O278:R278" si="301">IFERROR(V278*INDEX($AH$4:$AH$8,MATCH($AA278,$AG$4:$AG$8,0)),"")</f>
        <v>87500000</v>
      </c>
      <c r="P278" s="10">
        <f t="shared" si="301"/>
        <v>88962098</v>
      </c>
      <c r="Q278" s="10">
        <f t="shared" si="301"/>
        <v>115273448.9</v>
      </c>
      <c r="R278" s="10">
        <f t="shared" si="301"/>
        <v>0</v>
      </c>
      <c r="S278" s="10">
        <f t="shared" si="4"/>
        <v>115273448.9</v>
      </c>
      <c r="T278" s="10">
        <f t="shared" si="5"/>
        <v>0</v>
      </c>
      <c r="U278" s="8">
        <v>42004.0</v>
      </c>
      <c r="V278" s="7">
        <v>8.75E7</v>
      </c>
      <c r="W278" s="7">
        <v>8.8962098E7</v>
      </c>
      <c r="X278" s="7">
        <v>1.152734488915E8</v>
      </c>
      <c r="Y278" s="7">
        <v>0.0</v>
      </c>
      <c r="Z278" s="7">
        <v>0.0</v>
      </c>
      <c r="AA278" s="6" t="s">
        <v>52</v>
      </c>
      <c r="AB278" s="11" t="str">
        <f t="shared" si="6"/>
        <v>Exclude</v>
      </c>
    </row>
    <row r="279" ht="15.0" customHeight="1">
      <c r="B279" s="6">
        <f t="shared" si="8"/>
        <v>277</v>
      </c>
      <c r="C279" s="1" t="s">
        <v>550</v>
      </c>
      <c r="D279" s="1" t="str">
        <f t="shared" si="2"/>
        <v>Private Equity</v>
      </c>
      <c r="E279" s="1" t="s">
        <v>43</v>
      </c>
      <c r="F279" s="1" t="s">
        <v>43</v>
      </c>
      <c r="G279" s="1" t="s">
        <v>550</v>
      </c>
      <c r="H279" s="1" t="s">
        <v>551</v>
      </c>
      <c r="I279" s="1" t="s">
        <v>318</v>
      </c>
      <c r="J279" s="1" t="s">
        <v>121</v>
      </c>
      <c r="K279" s="1" t="s">
        <v>122</v>
      </c>
      <c r="L279" s="1" t="s">
        <v>123</v>
      </c>
      <c r="N279" s="6">
        <v>1998.0</v>
      </c>
      <c r="O279" s="10">
        <f t="shared" ref="O279:R279" si="302">IFERROR(V279*INDEX($AH$4:$AH$8,MATCH($AA279,$AG$4:$AG$8,0)),"")</f>
        <v>39000000</v>
      </c>
      <c r="P279" s="10">
        <f t="shared" si="302"/>
        <v>39000000</v>
      </c>
      <c r="Q279" s="10">
        <f t="shared" si="302"/>
        <v>23129094.94</v>
      </c>
      <c r="R279" s="10">
        <f t="shared" si="302"/>
        <v>0</v>
      </c>
      <c r="S279" s="10">
        <f t="shared" si="4"/>
        <v>23129094.94</v>
      </c>
      <c r="T279" s="10">
        <f t="shared" si="5"/>
        <v>0</v>
      </c>
      <c r="U279" s="8">
        <v>42004.0</v>
      </c>
      <c r="V279" s="7">
        <v>3.9E7</v>
      </c>
      <c r="W279" s="7">
        <v>3.9E7</v>
      </c>
      <c r="X279" s="7">
        <v>2.312909494E7</v>
      </c>
      <c r="Y279" s="7">
        <v>0.0</v>
      </c>
      <c r="Z279" s="7">
        <v>0.0</v>
      </c>
      <c r="AA279" s="6" t="s">
        <v>52</v>
      </c>
      <c r="AB279" s="11" t="str">
        <f t="shared" si="6"/>
        <v>Exclude</v>
      </c>
    </row>
    <row r="280" ht="15.0" customHeight="1">
      <c r="B280" s="6">
        <f t="shared" si="8"/>
        <v>278</v>
      </c>
      <c r="C280" s="1" t="s">
        <v>552</v>
      </c>
      <c r="D280" s="1" t="str">
        <f t="shared" si="2"/>
        <v>VC &amp; Growth</v>
      </c>
      <c r="E280" s="1" t="s">
        <v>270</v>
      </c>
      <c r="F280" s="1" t="s">
        <v>43</v>
      </c>
      <c r="G280" s="1" t="s">
        <v>552</v>
      </c>
      <c r="H280" s="1" t="s">
        <v>176</v>
      </c>
      <c r="I280" s="1" t="s">
        <v>318</v>
      </c>
      <c r="J280" s="1" t="s">
        <v>126</v>
      </c>
      <c r="K280" s="1" t="s">
        <v>126</v>
      </c>
      <c r="L280" s="1" t="s">
        <v>126</v>
      </c>
      <c r="N280" s="6">
        <v>1999.0</v>
      </c>
      <c r="O280" s="10">
        <f t="shared" ref="O280:R280" si="303">IFERROR(V280*INDEX($AH$4:$AH$8,MATCH($AA280,$AG$4:$AG$8,0)),"")</f>
        <v>200000000</v>
      </c>
      <c r="P280" s="10">
        <f t="shared" si="303"/>
        <v>205037640.4</v>
      </c>
      <c r="Q280" s="10">
        <f t="shared" si="303"/>
        <v>227005072.2</v>
      </c>
      <c r="R280" s="10">
        <f t="shared" si="303"/>
        <v>550273.23</v>
      </c>
      <c r="S280" s="10">
        <f t="shared" si="4"/>
        <v>227555345.5</v>
      </c>
      <c r="T280" s="10">
        <f t="shared" si="5"/>
        <v>0.35</v>
      </c>
      <c r="U280" s="8">
        <v>46112.0</v>
      </c>
      <c r="V280" s="7">
        <v>2.0E8</v>
      </c>
      <c r="W280" s="7">
        <v>2.0503764037E8</v>
      </c>
      <c r="X280" s="7">
        <v>2.2700507224E8</v>
      </c>
      <c r="Y280" s="7">
        <v>550273.23</v>
      </c>
      <c r="Z280" s="7">
        <v>0.35</v>
      </c>
      <c r="AA280" s="6" t="s">
        <v>52</v>
      </c>
      <c r="AB280" s="11" t="str">
        <f t="shared" si="6"/>
        <v>Include</v>
      </c>
      <c r="AC280" s="1">
        <f>S280/P280</f>
        <v>1.109822299</v>
      </c>
    </row>
    <row r="281" ht="15.0" customHeight="1">
      <c r="B281" s="6">
        <f t="shared" si="8"/>
        <v>279</v>
      </c>
      <c r="C281" s="1" t="s">
        <v>553</v>
      </c>
      <c r="D281" s="1" t="str">
        <f t="shared" si="2"/>
        <v>VC &amp; Growth</v>
      </c>
      <c r="E281" s="1" t="s">
        <v>270</v>
      </c>
      <c r="F281" s="1" t="s">
        <v>43</v>
      </c>
      <c r="G281" s="1" t="s">
        <v>553</v>
      </c>
      <c r="H281" s="1" t="s">
        <v>167</v>
      </c>
      <c r="I281" s="1" t="s">
        <v>318</v>
      </c>
      <c r="J281" s="1" t="s">
        <v>126</v>
      </c>
      <c r="K281" s="1" t="s">
        <v>126</v>
      </c>
      <c r="L281" s="1" t="s">
        <v>123</v>
      </c>
      <c r="N281" s="6">
        <v>1999.0</v>
      </c>
      <c r="O281" s="10">
        <f t="shared" ref="O281:R281" si="304">IFERROR(V281*INDEX($AH$4:$AH$8,MATCH($AA281,$AG$4:$AG$8,0)),"")</f>
        <v>62500000</v>
      </c>
      <c r="P281" s="10">
        <f t="shared" si="304"/>
        <v>61278857.03</v>
      </c>
      <c r="Q281" s="10">
        <f t="shared" si="304"/>
        <v>131534261.4</v>
      </c>
      <c r="R281" s="10">
        <f t="shared" si="304"/>
        <v>0</v>
      </c>
      <c r="S281" s="10">
        <f t="shared" si="4"/>
        <v>131534261.4</v>
      </c>
      <c r="T281" s="10">
        <f t="shared" si="5"/>
        <v>0</v>
      </c>
      <c r="U281" s="8">
        <v>43281.0</v>
      </c>
      <c r="V281" s="7">
        <v>6.25E7</v>
      </c>
      <c r="W281" s="7">
        <v>6.127885703E7</v>
      </c>
      <c r="X281" s="7">
        <v>1.3153426139E8</v>
      </c>
      <c r="Y281" s="7">
        <v>0.0</v>
      </c>
      <c r="Z281" s="7">
        <v>0.0</v>
      </c>
      <c r="AA281" s="6" t="s">
        <v>52</v>
      </c>
      <c r="AB281" s="11" t="str">
        <f t="shared" si="6"/>
        <v>Exclude</v>
      </c>
    </row>
    <row r="282" ht="15.0" customHeight="1">
      <c r="B282" s="6">
        <f t="shared" si="8"/>
        <v>280</v>
      </c>
      <c r="C282" s="1" t="s">
        <v>554</v>
      </c>
      <c r="D282" s="1" t="str">
        <f t="shared" si="2"/>
        <v>VC &amp; Growth</v>
      </c>
      <c r="E282" s="1" t="s">
        <v>270</v>
      </c>
      <c r="F282" s="1" t="s">
        <v>43</v>
      </c>
      <c r="G282" s="1" t="s">
        <v>554</v>
      </c>
      <c r="H282" s="1" t="s">
        <v>547</v>
      </c>
      <c r="I282" s="1" t="s">
        <v>318</v>
      </c>
      <c r="J282" s="1" t="s">
        <v>150</v>
      </c>
      <c r="K282" s="1" t="s">
        <v>150</v>
      </c>
      <c r="L282" s="1" t="s">
        <v>555</v>
      </c>
      <c r="N282" s="6">
        <v>2000.0</v>
      </c>
      <c r="O282" s="10">
        <f t="shared" ref="O282:R282" si="305">IFERROR(V282*INDEX($AH$4:$AH$8,MATCH($AA282,$AG$4:$AG$8,0)),"")</f>
        <v>135000000</v>
      </c>
      <c r="P282" s="10">
        <f t="shared" si="305"/>
        <v>135286750</v>
      </c>
      <c r="Q282" s="10">
        <f t="shared" si="305"/>
        <v>213328349.9</v>
      </c>
      <c r="R282" s="10">
        <f t="shared" si="305"/>
        <v>0</v>
      </c>
      <c r="S282" s="10">
        <f t="shared" si="4"/>
        <v>213328349.9</v>
      </c>
      <c r="T282" s="10">
        <f t="shared" si="5"/>
        <v>0</v>
      </c>
      <c r="U282" s="8">
        <v>45646.0</v>
      </c>
      <c r="V282" s="7">
        <v>1.35E8</v>
      </c>
      <c r="W282" s="7">
        <v>1.3528675E8</v>
      </c>
      <c r="X282" s="7">
        <v>2.1332834992E8</v>
      </c>
      <c r="Y282" s="7">
        <v>0.0</v>
      </c>
      <c r="Z282" s="7">
        <v>0.0</v>
      </c>
      <c r="AA282" s="6" t="s">
        <v>52</v>
      </c>
      <c r="AB282" s="11" t="str">
        <f t="shared" si="6"/>
        <v>Exclude</v>
      </c>
    </row>
    <row r="283" ht="15.0" customHeight="1">
      <c r="B283" s="6">
        <f t="shared" si="8"/>
        <v>281</v>
      </c>
      <c r="C283" s="1" t="s">
        <v>556</v>
      </c>
      <c r="D283" s="1" t="str">
        <f t="shared" si="2"/>
        <v>VC &amp; Growth</v>
      </c>
      <c r="E283" s="1" t="s">
        <v>270</v>
      </c>
      <c r="F283" s="1" t="s">
        <v>43</v>
      </c>
      <c r="G283" s="1" t="s">
        <v>556</v>
      </c>
      <c r="H283" s="1" t="s">
        <v>557</v>
      </c>
      <c r="I283" s="1" t="s">
        <v>318</v>
      </c>
      <c r="J283" s="1" t="s">
        <v>150</v>
      </c>
      <c r="K283" s="1" t="s">
        <v>150</v>
      </c>
      <c r="L283" s="1" t="s">
        <v>173</v>
      </c>
      <c r="N283" s="6">
        <v>1999.0</v>
      </c>
      <c r="O283" s="10">
        <f t="shared" ref="O283:R283" si="306">IFERROR(V283*INDEX($AH$4:$AH$8,MATCH($AA283,$AG$4:$AG$8,0)),"")</f>
        <v>13743333</v>
      </c>
      <c r="P283" s="10">
        <f t="shared" si="306"/>
        <v>13711864.02</v>
      </c>
      <c r="Q283" s="10">
        <f t="shared" si="306"/>
        <v>7298730.17</v>
      </c>
      <c r="R283" s="10">
        <f t="shared" si="306"/>
        <v>0</v>
      </c>
      <c r="S283" s="10">
        <f t="shared" si="4"/>
        <v>7298730.17</v>
      </c>
      <c r="T283" s="10">
        <f t="shared" si="5"/>
        <v>-0.02</v>
      </c>
      <c r="U283" s="8">
        <v>44286.0</v>
      </c>
      <c r="V283" s="7">
        <v>1.3743333E7</v>
      </c>
      <c r="W283" s="7">
        <v>1.371186402E7</v>
      </c>
      <c r="X283" s="7">
        <v>7298730.17</v>
      </c>
      <c r="Y283" s="7">
        <v>0.0</v>
      </c>
      <c r="Z283" s="7">
        <v>-0.02</v>
      </c>
      <c r="AA283" s="6" t="s">
        <v>52</v>
      </c>
      <c r="AB283" s="11" t="str">
        <f t="shared" si="6"/>
        <v>Exclude</v>
      </c>
    </row>
    <row r="284" ht="15.0" customHeight="1">
      <c r="B284" s="6">
        <f t="shared" si="8"/>
        <v>282</v>
      </c>
      <c r="C284" s="1" t="s">
        <v>558</v>
      </c>
      <c r="D284" s="1" t="str">
        <f t="shared" si="2"/>
        <v>Private Equity</v>
      </c>
      <c r="E284" s="1" t="s">
        <v>43</v>
      </c>
      <c r="F284" s="1" t="s">
        <v>43</v>
      </c>
      <c r="G284" s="1" t="s">
        <v>558</v>
      </c>
      <c r="H284" s="1" t="s">
        <v>558</v>
      </c>
      <c r="I284" s="1" t="s">
        <v>318</v>
      </c>
      <c r="J284" s="1" t="s">
        <v>121</v>
      </c>
      <c r="K284" s="1" t="s">
        <v>122</v>
      </c>
      <c r="L284" s="1" t="s">
        <v>123</v>
      </c>
      <c r="N284" s="6">
        <v>1999.0</v>
      </c>
      <c r="O284" s="10">
        <f t="shared" ref="O284:R284" si="307">IFERROR(V284*INDEX($AH$4:$AH$8,MATCH($AA284,$AG$4:$AG$8,0)),"")</f>
        <v>56671214</v>
      </c>
      <c r="P284" s="10">
        <f t="shared" si="307"/>
        <v>61946457.44</v>
      </c>
      <c r="Q284" s="10">
        <f t="shared" si="307"/>
        <v>82648446.73</v>
      </c>
      <c r="R284" s="10">
        <f t="shared" si="307"/>
        <v>0</v>
      </c>
      <c r="S284" s="10">
        <f t="shared" si="4"/>
        <v>82648446.73</v>
      </c>
      <c r="T284" s="10">
        <f t="shared" si="5"/>
        <v>-0.09</v>
      </c>
      <c r="U284" s="8">
        <v>42004.0</v>
      </c>
      <c r="V284" s="7">
        <v>5.6671214E7</v>
      </c>
      <c r="W284" s="7">
        <v>6.194645744E7</v>
      </c>
      <c r="X284" s="7">
        <v>8.26484467263E7</v>
      </c>
      <c r="Y284" s="7">
        <v>0.0</v>
      </c>
      <c r="Z284" s="7">
        <v>-0.09</v>
      </c>
      <c r="AA284" s="6" t="s">
        <v>52</v>
      </c>
      <c r="AB284" s="11" t="str">
        <f t="shared" si="6"/>
        <v>Exclude</v>
      </c>
    </row>
    <row r="285" ht="15.0" customHeight="1">
      <c r="B285" s="6">
        <f t="shared" si="8"/>
        <v>283</v>
      </c>
      <c r="C285" s="1" t="s">
        <v>559</v>
      </c>
      <c r="D285" s="1" t="str">
        <f t="shared" si="2"/>
        <v>Private Equity</v>
      </c>
      <c r="E285" s="1" t="s">
        <v>43</v>
      </c>
      <c r="F285" s="1" t="s">
        <v>43</v>
      </c>
      <c r="G285" s="1" t="s">
        <v>559</v>
      </c>
      <c r="H285" s="1" t="s">
        <v>560</v>
      </c>
      <c r="I285" s="1" t="s">
        <v>318</v>
      </c>
      <c r="J285" s="1" t="s">
        <v>121</v>
      </c>
      <c r="K285" s="1" t="s">
        <v>122</v>
      </c>
      <c r="L285" s="1" t="s">
        <v>127</v>
      </c>
      <c r="N285" s="6">
        <v>1999.0</v>
      </c>
      <c r="O285" s="10">
        <f t="shared" ref="O285:R285" si="308">IFERROR(V285*INDEX($AH$4:$AH$8,MATCH($AA285,$AG$4:$AG$8,0)),"")</f>
        <v>200000000</v>
      </c>
      <c r="P285" s="10">
        <f t="shared" si="308"/>
        <v>180960550.4</v>
      </c>
      <c r="Q285" s="10">
        <f t="shared" si="308"/>
        <v>224577100.5</v>
      </c>
      <c r="R285" s="10">
        <f t="shared" si="308"/>
        <v>0</v>
      </c>
      <c r="S285" s="10">
        <f t="shared" si="4"/>
        <v>224577100.5</v>
      </c>
      <c r="T285" s="10">
        <f t="shared" si="5"/>
        <v>0</v>
      </c>
      <c r="U285" s="8">
        <v>40359.0</v>
      </c>
      <c r="V285" s="7">
        <v>2.0E8</v>
      </c>
      <c r="W285" s="7">
        <v>1.809605504E8</v>
      </c>
      <c r="X285" s="7">
        <v>2.2457710048E8</v>
      </c>
      <c r="Y285" s="7">
        <v>0.0</v>
      </c>
      <c r="Z285" s="7">
        <v>0.0</v>
      </c>
      <c r="AA285" s="6" t="s">
        <v>52</v>
      </c>
      <c r="AB285" s="11" t="str">
        <f t="shared" si="6"/>
        <v>Exclude</v>
      </c>
    </row>
    <row r="286" ht="15.0" customHeight="1">
      <c r="B286" s="6">
        <f t="shared" si="8"/>
        <v>284</v>
      </c>
      <c r="C286" s="1" t="s">
        <v>561</v>
      </c>
      <c r="D286" s="1" t="str">
        <f t="shared" si="2"/>
        <v>Private Equity</v>
      </c>
      <c r="E286" s="1" t="s">
        <v>43</v>
      </c>
      <c r="F286" s="1" t="s">
        <v>43</v>
      </c>
      <c r="G286" s="1" t="s">
        <v>561</v>
      </c>
      <c r="H286" s="1" t="s">
        <v>562</v>
      </c>
      <c r="I286" s="1" t="s">
        <v>318</v>
      </c>
      <c r="J286" s="1" t="s">
        <v>121</v>
      </c>
      <c r="K286" s="1" t="s">
        <v>122</v>
      </c>
      <c r="L286" s="1" t="s">
        <v>123</v>
      </c>
      <c r="N286" s="6">
        <v>2000.0</v>
      </c>
      <c r="O286" s="10">
        <f t="shared" ref="O286:R286" si="309">IFERROR(V286*INDEX($AH$4:$AH$8,MATCH($AA286,$AG$4:$AG$8,0)),"")</f>
        <v>57750000</v>
      </c>
      <c r="P286" s="10">
        <f t="shared" si="309"/>
        <v>65355269.18</v>
      </c>
      <c r="Q286" s="10">
        <f t="shared" si="309"/>
        <v>140537008</v>
      </c>
      <c r="R286" s="10">
        <f t="shared" si="309"/>
        <v>0</v>
      </c>
      <c r="S286" s="10">
        <f t="shared" si="4"/>
        <v>140537008</v>
      </c>
      <c r="T286" s="10">
        <f t="shared" si="5"/>
        <v>-0.41</v>
      </c>
      <c r="U286" s="8">
        <v>43357.0</v>
      </c>
      <c r="V286" s="7">
        <v>5.775E7</v>
      </c>
      <c r="W286" s="7">
        <v>6.535526918E7</v>
      </c>
      <c r="X286" s="7">
        <v>1.4053700803E8</v>
      </c>
      <c r="Y286" s="7">
        <v>0.0</v>
      </c>
      <c r="Z286" s="7">
        <v>-0.41</v>
      </c>
      <c r="AA286" s="6" t="s">
        <v>52</v>
      </c>
      <c r="AB286" s="11" t="str">
        <f t="shared" si="6"/>
        <v>Exclude</v>
      </c>
    </row>
    <row r="287" ht="15.0" customHeight="1">
      <c r="B287" s="6">
        <f t="shared" si="8"/>
        <v>285</v>
      </c>
      <c r="C287" s="1" t="s">
        <v>563</v>
      </c>
      <c r="D287" s="1" t="str">
        <f t="shared" si="2"/>
        <v>Private Equity</v>
      </c>
      <c r="E287" s="1" t="s">
        <v>43</v>
      </c>
      <c r="F287" s="1" t="s">
        <v>43</v>
      </c>
      <c r="G287" s="1" t="s">
        <v>563</v>
      </c>
      <c r="H287" s="1" t="s">
        <v>563</v>
      </c>
      <c r="I287" s="1" t="s">
        <v>318</v>
      </c>
      <c r="J287" s="1" t="s">
        <v>121</v>
      </c>
      <c r="K287" s="1" t="s">
        <v>122</v>
      </c>
      <c r="L287" s="1" t="s">
        <v>123</v>
      </c>
      <c r="N287" s="6">
        <v>2000.0</v>
      </c>
      <c r="O287" s="10">
        <f t="shared" ref="O287:R287" si="310">IFERROR(V287*INDEX($AH$4:$AH$8,MATCH($AA287,$AG$4:$AG$8,0)),"")</f>
        <v>50000000</v>
      </c>
      <c r="P287" s="10">
        <f t="shared" si="310"/>
        <v>39967488</v>
      </c>
      <c r="Q287" s="10">
        <f t="shared" si="310"/>
        <v>63972890.77</v>
      </c>
      <c r="R287" s="10">
        <f t="shared" si="310"/>
        <v>0</v>
      </c>
      <c r="S287" s="10">
        <f t="shared" si="4"/>
        <v>63972890.77</v>
      </c>
      <c r="T287" s="10">
        <f t="shared" si="5"/>
        <v>0</v>
      </c>
      <c r="U287" s="8">
        <v>42004.0</v>
      </c>
      <c r="V287" s="7">
        <v>5.0E7</v>
      </c>
      <c r="W287" s="7">
        <v>3.9967488E7</v>
      </c>
      <c r="X287" s="7">
        <v>6.39728907729E7</v>
      </c>
      <c r="Y287" s="7">
        <v>0.0</v>
      </c>
      <c r="Z287" s="7">
        <v>0.0</v>
      </c>
      <c r="AA287" s="6" t="s">
        <v>52</v>
      </c>
      <c r="AB287" s="11" t="str">
        <f t="shared" si="6"/>
        <v>Exclude</v>
      </c>
    </row>
    <row r="288" ht="15.0" customHeight="1">
      <c r="B288" s="6">
        <f t="shared" si="8"/>
        <v>286</v>
      </c>
      <c r="C288" s="1" t="s">
        <v>564</v>
      </c>
      <c r="D288" s="1" t="str">
        <f t="shared" si="2"/>
        <v>VC &amp; Growth</v>
      </c>
      <c r="E288" s="1" t="s">
        <v>270</v>
      </c>
      <c r="F288" s="1" t="s">
        <v>43</v>
      </c>
      <c r="G288" s="1" t="s">
        <v>564</v>
      </c>
      <c r="H288" s="1" t="s">
        <v>528</v>
      </c>
      <c r="I288" s="1" t="s">
        <v>318</v>
      </c>
      <c r="J288" s="1" t="s">
        <v>150</v>
      </c>
      <c r="K288" s="1" t="s">
        <v>150</v>
      </c>
      <c r="L288" s="1" t="s">
        <v>173</v>
      </c>
      <c r="N288" s="6">
        <v>2000.0</v>
      </c>
      <c r="O288" s="10">
        <f t="shared" ref="O288:R288" si="311">IFERROR(V288*INDEX($AH$4:$AH$8,MATCH($AA288,$AG$4:$AG$8,0)),"")</f>
        <v>75000000</v>
      </c>
      <c r="P288" s="10">
        <f t="shared" si="311"/>
        <v>74775000</v>
      </c>
      <c r="Q288" s="10">
        <f t="shared" si="311"/>
        <v>16643432.48</v>
      </c>
      <c r="R288" s="10">
        <f t="shared" si="311"/>
        <v>0</v>
      </c>
      <c r="S288" s="10">
        <f t="shared" si="4"/>
        <v>16643432.48</v>
      </c>
      <c r="T288" s="10">
        <f t="shared" si="5"/>
        <v>0</v>
      </c>
      <c r="U288" s="8">
        <v>43830.0</v>
      </c>
      <c r="V288" s="7">
        <v>7.5E7</v>
      </c>
      <c r="W288" s="7">
        <v>7.4775E7</v>
      </c>
      <c r="X288" s="7">
        <v>1.664343248E7</v>
      </c>
      <c r="Y288" s="7">
        <v>0.0</v>
      </c>
      <c r="Z288" s="7">
        <v>0.0</v>
      </c>
      <c r="AA288" s="6" t="s">
        <v>52</v>
      </c>
      <c r="AB288" s="11" t="str">
        <f t="shared" si="6"/>
        <v>Exclude</v>
      </c>
    </row>
    <row r="289" ht="15.0" customHeight="1">
      <c r="B289" s="6">
        <f t="shared" si="8"/>
        <v>287</v>
      </c>
      <c r="C289" s="1" t="s">
        <v>565</v>
      </c>
      <c r="D289" s="1" t="str">
        <f t="shared" si="2"/>
        <v>Private Equity</v>
      </c>
      <c r="E289" s="1" t="s">
        <v>43</v>
      </c>
      <c r="F289" s="1" t="s">
        <v>43</v>
      </c>
      <c r="G289" s="1" t="s">
        <v>565</v>
      </c>
      <c r="H289" s="1" t="s">
        <v>522</v>
      </c>
      <c r="I289" s="1" t="s">
        <v>318</v>
      </c>
      <c r="J289" s="1" t="s">
        <v>121</v>
      </c>
      <c r="K289" s="1" t="s">
        <v>122</v>
      </c>
      <c r="L289" s="1" t="s">
        <v>123</v>
      </c>
      <c r="N289" s="6">
        <v>2000.0</v>
      </c>
      <c r="O289" s="10">
        <f t="shared" ref="O289:R289" si="312">IFERROR(V289*INDEX($AH$4:$AH$8,MATCH($AA289,$AG$4:$AG$8,0)),"")</f>
        <v>100000000</v>
      </c>
      <c r="P289" s="10">
        <f t="shared" si="312"/>
        <v>95025051</v>
      </c>
      <c r="Q289" s="10">
        <f t="shared" si="312"/>
        <v>206864610</v>
      </c>
      <c r="R289" s="10">
        <f t="shared" si="312"/>
        <v>0</v>
      </c>
      <c r="S289" s="10">
        <f t="shared" si="4"/>
        <v>206864610</v>
      </c>
      <c r="T289" s="10">
        <f t="shared" si="5"/>
        <v>0</v>
      </c>
      <c r="U289" s="8">
        <v>42004.0</v>
      </c>
      <c r="V289" s="7">
        <v>1.0E8</v>
      </c>
      <c r="W289" s="7">
        <v>9.5025051E7</v>
      </c>
      <c r="X289" s="7">
        <v>2.068646099613E8</v>
      </c>
      <c r="Y289" s="7">
        <v>0.0</v>
      </c>
      <c r="Z289" s="7">
        <v>0.0</v>
      </c>
      <c r="AA289" s="6" t="s">
        <v>52</v>
      </c>
      <c r="AB289" s="11" t="str">
        <f t="shared" si="6"/>
        <v>Exclude</v>
      </c>
    </row>
    <row r="290" ht="15.0" customHeight="1">
      <c r="B290" s="6">
        <f t="shared" si="8"/>
        <v>288</v>
      </c>
      <c r="C290" s="1" t="s">
        <v>566</v>
      </c>
      <c r="D290" s="1" t="str">
        <f t="shared" si="2"/>
        <v>Private Equity</v>
      </c>
      <c r="E290" s="1" t="s">
        <v>43</v>
      </c>
      <c r="F290" s="1" t="s">
        <v>43</v>
      </c>
      <c r="G290" s="1" t="s">
        <v>566</v>
      </c>
      <c r="H290" s="1" t="s">
        <v>125</v>
      </c>
      <c r="I290" s="1" t="s">
        <v>318</v>
      </c>
      <c r="J290" s="1" t="s">
        <v>121</v>
      </c>
      <c r="K290" s="1" t="s">
        <v>122</v>
      </c>
      <c r="L290" s="1" t="s">
        <v>123</v>
      </c>
      <c r="N290" s="6">
        <v>1998.0</v>
      </c>
      <c r="O290" s="10">
        <f t="shared" ref="O290:R290" si="313">IFERROR(V290*INDEX($AH$4:$AH$8,MATCH($AA290,$AG$4:$AG$8,0)),"")</f>
        <v>84714906.42</v>
      </c>
      <c r="P290" s="10">
        <f t="shared" si="313"/>
        <v>81276971.67</v>
      </c>
      <c r="Q290" s="10">
        <f t="shared" si="313"/>
        <v>166544189.2</v>
      </c>
      <c r="R290" s="10">
        <f t="shared" si="313"/>
        <v>0</v>
      </c>
      <c r="S290" s="10">
        <f t="shared" si="4"/>
        <v>166544189.2</v>
      </c>
      <c r="T290" s="10">
        <f t="shared" si="5"/>
        <v>-0.2225</v>
      </c>
      <c r="U290" s="8">
        <v>43921.0</v>
      </c>
      <c r="V290" s="7">
        <v>8.471490642E7</v>
      </c>
      <c r="W290" s="7">
        <v>8.12769716725E7</v>
      </c>
      <c r="X290" s="7">
        <v>1.6654418917E8</v>
      </c>
      <c r="Y290" s="7">
        <v>0.0</v>
      </c>
      <c r="Z290" s="7">
        <v>-0.2225</v>
      </c>
      <c r="AA290" s="6" t="s">
        <v>52</v>
      </c>
      <c r="AB290" s="11" t="str">
        <f t="shared" si="6"/>
        <v>Exclude</v>
      </c>
    </row>
    <row r="291" ht="15.0" customHeight="1">
      <c r="B291" s="6">
        <f t="shared" si="8"/>
        <v>289</v>
      </c>
      <c r="C291" s="1" t="s">
        <v>567</v>
      </c>
      <c r="D291" s="1" t="str">
        <f t="shared" si="2"/>
        <v>Private Equity</v>
      </c>
      <c r="E291" s="1" t="s">
        <v>43</v>
      </c>
      <c r="F291" s="1" t="s">
        <v>43</v>
      </c>
      <c r="G291" s="1" t="s">
        <v>567</v>
      </c>
      <c r="H291" s="1" t="s">
        <v>568</v>
      </c>
      <c r="I291" s="1" t="s">
        <v>318</v>
      </c>
      <c r="J291" s="1" t="s">
        <v>121</v>
      </c>
      <c r="K291" s="1" t="s">
        <v>122</v>
      </c>
      <c r="L291" s="1" t="s">
        <v>123</v>
      </c>
      <c r="N291" s="6">
        <v>2000.0</v>
      </c>
      <c r="O291" s="10">
        <f t="shared" ref="O291:R291" si="314">IFERROR(V291*INDEX($AH$4:$AH$8,MATCH($AA291,$AG$4:$AG$8,0)),"")</f>
        <v>203590000</v>
      </c>
      <c r="P291" s="10">
        <f t="shared" si="314"/>
        <v>204759024</v>
      </c>
      <c r="Q291" s="10">
        <f t="shared" si="314"/>
        <v>150709850.4</v>
      </c>
      <c r="R291" s="10">
        <f t="shared" si="314"/>
        <v>0</v>
      </c>
      <c r="S291" s="10">
        <f t="shared" si="4"/>
        <v>150709850.4</v>
      </c>
      <c r="T291" s="10">
        <f t="shared" si="5"/>
        <v>0</v>
      </c>
      <c r="U291" s="8">
        <v>42004.0</v>
      </c>
      <c r="V291" s="7">
        <v>2.0359E8</v>
      </c>
      <c r="W291" s="7">
        <v>2.04759024E8</v>
      </c>
      <c r="X291" s="7">
        <v>1.507098504455E8</v>
      </c>
      <c r="Y291" s="7">
        <v>0.0</v>
      </c>
      <c r="Z291" s="7">
        <v>0.0</v>
      </c>
      <c r="AA291" s="6" t="s">
        <v>52</v>
      </c>
      <c r="AB291" s="11" t="str">
        <f t="shared" si="6"/>
        <v>Exclude</v>
      </c>
    </row>
    <row r="292" ht="15.0" customHeight="1">
      <c r="B292" s="6">
        <f t="shared" si="8"/>
        <v>290</v>
      </c>
      <c r="C292" s="1" t="s">
        <v>569</v>
      </c>
      <c r="D292" s="1" t="str">
        <f t="shared" si="2"/>
        <v>VC &amp; Growth</v>
      </c>
      <c r="E292" s="1" t="s">
        <v>270</v>
      </c>
      <c r="F292" s="1" t="s">
        <v>43</v>
      </c>
      <c r="G292" s="1" t="s">
        <v>569</v>
      </c>
      <c r="H292" s="1" t="s">
        <v>519</v>
      </c>
      <c r="I292" s="1" t="s">
        <v>318</v>
      </c>
      <c r="J292" s="1" t="s">
        <v>150</v>
      </c>
      <c r="K292" s="1" t="s">
        <v>150</v>
      </c>
      <c r="L292" s="1" t="s">
        <v>151</v>
      </c>
      <c r="N292" s="6">
        <v>1999.0</v>
      </c>
      <c r="O292" s="10">
        <f t="shared" ref="O292:R292" si="315">IFERROR(V292*INDEX($AH$4:$AH$8,MATCH($AA292,$AG$4:$AG$8,0)),"")</f>
        <v>12500000</v>
      </c>
      <c r="P292" s="10">
        <f t="shared" si="315"/>
        <v>11442259.92</v>
      </c>
      <c r="Q292" s="10">
        <f t="shared" si="315"/>
        <v>5210204.88</v>
      </c>
      <c r="R292" s="10">
        <f t="shared" si="315"/>
        <v>0</v>
      </c>
      <c r="S292" s="10">
        <f t="shared" si="4"/>
        <v>5210204.88</v>
      </c>
      <c r="T292" s="10">
        <f t="shared" si="5"/>
        <v>0</v>
      </c>
      <c r="U292" s="8">
        <v>42369.0</v>
      </c>
      <c r="V292" s="7">
        <v>1.25E7</v>
      </c>
      <c r="W292" s="7">
        <v>1.144225992E7</v>
      </c>
      <c r="X292" s="7">
        <v>5210204.88</v>
      </c>
      <c r="Y292" s="7">
        <v>0.0</v>
      </c>
      <c r="Z292" s="7">
        <v>0.0</v>
      </c>
      <c r="AA292" s="6" t="s">
        <v>52</v>
      </c>
      <c r="AB292" s="11" t="str">
        <f t="shared" si="6"/>
        <v>Exclude</v>
      </c>
    </row>
    <row r="293" ht="15.0" customHeight="1">
      <c r="B293" s="6">
        <f t="shared" si="8"/>
        <v>291</v>
      </c>
      <c r="C293" s="1" t="s">
        <v>570</v>
      </c>
      <c r="D293" s="1" t="str">
        <f t="shared" si="2"/>
        <v>Private Equity</v>
      </c>
      <c r="E293" s="1" t="s">
        <v>43</v>
      </c>
      <c r="F293" s="1" t="s">
        <v>43</v>
      </c>
      <c r="G293" s="1" t="s">
        <v>570</v>
      </c>
      <c r="H293" s="1" t="s">
        <v>571</v>
      </c>
      <c r="I293" s="1" t="s">
        <v>318</v>
      </c>
      <c r="J293" s="1" t="s">
        <v>121</v>
      </c>
      <c r="K293" s="1" t="s">
        <v>122</v>
      </c>
      <c r="L293" s="1" t="s">
        <v>123</v>
      </c>
      <c r="N293" s="6">
        <v>2001.0</v>
      </c>
      <c r="O293" s="10">
        <f t="shared" ref="O293:R293" si="316">IFERROR(V293*INDEX($AH$4:$AH$8,MATCH($AA293,$AG$4:$AG$8,0)),"")</f>
        <v>24083333</v>
      </c>
      <c r="P293" s="10">
        <f t="shared" si="316"/>
        <v>23706041.13</v>
      </c>
      <c r="Q293" s="10">
        <f t="shared" si="316"/>
        <v>27060085.03</v>
      </c>
      <c r="R293" s="10">
        <f t="shared" si="316"/>
        <v>0</v>
      </c>
      <c r="S293" s="10">
        <f t="shared" si="4"/>
        <v>27060085.03</v>
      </c>
      <c r="T293" s="10">
        <f t="shared" si="5"/>
        <v>0</v>
      </c>
      <c r="U293" s="8">
        <v>42916.0</v>
      </c>
      <c r="V293" s="7">
        <v>2.4083333E7</v>
      </c>
      <c r="W293" s="7">
        <v>2.370604113E7</v>
      </c>
      <c r="X293" s="7">
        <v>2.706008503E7</v>
      </c>
      <c r="Y293" s="7">
        <v>0.0</v>
      </c>
      <c r="Z293" s="7">
        <v>0.0</v>
      </c>
      <c r="AA293" s="6" t="s">
        <v>52</v>
      </c>
      <c r="AB293" s="11" t="str">
        <f t="shared" si="6"/>
        <v>Exclude</v>
      </c>
    </row>
    <row r="294" ht="15.0" customHeight="1">
      <c r="B294" s="6">
        <f t="shared" si="8"/>
        <v>292</v>
      </c>
      <c r="C294" s="1" t="s">
        <v>572</v>
      </c>
      <c r="D294" s="1" t="str">
        <f t="shared" si="2"/>
        <v>Private Equity</v>
      </c>
      <c r="E294" s="1" t="s">
        <v>43</v>
      </c>
      <c r="F294" s="1" t="s">
        <v>43</v>
      </c>
      <c r="G294" s="1" t="s">
        <v>572</v>
      </c>
      <c r="H294" s="1" t="s">
        <v>383</v>
      </c>
      <c r="I294" s="1" t="s">
        <v>318</v>
      </c>
      <c r="J294" s="1" t="s">
        <v>121</v>
      </c>
      <c r="K294" s="1" t="s">
        <v>92</v>
      </c>
      <c r="L294" s="1" t="s">
        <v>573</v>
      </c>
      <c r="N294" s="6">
        <v>2001.0</v>
      </c>
      <c r="O294" s="10">
        <f t="shared" ref="O294:R294" si="317">IFERROR(V294*INDEX($AH$4:$AH$8,MATCH($AA294,$AG$4:$AG$8,0)),"")</f>
        <v>125000000</v>
      </c>
      <c r="P294" s="10">
        <f t="shared" si="317"/>
        <v>125448253</v>
      </c>
      <c r="Q294" s="10">
        <f t="shared" si="317"/>
        <v>198385914</v>
      </c>
      <c r="R294" s="10">
        <f t="shared" si="317"/>
        <v>0</v>
      </c>
      <c r="S294" s="10">
        <f t="shared" si="4"/>
        <v>198385914</v>
      </c>
      <c r="T294" s="10">
        <f t="shared" si="5"/>
        <v>0</v>
      </c>
      <c r="U294" s="8">
        <v>40633.0</v>
      </c>
      <c r="V294" s="7">
        <v>1.25E8</v>
      </c>
      <c r="W294" s="7">
        <v>1.25448253E8</v>
      </c>
      <c r="X294" s="7">
        <v>1.98385914E8</v>
      </c>
      <c r="Y294" s="7">
        <v>0.0</v>
      </c>
      <c r="Z294" s="7">
        <v>0.0</v>
      </c>
      <c r="AA294" s="6" t="s">
        <v>52</v>
      </c>
      <c r="AB294" s="11" t="str">
        <f t="shared" si="6"/>
        <v>Exclude</v>
      </c>
    </row>
    <row r="295" ht="15.0" customHeight="1">
      <c r="B295" s="6">
        <f t="shared" si="8"/>
        <v>293</v>
      </c>
      <c r="C295" s="1" t="s">
        <v>574</v>
      </c>
      <c r="D295" s="1" t="str">
        <f t="shared" si="2"/>
        <v>Private Equity</v>
      </c>
      <c r="E295" s="1" t="s">
        <v>43</v>
      </c>
      <c r="F295" s="1" t="s">
        <v>43</v>
      </c>
      <c r="G295" s="1" t="s">
        <v>574</v>
      </c>
      <c r="H295" s="1" t="s">
        <v>537</v>
      </c>
      <c r="I295" s="1" t="s">
        <v>318</v>
      </c>
      <c r="J295" s="1" t="s">
        <v>164</v>
      </c>
      <c r="K295" s="1" t="s">
        <v>92</v>
      </c>
      <c r="L295" s="1" t="s">
        <v>575</v>
      </c>
      <c r="N295" s="6">
        <v>2000.0</v>
      </c>
      <c r="O295" s="10">
        <f t="shared" ref="O295:R295" si="318">IFERROR(V295*INDEX($AH$4:$AH$8,MATCH($AA295,$AG$4:$AG$8,0)),"")</f>
        <v>280000000</v>
      </c>
      <c r="P295" s="10">
        <f t="shared" si="318"/>
        <v>279170771.2</v>
      </c>
      <c r="Q295" s="10">
        <f t="shared" si="318"/>
        <v>430168227.1</v>
      </c>
      <c r="R295" s="10">
        <f t="shared" si="318"/>
        <v>0</v>
      </c>
      <c r="S295" s="10">
        <f t="shared" si="4"/>
        <v>430168227.1</v>
      </c>
      <c r="T295" s="10">
        <f t="shared" si="5"/>
        <v>-0.16</v>
      </c>
      <c r="U295" s="8">
        <v>44286.0</v>
      </c>
      <c r="V295" s="7">
        <v>2.8E8</v>
      </c>
      <c r="W295" s="7">
        <v>2.7917077116E8</v>
      </c>
      <c r="X295" s="7">
        <v>4.3016822706E8</v>
      </c>
      <c r="Y295" s="7">
        <v>0.0</v>
      </c>
      <c r="Z295" s="7">
        <v>-0.16</v>
      </c>
      <c r="AA295" s="6" t="s">
        <v>52</v>
      </c>
      <c r="AB295" s="11" t="str">
        <f t="shared" si="6"/>
        <v>Exclude</v>
      </c>
    </row>
    <row r="296" ht="15.0" customHeight="1">
      <c r="B296" s="6">
        <f t="shared" si="8"/>
        <v>294</v>
      </c>
      <c r="C296" s="1" t="s">
        <v>576</v>
      </c>
      <c r="D296" s="1" t="str">
        <f t="shared" si="2"/>
        <v>Private Equity</v>
      </c>
      <c r="E296" s="1" t="s">
        <v>43</v>
      </c>
      <c r="F296" s="1" t="s">
        <v>43</v>
      </c>
      <c r="G296" s="1" t="s">
        <v>576</v>
      </c>
      <c r="H296" s="1" t="s">
        <v>37</v>
      </c>
      <c r="I296" s="1" t="s">
        <v>318</v>
      </c>
      <c r="J296" s="1" t="s">
        <v>121</v>
      </c>
      <c r="K296" s="1" t="s">
        <v>274</v>
      </c>
      <c r="L296" s="1" t="s">
        <v>204</v>
      </c>
      <c r="N296" s="6">
        <v>2001.0</v>
      </c>
      <c r="O296" s="10">
        <f t="shared" ref="O296:R296" si="319">IFERROR(V296*INDEX($AH$4:$AH$8,MATCH($AA296,$AG$4:$AG$8,0)),"")</f>
        <v>200000000</v>
      </c>
      <c r="P296" s="10">
        <f t="shared" si="319"/>
        <v>194622576</v>
      </c>
      <c r="Q296" s="10">
        <f t="shared" si="319"/>
        <v>308908304.6</v>
      </c>
      <c r="R296" s="10">
        <f t="shared" si="319"/>
        <v>0</v>
      </c>
      <c r="S296" s="10">
        <f t="shared" si="4"/>
        <v>308908304.6</v>
      </c>
      <c r="T296" s="10">
        <f t="shared" si="5"/>
        <v>0</v>
      </c>
      <c r="U296" s="8">
        <v>42735.0</v>
      </c>
      <c r="V296" s="7">
        <v>2.0E8</v>
      </c>
      <c r="W296" s="7">
        <v>1.94622576E8</v>
      </c>
      <c r="X296" s="7">
        <v>3.0890830464E8</v>
      </c>
      <c r="Y296" s="7">
        <v>0.0</v>
      </c>
      <c r="Z296" s="7">
        <v>0.0</v>
      </c>
      <c r="AA296" s="6" t="s">
        <v>52</v>
      </c>
      <c r="AB296" s="11" t="str">
        <f t="shared" si="6"/>
        <v>Exclude</v>
      </c>
    </row>
    <row r="297" ht="15.0" customHeight="1">
      <c r="B297" s="6">
        <f t="shared" si="8"/>
        <v>295</v>
      </c>
      <c r="C297" s="1" t="s">
        <v>577</v>
      </c>
      <c r="D297" s="1" t="str">
        <f t="shared" si="2"/>
        <v>VC &amp; Growth</v>
      </c>
      <c r="E297" s="1" t="s">
        <v>270</v>
      </c>
      <c r="F297" s="1" t="s">
        <v>43</v>
      </c>
      <c r="G297" s="1" t="s">
        <v>577</v>
      </c>
      <c r="H297" s="1" t="s">
        <v>149</v>
      </c>
      <c r="I297" s="1" t="s">
        <v>318</v>
      </c>
      <c r="J297" s="1" t="s">
        <v>150</v>
      </c>
      <c r="K297" s="1" t="s">
        <v>150</v>
      </c>
      <c r="L297" s="1" t="s">
        <v>151</v>
      </c>
      <c r="N297" s="6">
        <v>2000.0</v>
      </c>
      <c r="O297" s="10">
        <f t="shared" ref="O297:R297" si="320">IFERROR(V297*INDEX($AH$4:$AH$8,MATCH($AA297,$AG$4:$AG$8,0)),"")</f>
        <v>125000000</v>
      </c>
      <c r="P297" s="10">
        <f t="shared" si="320"/>
        <v>129614995</v>
      </c>
      <c r="Q297" s="10">
        <f t="shared" si="320"/>
        <v>55172308.54</v>
      </c>
      <c r="R297" s="10">
        <f t="shared" si="320"/>
        <v>0</v>
      </c>
      <c r="S297" s="10">
        <f t="shared" si="4"/>
        <v>55172308.54</v>
      </c>
      <c r="T297" s="10">
        <f t="shared" si="5"/>
        <v>0</v>
      </c>
      <c r="U297" s="8">
        <v>45840.0</v>
      </c>
      <c r="V297" s="7">
        <v>1.25E8</v>
      </c>
      <c r="W297" s="7">
        <v>1.29614995E8</v>
      </c>
      <c r="X297" s="7">
        <v>5.517230854E7</v>
      </c>
      <c r="Y297" s="7">
        <v>0.0</v>
      </c>
      <c r="Z297" s="7">
        <v>0.0</v>
      </c>
      <c r="AA297" s="6" t="s">
        <v>52</v>
      </c>
      <c r="AB297" s="11" t="str">
        <f t="shared" si="6"/>
        <v>Exclude</v>
      </c>
    </row>
    <row r="298" ht="15.0" customHeight="1">
      <c r="B298" s="6">
        <f t="shared" si="8"/>
        <v>296</v>
      </c>
      <c r="C298" s="1" t="s">
        <v>578</v>
      </c>
      <c r="D298" s="1" t="str">
        <f t="shared" si="2"/>
        <v>Private Equity</v>
      </c>
      <c r="E298" s="1" t="s">
        <v>43</v>
      </c>
      <c r="F298" s="1" t="s">
        <v>43</v>
      </c>
      <c r="G298" s="1" t="s">
        <v>578</v>
      </c>
      <c r="H298" s="1" t="s">
        <v>137</v>
      </c>
      <c r="I298" s="1" t="s">
        <v>318</v>
      </c>
      <c r="J298" s="1" t="s">
        <v>121</v>
      </c>
      <c r="K298" s="1" t="s">
        <v>122</v>
      </c>
      <c r="L298" s="1" t="s">
        <v>123</v>
      </c>
      <c r="N298" s="6">
        <v>2001.0</v>
      </c>
      <c r="O298" s="10">
        <f t="shared" ref="O298:R298" si="321">IFERROR(V298*INDEX($AH$4:$AH$8,MATCH($AA298,$AG$4:$AG$8,0)),"")</f>
        <v>192509033</v>
      </c>
      <c r="P298" s="10">
        <f t="shared" si="321"/>
        <v>161121249</v>
      </c>
      <c r="Q298" s="10">
        <f t="shared" si="321"/>
        <v>243188690</v>
      </c>
      <c r="R298" s="10">
        <f t="shared" si="321"/>
        <v>0</v>
      </c>
      <c r="S298" s="10">
        <f t="shared" si="4"/>
        <v>243188690</v>
      </c>
      <c r="T298" s="10">
        <f t="shared" si="5"/>
        <v>0</v>
      </c>
      <c r="U298" s="8">
        <v>42735.0</v>
      </c>
      <c r="V298" s="7">
        <v>1.92509033E8</v>
      </c>
      <c r="W298" s="7">
        <v>1.61121249E8</v>
      </c>
      <c r="X298" s="7">
        <v>2.4318869E8</v>
      </c>
      <c r="Y298" s="7">
        <v>0.0</v>
      </c>
      <c r="Z298" s="7">
        <v>0.0</v>
      </c>
      <c r="AA298" s="6" t="s">
        <v>52</v>
      </c>
      <c r="AB298" s="11" t="str">
        <f t="shared" si="6"/>
        <v>Exclude</v>
      </c>
    </row>
    <row r="299" ht="15.0" customHeight="1">
      <c r="B299" s="6">
        <f t="shared" si="8"/>
        <v>297</v>
      </c>
      <c r="C299" s="1" t="s">
        <v>579</v>
      </c>
      <c r="D299" s="1" t="str">
        <f t="shared" si="2"/>
        <v>Private Equity</v>
      </c>
      <c r="E299" s="1" t="s">
        <v>43</v>
      </c>
      <c r="F299" s="1" t="s">
        <v>43</v>
      </c>
      <c r="G299" s="1" t="s">
        <v>579</v>
      </c>
      <c r="H299" s="1" t="s">
        <v>580</v>
      </c>
      <c r="I299" s="1" t="s">
        <v>318</v>
      </c>
      <c r="J299" s="1" t="s">
        <v>121</v>
      </c>
      <c r="K299" s="1" t="s">
        <v>122</v>
      </c>
      <c r="L299" s="1" t="s">
        <v>123</v>
      </c>
      <c r="N299" s="6">
        <v>2001.0</v>
      </c>
      <c r="O299" s="10">
        <f t="shared" ref="O299:R299" si="322">IFERROR(V299*INDEX($AH$4:$AH$8,MATCH($AA299,$AG$4:$AG$8,0)),"")</f>
        <v>270422415</v>
      </c>
      <c r="P299" s="10">
        <f t="shared" si="322"/>
        <v>225438094.1</v>
      </c>
      <c r="Q299" s="10">
        <f t="shared" si="322"/>
        <v>386739733</v>
      </c>
      <c r="R299" s="10">
        <f t="shared" si="322"/>
        <v>0</v>
      </c>
      <c r="S299" s="10">
        <f t="shared" si="4"/>
        <v>386739733</v>
      </c>
      <c r="T299" s="10">
        <f t="shared" si="5"/>
        <v>0</v>
      </c>
      <c r="U299" s="8">
        <v>42916.0</v>
      </c>
      <c r="V299" s="7">
        <v>2.70422415E8</v>
      </c>
      <c r="W299" s="7">
        <v>2.2543809405E8</v>
      </c>
      <c r="X299" s="7">
        <v>3.86739733E8</v>
      </c>
      <c r="Y299" s="7">
        <v>0.0</v>
      </c>
      <c r="Z299" s="7">
        <v>0.0</v>
      </c>
      <c r="AA299" s="6" t="s">
        <v>52</v>
      </c>
      <c r="AB299" s="11" t="str">
        <f t="shared" si="6"/>
        <v>Exclude</v>
      </c>
    </row>
    <row r="300" ht="15.0" customHeight="1">
      <c r="B300" s="6">
        <f t="shared" si="8"/>
        <v>298</v>
      </c>
      <c r="C300" s="1" t="s">
        <v>581</v>
      </c>
      <c r="D300" s="1" t="str">
        <f t="shared" si="2"/>
        <v>Private Equity</v>
      </c>
      <c r="E300" s="1" t="s">
        <v>43</v>
      </c>
      <c r="F300" s="1" t="s">
        <v>43</v>
      </c>
      <c r="G300" s="1" t="s">
        <v>581</v>
      </c>
      <c r="H300" s="1" t="s">
        <v>582</v>
      </c>
      <c r="I300" s="1" t="s">
        <v>318</v>
      </c>
      <c r="J300" s="1" t="s">
        <v>121</v>
      </c>
      <c r="K300" s="1" t="s">
        <v>515</v>
      </c>
      <c r="L300" s="1" t="s">
        <v>583</v>
      </c>
      <c r="N300" s="6">
        <v>2001.0</v>
      </c>
      <c r="O300" s="10">
        <f t="shared" ref="O300:R300" si="323">IFERROR(V300*INDEX($AH$4:$AH$8,MATCH($AA300,$AG$4:$AG$8,0)),"")</f>
        <v>75000000</v>
      </c>
      <c r="P300" s="10">
        <f t="shared" si="323"/>
        <v>63450303.92</v>
      </c>
      <c r="Q300" s="10">
        <f t="shared" si="323"/>
        <v>95943900.41</v>
      </c>
      <c r="R300" s="10">
        <f t="shared" si="323"/>
        <v>0</v>
      </c>
      <c r="S300" s="10">
        <f t="shared" si="4"/>
        <v>95943900.41</v>
      </c>
      <c r="T300" s="10">
        <f t="shared" si="5"/>
        <v>0</v>
      </c>
      <c r="U300" s="8">
        <v>42735.0</v>
      </c>
      <c r="V300" s="7">
        <v>7.5E7</v>
      </c>
      <c r="W300" s="7">
        <v>6.345030392E7</v>
      </c>
      <c r="X300" s="7">
        <v>9.594390041E7</v>
      </c>
      <c r="Y300" s="7">
        <v>0.0</v>
      </c>
      <c r="Z300" s="7">
        <v>0.0</v>
      </c>
      <c r="AA300" s="6" t="s">
        <v>52</v>
      </c>
      <c r="AB300" s="11" t="str">
        <f t="shared" si="6"/>
        <v>Exclude</v>
      </c>
    </row>
    <row r="301" ht="15.0" customHeight="1">
      <c r="B301" s="6">
        <f t="shared" si="8"/>
        <v>299</v>
      </c>
      <c r="C301" s="1" t="s">
        <v>584</v>
      </c>
      <c r="D301" s="1" t="str">
        <f t="shared" si="2"/>
        <v>Private Equity</v>
      </c>
      <c r="E301" s="1" t="s">
        <v>43</v>
      </c>
      <c r="F301" s="1" t="s">
        <v>43</v>
      </c>
      <c r="G301" s="1" t="s">
        <v>584</v>
      </c>
      <c r="H301" s="1" t="s">
        <v>585</v>
      </c>
      <c r="I301" s="1" t="s">
        <v>318</v>
      </c>
      <c r="J301" s="1" t="s">
        <v>121</v>
      </c>
      <c r="K301" s="1" t="s">
        <v>122</v>
      </c>
      <c r="L301" s="1" t="s">
        <v>123</v>
      </c>
      <c r="N301" s="6">
        <v>2001.0</v>
      </c>
      <c r="O301" s="10">
        <f t="shared" ref="O301:R301" si="324">IFERROR(V301*INDEX($AH$4:$AH$8,MATCH($AA301,$AG$4:$AG$8,0)),"")</f>
        <v>300000000</v>
      </c>
      <c r="P301" s="10">
        <f t="shared" si="324"/>
        <v>286104810.9</v>
      </c>
      <c r="Q301" s="10">
        <f t="shared" si="324"/>
        <v>463396374.5</v>
      </c>
      <c r="R301" s="10">
        <f t="shared" si="324"/>
        <v>0</v>
      </c>
      <c r="S301" s="10">
        <f t="shared" si="4"/>
        <v>463396374.5</v>
      </c>
      <c r="T301" s="10">
        <f t="shared" si="5"/>
        <v>0.43</v>
      </c>
      <c r="U301" s="8">
        <v>44184.0</v>
      </c>
      <c r="V301" s="7">
        <v>3.0E8</v>
      </c>
      <c r="W301" s="7">
        <v>2.8610481094E8</v>
      </c>
      <c r="X301" s="7">
        <v>4.6339637449E8</v>
      </c>
      <c r="Y301" s="7">
        <v>0.0</v>
      </c>
      <c r="Z301" s="7">
        <v>0.43</v>
      </c>
      <c r="AA301" s="6" t="s">
        <v>52</v>
      </c>
      <c r="AB301" s="11" t="str">
        <f t="shared" si="6"/>
        <v>Exclude</v>
      </c>
    </row>
    <row r="302" ht="15.0" customHeight="1">
      <c r="B302" s="6">
        <f t="shared" si="8"/>
        <v>300</v>
      </c>
      <c r="C302" s="1" t="s">
        <v>586</v>
      </c>
      <c r="D302" s="1" t="str">
        <f t="shared" si="2"/>
        <v>VC &amp; Growth</v>
      </c>
      <c r="E302" s="1" t="s">
        <v>270</v>
      </c>
      <c r="F302" s="1" t="s">
        <v>43</v>
      </c>
      <c r="G302" s="1" t="s">
        <v>586</v>
      </c>
      <c r="H302" s="1" t="s">
        <v>587</v>
      </c>
      <c r="I302" s="1" t="s">
        <v>318</v>
      </c>
      <c r="J302" s="1" t="s">
        <v>150</v>
      </c>
      <c r="K302" s="1" t="s">
        <v>150</v>
      </c>
      <c r="L302" s="1" t="s">
        <v>151</v>
      </c>
      <c r="N302" s="6">
        <v>2000.0</v>
      </c>
      <c r="O302" s="10">
        <f t="shared" ref="O302:R302" si="325">IFERROR(V302*INDEX($AH$4:$AH$8,MATCH($AA302,$AG$4:$AG$8,0)),"")</f>
        <v>33986000</v>
      </c>
      <c r="P302" s="10">
        <f t="shared" si="325"/>
        <v>36115022</v>
      </c>
      <c r="Q302" s="10">
        <f t="shared" si="325"/>
        <v>39440529.48</v>
      </c>
      <c r="R302" s="10">
        <f t="shared" si="325"/>
        <v>0</v>
      </c>
      <c r="S302" s="10">
        <f t="shared" si="4"/>
        <v>39440529.48</v>
      </c>
      <c r="T302" s="10">
        <f t="shared" si="5"/>
        <v>0</v>
      </c>
      <c r="U302" s="8">
        <v>45370.0</v>
      </c>
      <c r="V302" s="7">
        <v>3.3986E7</v>
      </c>
      <c r="W302" s="7">
        <v>3.6115022E7</v>
      </c>
      <c r="X302" s="7">
        <v>3.944052948E7</v>
      </c>
      <c r="Y302" s="7">
        <v>0.0</v>
      </c>
      <c r="Z302" s="7">
        <v>0.0</v>
      </c>
      <c r="AA302" s="6" t="s">
        <v>52</v>
      </c>
      <c r="AB302" s="11" t="str">
        <f t="shared" si="6"/>
        <v>Exclude</v>
      </c>
    </row>
    <row r="303" ht="15.0" customHeight="1">
      <c r="B303" s="6">
        <f t="shared" si="8"/>
        <v>301</v>
      </c>
      <c r="C303" s="1" t="s">
        <v>588</v>
      </c>
      <c r="D303" s="1" t="str">
        <f t="shared" si="2"/>
        <v>Private Equity</v>
      </c>
      <c r="E303" s="1" t="s">
        <v>43</v>
      </c>
      <c r="F303" s="1" t="s">
        <v>43</v>
      </c>
      <c r="G303" s="1" t="s">
        <v>588</v>
      </c>
      <c r="H303" s="1" t="s">
        <v>190</v>
      </c>
      <c r="I303" s="1" t="s">
        <v>318</v>
      </c>
      <c r="J303" s="1" t="s">
        <v>121</v>
      </c>
      <c r="K303" s="1" t="s">
        <v>122</v>
      </c>
      <c r="L303" s="1" t="s">
        <v>123</v>
      </c>
      <c r="N303" s="6">
        <v>2001.0</v>
      </c>
      <c r="O303" s="10">
        <f t="shared" ref="O303:R303" si="326">IFERROR(V303*INDEX($AH$4:$AH$8,MATCH($AA303,$AG$4:$AG$8,0)),"")</f>
        <v>43154458</v>
      </c>
      <c r="P303" s="10">
        <f t="shared" si="326"/>
        <v>39619635.68</v>
      </c>
      <c r="Q303" s="10">
        <f t="shared" si="326"/>
        <v>77640378.45</v>
      </c>
      <c r="R303" s="10">
        <f t="shared" si="326"/>
        <v>0</v>
      </c>
      <c r="S303" s="10">
        <f t="shared" si="4"/>
        <v>77640378.45</v>
      </c>
      <c r="T303" s="10">
        <f t="shared" si="5"/>
        <v>0.12</v>
      </c>
      <c r="U303" s="8">
        <v>43100.0</v>
      </c>
      <c r="V303" s="7">
        <v>4.3154458E7</v>
      </c>
      <c r="W303" s="7">
        <v>3.961963568E7</v>
      </c>
      <c r="X303" s="7">
        <v>7.764037845E7</v>
      </c>
      <c r="Y303" s="7">
        <v>0.0</v>
      </c>
      <c r="Z303" s="7">
        <v>0.12</v>
      </c>
      <c r="AA303" s="6" t="s">
        <v>52</v>
      </c>
      <c r="AB303" s="11" t="str">
        <f t="shared" si="6"/>
        <v>Exclude</v>
      </c>
    </row>
    <row r="304" ht="15.0" customHeight="1">
      <c r="B304" s="6">
        <f t="shared" si="8"/>
        <v>302</v>
      </c>
      <c r="C304" s="1" t="s">
        <v>589</v>
      </c>
      <c r="D304" s="1" t="str">
        <f t="shared" si="2"/>
        <v>Private Equity</v>
      </c>
      <c r="E304" s="1" t="s">
        <v>43</v>
      </c>
      <c r="F304" s="1" t="s">
        <v>43</v>
      </c>
      <c r="G304" s="1" t="s">
        <v>589</v>
      </c>
      <c r="H304" s="1" t="s">
        <v>590</v>
      </c>
      <c r="I304" s="1" t="s">
        <v>318</v>
      </c>
      <c r="J304" s="1" t="s">
        <v>121</v>
      </c>
      <c r="K304" s="1" t="s">
        <v>122</v>
      </c>
      <c r="L304" s="1" t="s">
        <v>127</v>
      </c>
      <c r="N304" s="6">
        <v>2000.0</v>
      </c>
      <c r="O304" s="10">
        <f t="shared" ref="O304:R304" si="327">IFERROR(V304*INDEX($AH$4:$AH$8,MATCH($AA304,$AG$4:$AG$8,0)),"")</f>
        <v>300000000</v>
      </c>
      <c r="P304" s="10">
        <f t="shared" si="327"/>
        <v>309484649.3</v>
      </c>
      <c r="Q304" s="10">
        <f t="shared" si="327"/>
        <v>669964806.6</v>
      </c>
      <c r="R304" s="10">
        <f t="shared" si="327"/>
        <v>0</v>
      </c>
      <c r="S304" s="10">
        <f t="shared" si="4"/>
        <v>669964806.6</v>
      </c>
      <c r="T304" s="10">
        <f t="shared" si="5"/>
        <v>-0.02</v>
      </c>
      <c r="U304" s="8">
        <v>42347.0</v>
      </c>
      <c r="V304" s="7">
        <v>3.0E8</v>
      </c>
      <c r="W304" s="7">
        <v>3.0948464931E8</v>
      </c>
      <c r="X304" s="7">
        <v>6.6996480663E8</v>
      </c>
      <c r="Y304" s="7">
        <v>0.0</v>
      </c>
      <c r="Z304" s="7">
        <v>-0.02</v>
      </c>
      <c r="AA304" s="6" t="s">
        <v>52</v>
      </c>
      <c r="AB304" s="11" t="str">
        <f t="shared" si="6"/>
        <v>Exclude</v>
      </c>
    </row>
    <row r="305" ht="15.0" customHeight="1">
      <c r="B305" s="6">
        <f t="shared" si="8"/>
        <v>303</v>
      </c>
      <c r="C305" s="1" t="s">
        <v>591</v>
      </c>
      <c r="D305" s="1" t="str">
        <f t="shared" si="2"/>
        <v>Private Equity</v>
      </c>
      <c r="E305" s="1" t="s">
        <v>43</v>
      </c>
      <c r="F305" s="1" t="s">
        <v>43</v>
      </c>
      <c r="G305" s="1" t="s">
        <v>591</v>
      </c>
      <c r="H305" s="1" t="s">
        <v>176</v>
      </c>
      <c r="I305" s="1" t="s">
        <v>318</v>
      </c>
      <c r="J305" s="1" t="s">
        <v>121</v>
      </c>
      <c r="K305" s="1" t="s">
        <v>122</v>
      </c>
      <c r="L305" s="1" t="s">
        <v>123</v>
      </c>
      <c r="N305" s="6">
        <v>2001.0</v>
      </c>
      <c r="O305" s="10">
        <f t="shared" ref="O305:R305" si="328">IFERROR(V305*INDEX($AH$4:$AH$8,MATCH($AA305,$AG$4:$AG$8,0)),"")</f>
        <v>200000000</v>
      </c>
      <c r="P305" s="10">
        <f t="shared" si="328"/>
        <v>194783846.8</v>
      </c>
      <c r="Q305" s="10">
        <f t="shared" si="328"/>
        <v>553330915</v>
      </c>
      <c r="R305" s="10">
        <f t="shared" si="328"/>
        <v>0</v>
      </c>
      <c r="S305" s="10">
        <f t="shared" si="4"/>
        <v>553330915</v>
      </c>
      <c r="T305" s="10">
        <f t="shared" si="5"/>
        <v>0.06</v>
      </c>
      <c r="U305" s="8">
        <v>44012.0</v>
      </c>
      <c r="V305" s="7">
        <v>2.0E8</v>
      </c>
      <c r="W305" s="7">
        <v>1.9478384682E8</v>
      </c>
      <c r="X305" s="7">
        <v>5.5333091499E8</v>
      </c>
      <c r="Y305" s="7">
        <v>0.0</v>
      </c>
      <c r="Z305" s="7">
        <v>0.06</v>
      </c>
      <c r="AA305" s="6" t="s">
        <v>52</v>
      </c>
      <c r="AB305" s="11" t="str">
        <f t="shared" si="6"/>
        <v>Exclude</v>
      </c>
    </row>
    <row r="306" ht="15.0" customHeight="1">
      <c r="B306" s="6">
        <f t="shared" si="8"/>
        <v>304</v>
      </c>
      <c r="C306" s="1" t="s">
        <v>592</v>
      </c>
      <c r="D306" s="1" t="str">
        <f t="shared" si="2"/>
        <v>Private Equity</v>
      </c>
      <c r="E306" s="1" t="s">
        <v>43</v>
      </c>
      <c r="F306" s="1" t="s">
        <v>43</v>
      </c>
      <c r="G306" s="1" t="s">
        <v>592</v>
      </c>
      <c r="H306" s="1" t="s">
        <v>537</v>
      </c>
      <c r="I306" s="1" t="s">
        <v>318</v>
      </c>
      <c r="J306" s="1" t="s">
        <v>121</v>
      </c>
      <c r="K306" s="1" t="s">
        <v>92</v>
      </c>
      <c r="L306" s="1" t="s">
        <v>593</v>
      </c>
      <c r="N306" s="6">
        <v>2001.0</v>
      </c>
      <c r="O306" s="10">
        <f t="shared" ref="O306:R306" si="329">IFERROR(V306*INDEX($AH$4:$AH$8,MATCH($AA306,$AG$4:$AG$8,0)),"")</f>
        <v>80000000</v>
      </c>
      <c r="P306" s="10">
        <f t="shared" si="329"/>
        <v>80000000</v>
      </c>
      <c r="Q306" s="10">
        <f t="shared" si="329"/>
        <v>146903688</v>
      </c>
      <c r="R306" s="10">
        <f t="shared" si="329"/>
        <v>0</v>
      </c>
      <c r="S306" s="10">
        <f t="shared" si="4"/>
        <v>146903688</v>
      </c>
      <c r="T306" s="10">
        <f t="shared" si="5"/>
        <v>0</v>
      </c>
      <c r="U306" s="8">
        <v>40816.0</v>
      </c>
      <c r="V306" s="7">
        <v>8.0E7</v>
      </c>
      <c r="W306" s="7">
        <v>8.0E7</v>
      </c>
      <c r="X306" s="7">
        <v>1.46903688E8</v>
      </c>
      <c r="Y306" s="7">
        <v>0.0</v>
      </c>
      <c r="Z306" s="7">
        <v>0.0</v>
      </c>
      <c r="AA306" s="6" t="s">
        <v>52</v>
      </c>
      <c r="AB306" s="11" t="str">
        <f t="shared" si="6"/>
        <v>Exclude</v>
      </c>
    </row>
    <row r="307" ht="15.0" customHeight="1">
      <c r="B307" s="6">
        <f t="shared" si="8"/>
        <v>305</v>
      </c>
      <c r="C307" s="1" t="s">
        <v>594</v>
      </c>
      <c r="D307" s="1" t="str">
        <f t="shared" si="2"/>
        <v>Private Equity</v>
      </c>
      <c r="E307" s="1" t="s">
        <v>43</v>
      </c>
      <c r="F307" s="1" t="s">
        <v>43</v>
      </c>
      <c r="G307" s="1" t="s">
        <v>594</v>
      </c>
      <c r="H307" s="1" t="s">
        <v>383</v>
      </c>
      <c r="I307" s="1" t="s">
        <v>318</v>
      </c>
      <c r="J307" s="1" t="s">
        <v>121</v>
      </c>
      <c r="K307" s="1" t="s">
        <v>92</v>
      </c>
      <c r="L307" s="1" t="s">
        <v>93</v>
      </c>
      <c r="N307" s="6">
        <v>2001.0</v>
      </c>
      <c r="O307" s="10">
        <f t="shared" ref="O307:R307" si="330">IFERROR(V307*INDEX($AH$4:$AH$8,MATCH($AA307,$AG$4:$AG$8,0)),"")</f>
        <v>220000000</v>
      </c>
      <c r="P307" s="10">
        <f t="shared" si="330"/>
        <v>220000000</v>
      </c>
      <c r="Q307" s="10">
        <f t="shared" si="330"/>
        <v>413276527</v>
      </c>
      <c r="R307" s="10">
        <f t="shared" si="330"/>
        <v>0</v>
      </c>
      <c r="S307" s="10">
        <f t="shared" si="4"/>
        <v>413276527</v>
      </c>
      <c r="T307" s="10">
        <f t="shared" si="5"/>
        <v>0</v>
      </c>
      <c r="U307" s="8">
        <v>42004.0</v>
      </c>
      <c r="V307" s="7">
        <v>2.2E8</v>
      </c>
      <c r="W307" s="7">
        <v>2.2E8</v>
      </c>
      <c r="X307" s="7">
        <v>4.13276527E8</v>
      </c>
      <c r="Y307" s="7">
        <v>0.0</v>
      </c>
      <c r="Z307" s="7">
        <v>0.0</v>
      </c>
      <c r="AA307" s="6" t="s">
        <v>52</v>
      </c>
      <c r="AB307" s="11" t="str">
        <f t="shared" si="6"/>
        <v>Exclude</v>
      </c>
    </row>
    <row r="308" ht="15.0" customHeight="1">
      <c r="B308" s="6">
        <f t="shared" si="8"/>
        <v>306</v>
      </c>
      <c r="C308" s="1" t="s">
        <v>595</v>
      </c>
      <c r="D308" s="1" t="str">
        <f t="shared" si="2"/>
        <v>Private Equity</v>
      </c>
      <c r="E308" s="1" t="s">
        <v>43</v>
      </c>
      <c r="F308" s="1" t="s">
        <v>43</v>
      </c>
      <c r="G308" s="1" t="s">
        <v>595</v>
      </c>
      <c r="H308" s="1" t="s">
        <v>140</v>
      </c>
      <c r="I308" s="1" t="s">
        <v>318</v>
      </c>
      <c r="J308" s="1" t="s">
        <v>121</v>
      </c>
      <c r="K308" s="1" t="s">
        <v>122</v>
      </c>
      <c r="L308" s="1" t="s">
        <v>127</v>
      </c>
      <c r="N308" s="6">
        <v>2001.0</v>
      </c>
      <c r="O308" s="10">
        <f t="shared" ref="O308:R308" si="331">IFERROR(V308*INDEX($AH$4:$AH$8,MATCH($AA308,$AG$4:$AG$8,0)),"")</f>
        <v>346653000</v>
      </c>
      <c r="P308" s="10">
        <f t="shared" si="331"/>
        <v>347094988.4</v>
      </c>
      <c r="Q308" s="10">
        <f t="shared" si="331"/>
        <v>956387600.7</v>
      </c>
      <c r="R308" s="10">
        <f t="shared" si="331"/>
        <v>0</v>
      </c>
      <c r="S308" s="10">
        <f t="shared" si="4"/>
        <v>956387600.7</v>
      </c>
      <c r="T308" s="10">
        <f t="shared" si="5"/>
        <v>0.3813183</v>
      </c>
      <c r="U308" s="8">
        <v>41820.0</v>
      </c>
      <c r="V308" s="7">
        <v>3.0E8</v>
      </c>
      <c r="W308" s="7">
        <v>3.0038250501E8</v>
      </c>
      <c r="X308" s="7">
        <v>8.276757454886E8</v>
      </c>
      <c r="Y308" s="7">
        <v>0.0</v>
      </c>
      <c r="Z308" s="7">
        <v>0.33</v>
      </c>
      <c r="AA308" s="6" t="s">
        <v>45</v>
      </c>
      <c r="AB308" s="11" t="str">
        <f t="shared" si="6"/>
        <v>Exclude</v>
      </c>
    </row>
    <row r="309" ht="15.0" customHeight="1">
      <c r="B309" s="6">
        <f t="shared" si="8"/>
        <v>307</v>
      </c>
      <c r="C309" s="1" t="s">
        <v>596</v>
      </c>
      <c r="D309" s="1" t="str">
        <f t="shared" si="2"/>
        <v>VC &amp; Growth</v>
      </c>
      <c r="E309" s="1" t="s">
        <v>270</v>
      </c>
      <c r="F309" s="1" t="s">
        <v>43</v>
      </c>
      <c r="G309" s="1" t="s">
        <v>596</v>
      </c>
      <c r="H309" s="1" t="s">
        <v>547</v>
      </c>
      <c r="I309" s="1" t="s">
        <v>318</v>
      </c>
      <c r="J309" s="1" t="s">
        <v>126</v>
      </c>
      <c r="K309" s="1" t="s">
        <v>126</v>
      </c>
      <c r="L309" s="1" t="s">
        <v>126</v>
      </c>
      <c r="N309" s="6">
        <v>2002.0</v>
      </c>
      <c r="O309" s="10">
        <f t="shared" ref="O309:R309" si="332">IFERROR(V309*INDEX($AH$4:$AH$8,MATCH($AA309,$AG$4:$AG$8,0)),"")</f>
        <v>21119734</v>
      </c>
      <c r="P309" s="10">
        <f t="shared" si="332"/>
        <v>21119734</v>
      </c>
      <c r="Q309" s="10">
        <f t="shared" si="332"/>
        <v>21562069</v>
      </c>
      <c r="R309" s="10">
        <f t="shared" si="332"/>
        <v>49620</v>
      </c>
      <c r="S309" s="10">
        <f t="shared" si="4"/>
        <v>21611689</v>
      </c>
      <c r="T309" s="10">
        <f t="shared" si="5"/>
        <v>0</v>
      </c>
      <c r="U309" s="8">
        <v>46022.0</v>
      </c>
      <c r="V309" s="7">
        <v>2.1119734E7</v>
      </c>
      <c r="W309" s="7">
        <v>2.1119734E7</v>
      </c>
      <c r="X309" s="7">
        <v>2.1562069E7</v>
      </c>
      <c r="Y309" s="7">
        <v>49620.0</v>
      </c>
      <c r="Z309" s="7">
        <v>0.0</v>
      </c>
      <c r="AA309" s="6" t="s">
        <v>52</v>
      </c>
      <c r="AB309" s="11" t="str">
        <f t="shared" si="6"/>
        <v>Include</v>
      </c>
      <c r="AC309" s="1">
        <f>S309/P309</f>
        <v>1.023293617</v>
      </c>
    </row>
    <row r="310" ht="15.0" customHeight="1">
      <c r="B310" s="6">
        <f t="shared" si="8"/>
        <v>308</v>
      </c>
      <c r="C310" s="1" t="s">
        <v>597</v>
      </c>
      <c r="D310" s="1" t="str">
        <f t="shared" si="2"/>
        <v>Private Equity</v>
      </c>
      <c r="E310" s="1" t="s">
        <v>43</v>
      </c>
      <c r="F310" s="1" t="s">
        <v>43</v>
      </c>
      <c r="G310" s="1" t="s">
        <v>597</v>
      </c>
      <c r="H310" s="1" t="s">
        <v>125</v>
      </c>
      <c r="I310" s="1" t="s">
        <v>318</v>
      </c>
      <c r="J310" s="1" t="s">
        <v>121</v>
      </c>
      <c r="K310" s="1" t="s">
        <v>122</v>
      </c>
      <c r="L310" s="1" t="s">
        <v>127</v>
      </c>
      <c r="N310" s="6">
        <v>2002.0</v>
      </c>
      <c r="O310" s="10">
        <f t="shared" ref="O310:R310" si="333">IFERROR(V310*INDEX($AH$4:$AH$8,MATCH($AA310,$AG$4:$AG$8,0)),"")</f>
        <v>346653000</v>
      </c>
      <c r="P310" s="10">
        <f t="shared" si="333"/>
        <v>309809220.3</v>
      </c>
      <c r="Q310" s="10">
        <f t="shared" si="333"/>
        <v>546481301.9</v>
      </c>
      <c r="R310" s="10">
        <f t="shared" si="333"/>
        <v>0</v>
      </c>
      <c r="S310" s="10">
        <f t="shared" si="4"/>
        <v>546481301.9</v>
      </c>
      <c r="T310" s="10">
        <f t="shared" si="5"/>
        <v>-0.513855297</v>
      </c>
      <c r="U310" s="8">
        <v>44181.0</v>
      </c>
      <c r="V310" s="7">
        <v>3.0E8</v>
      </c>
      <c r="W310" s="7">
        <v>2.681147028192E8</v>
      </c>
      <c r="X310" s="7">
        <v>4.729351558018E8</v>
      </c>
      <c r="Y310" s="7">
        <v>0.0</v>
      </c>
      <c r="Z310" s="7">
        <v>-0.4447</v>
      </c>
      <c r="AA310" s="6" t="s">
        <v>45</v>
      </c>
      <c r="AB310" s="11" t="str">
        <f t="shared" si="6"/>
        <v>Exclude</v>
      </c>
    </row>
    <row r="311" ht="15.0" customHeight="1">
      <c r="B311" s="6">
        <f t="shared" si="8"/>
        <v>309</v>
      </c>
      <c r="C311" s="1" t="s">
        <v>598</v>
      </c>
      <c r="D311" s="1" t="str">
        <f t="shared" si="2"/>
        <v>Private Equity</v>
      </c>
      <c r="E311" s="1" t="s">
        <v>43</v>
      </c>
      <c r="F311" s="1" t="s">
        <v>43</v>
      </c>
      <c r="G311" s="1" t="s">
        <v>598</v>
      </c>
      <c r="H311" s="1" t="s">
        <v>545</v>
      </c>
      <c r="I311" s="1" t="s">
        <v>318</v>
      </c>
      <c r="J311" s="1" t="s">
        <v>121</v>
      </c>
      <c r="K311" s="1" t="s">
        <v>122</v>
      </c>
      <c r="L311" s="1" t="s">
        <v>123</v>
      </c>
      <c r="N311" s="6">
        <v>2001.0</v>
      </c>
      <c r="O311" s="10">
        <f t="shared" ref="O311:R311" si="334">IFERROR(V311*INDEX($AH$4:$AH$8,MATCH($AA311,$AG$4:$AG$8,0)),"")</f>
        <v>100000000</v>
      </c>
      <c r="P311" s="10">
        <f t="shared" si="334"/>
        <v>79635956</v>
      </c>
      <c r="Q311" s="10">
        <f t="shared" si="334"/>
        <v>119982764</v>
      </c>
      <c r="R311" s="10">
        <f t="shared" si="334"/>
        <v>0</v>
      </c>
      <c r="S311" s="10">
        <f t="shared" si="4"/>
        <v>119982764</v>
      </c>
      <c r="T311" s="10">
        <f t="shared" si="5"/>
        <v>0</v>
      </c>
      <c r="U311" s="8">
        <v>42916.0</v>
      </c>
      <c r="V311" s="7">
        <v>1.0E8</v>
      </c>
      <c r="W311" s="7">
        <v>7.9635956E7</v>
      </c>
      <c r="X311" s="7">
        <v>1.19982764E8</v>
      </c>
      <c r="Y311" s="7">
        <v>0.0</v>
      </c>
      <c r="Z311" s="7">
        <v>0.0</v>
      </c>
      <c r="AA311" s="6" t="s">
        <v>52</v>
      </c>
      <c r="AB311" s="11" t="str">
        <f t="shared" si="6"/>
        <v>Exclude</v>
      </c>
    </row>
    <row r="312" ht="15.0" customHeight="1">
      <c r="B312" s="6">
        <f t="shared" si="8"/>
        <v>310</v>
      </c>
      <c r="C312" s="1" t="s">
        <v>599</v>
      </c>
      <c r="D312" s="1" t="str">
        <f t="shared" si="2"/>
        <v>Private Equity</v>
      </c>
      <c r="E312" s="1" t="s">
        <v>43</v>
      </c>
      <c r="F312" s="1" t="s">
        <v>43</v>
      </c>
      <c r="G312" s="1" t="s">
        <v>599</v>
      </c>
      <c r="H312" s="1" t="s">
        <v>258</v>
      </c>
      <c r="I312" s="1" t="s">
        <v>318</v>
      </c>
      <c r="J312" s="1" t="s">
        <v>121</v>
      </c>
      <c r="K312" s="1" t="s">
        <v>122</v>
      </c>
      <c r="L312" s="1" t="s">
        <v>127</v>
      </c>
      <c r="N312" s="6">
        <v>2002.0</v>
      </c>
      <c r="O312" s="10">
        <f t="shared" ref="O312:R312" si="335">IFERROR(V312*INDEX($AH$4:$AH$8,MATCH($AA312,$AG$4:$AG$8,0)),"")</f>
        <v>300000000</v>
      </c>
      <c r="P312" s="10">
        <f t="shared" si="335"/>
        <v>313192490</v>
      </c>
      <c r="Q312" s="10">
        <f t="shared" si="335"/>
        <v>733131228.2</v>
      </c>
      <c r="R312" s="10">
        <f t="shared" si="335"/>
        <v>0</v>
      </c>
      <c r="S312" s="10">
        <f t="shared" si="4"/>
        <v>733131228.2</v>
      </c>
      <c r="T312" s="10">
        <f t="shared" si="5"/>
        <v>0</v>
      </c>
      <c r="U312" s="8">
        <v>43555.0</v>
      </c>
      <c r="V312" s="7">
        <v>3.0E8</v>
      </c>
      <c r="W312" s="7">
        <v>3.1319249E8</v>
      </c>
      <c r="X312" s="7">
        <v>7.3313122816E8</v>
      </c>
      <c r="Y312" s="7">
        <v>0.0</v>
      </c>
      <c r="Z312" s="7">
        <v>0.0</v>
      </c>
      <c r="AA312" s="6" t="s">
        <v>52</v>
      </c>
      <c r="AB312" s="11" t="str">
        <f t="shared" si="6"/>
        <v>Exclude</v>
      </c>
    </row>
    <row r="313" ht="15.0" customHeight="1">
      <c r="B313" s="6">
        <f t="shared" si="8"/>
        <v>311</v>
      </c>
      <c r="C313" s="1" t="s">
        <v>600</v>
      </c>
      <c r="D313" s="1" t="str">
        <f t="shared" si="2"/>
        <v>Private Equity</v>
      </c>
      <c r="E313" s="1" t="s">
        <v>43</v>
      </c>
      <c r="F313" s="1" t="s">
        <v>43</v>
      </c>
      <c r="G313" s="1" t="s">
        <v>601</v>
      </c>
      <c r="H313" s="1" t="s">
        <v>223</v>
      </c>
      <c r="I313" s="1" t="s">
        <v>318</v>
      </c>
      <c r="J313" s="1" t="s">
        <v>121</v>
      </c>
      <c r="K313" s="1" t="s">
        <v>92</v>
      </c>
      <c r="L313" s="1" t="s">
        <v>575</v>
      </c>
      <c r="N313" s="6">
        <v>2001.0</v>
      </c>
      <c r="O313" s="10">
        <f t="shared" ref="O313:R313" si="336">IFERROR(V313*INDEX($AH$4:$AH$8,MATCH($AA313,$AG$4:$AG$8,0)),"")</f>
        <v>200000000</v>
      </c>
      <c r="P313" s="10">
        <f t="shared" si="336"/>
        <v>173047901</v>
      </c>
      <c r="Q313" s="10">
        <f t="shared" si="336"/>
        <v>540225030.8</v>
      </c>
      <c r="R313" s="10">
        <f t="shared" si="336"/>
        <v>0</v>
      </c>
      <c r="S313" s="10">
        <f t="shared" si="4"/>
        <v>540225030.8</v>
      </c>
      <c r="T313" s="10">
        <f t="shared" si="5"/>
        <v>0</v>
      </c>
      <c r="U313" s="8">
        <v>44538.0</v>
      </c>
      <c r="V313" s="7">
        <v>2.0E8</v>
      </c>
      <c r="W313" s="7">
        <v>1.73047901E8</v>
      </c>
      <c r="X313" s="7">
        <v>5.4022503075E8</v>
      </c>
      <c r="Y313" s="7">
        <v>0.0</v>
      </c>
      <c r="Z313" s="7">
        <v>0.0</v>
      </c>
      <c r="AA313" s="6" t="s">
        <v>52</v>
      </c>
      <c r="AB313" s="11" t="str">
        <f t="shared" si="6"/>
        <v>Exclude</v>
      </c>
    </row>
    <row r="314" ht="15.0" customHeight="1">
      <c r="B314" s="6">
        <f t="shared" si="8"/>
        <v>312</v>
      </c>
      <c r="C314" s="1" t="s">
        <v>602</v>
      </c>
      <c r="D314" s="1" t="str">
        <f t="shared" si="2"/>
        <v>Private Equity</v>
      </c>
      <c r="E314" s="1" t="s">
        <v>43</v>
      </c>
      <c r="F314" s="1" t="s">
        <v>43</v>
      </c>
      <c r="G314" s="1" t="s">
        <v>602</v>
      </c>
      <c r="H314" s="1" t="s">
        <v>525</v>
      </c>
      <c r="I314" s="1" t="s">
        <v>318</v>
      </c>
      <c r="J314" s="1" t="s">
        <v>121</v>
      </c>
      <c r="K314" s="1" t="s">
        <v>122</v>
      </c>
      <c r="L314" s="1" t="s">
        <v>123</v>
      </c>
      <c r="N314" s="6">
        <v>2002.0</v>
      </c>
      <c r="O314" s="10">
        <f t="shared" ref="O314:R314" si="337">IFERROR(V314*INDEX($AH$4:$AH$8,MATCH($AA314,$AG$4:$AG$8,0)),"")</f>
        <v>300000000</v>
      </c>
      <c r="P314" s="10">
        <f t="shared" si="337"/>
        <v>222858123.2</v>
      </c>
      <c r="Q314" s="10">
        <f t="shared" si="337"/>
        <v>431757297</v>
      </c>
      <c r="R314" s="10">
        <f t="shared" si="337"/>
        <v>0</v>
      </c>
      <c r="S314" s="10">
        <f t="shared" si="4"/>
        <v>431757297</v>
      </c>
      <c r="T314" s="10">
        <f t="shared" si="5"/>
        <v>0</v>
      </c>
      <c r="U314" s="8">
        <v>43830.0</v>
      </c>
      <c r="V314" s="7">
        <v>3.0E8</v>
      </c>
      <c r="W314" s="7">
        <v>2.228581232E8</v>
      </c>
      <c r="X314" s="7">
        <v>4.31757297E8</v>
      </c>
      <c r="Y314" s="7">
        <v>0.0</v>
      </c>
      <c r="Z314" s="7">
        <v>0.0</v>
      </c>
      <c r="AA314" s="6" t="s">
        <v>52</v>
      </c>
      <c r="AB314" s="11" t="str">
        <f t="shared" si="6"/>
        <v>Exclude</v>
      </c>
    </row>
    <row r="315" ht="15.0" customHeight="1">
      <c r="B315" s="6">
        <f t="shared" si="8"/>
        <v>313</v>
      </c>
      <c r="C315" s="1" t="s">
        <v>603</v>
      </c>
      <c r="D315" s="1" t="str">
        <f t="shared" si="2"/>
        <v>Private Equity</v>
      </c>
      <c r="E315" s="1" t="s">
        <v>43</v>
      </c>
      <c r="F315" s="1" t="s">
        <v>43</v>
      </c>
      <c r="G315" s="1" t="s">
        <v>603</v>
      </c>
      <c r="H315" s="1" t="s">
        <v>551</v>
      </c>
      <c r="I315" s="1" t="s">
        <v>318</v>
      </c>
      <c r="J315" s="1" t="s">
        <v>121</v>
      </c>
      <c r="K315" s="1" t="s">
        <v>122</v>
      </c>
      <c r="L315" s="1" t="s">
        <v>123</v>
      </c>
      <c r="N315" s="6">
        <v>2001.0</v>
      </c>
      <c r="O315" s="10">
        <f t="shared" ref="O315:R315" si="338">IFERROR(V315*INDEX($AH$4:$AH$8,MATCH($AA315,$AG$4:$AG$8,0)),"")</f>
        <v>59196500</v>
      </c>
      <c r="P315" s="10">
        <f t="shared" si="338"/>
        <v>59196500</v>
      </c>
      <c r="Q315" s="10">
        <f t="shared" si="338"/>
        <v>77379657.51</v>
      </c>
      <c r="R315" s="10">
        <f t="shared" si="338"/>
        <v>0</v>
      </c>
      <c r="S315" s="10">
        <f t="shared" si="4"/>
        <v>77379657.51</v>
      </c>
      <c r="T315" s="10">
        <f t="shared" si="5"/>
        <v>0</v>
      </c>
      <c r="U315" s="8">
        <v>42004.0</v>
      </c>
      <c r="V315" s="7">
        <v>5.91965E7</v>
      </c>
      <c r="W315" s="7">
        <v>5.91965E7</v>
      </c>
      <c r="X315" s="7">
        <v>7.73796575064E7</v>
      </c>
      <c r="Y315" s="7">
        <v>0.0</v>
      </c>
      <c r="Z315" s="7">
        <v>0.0</v>
      </c>
      <c r="AA315" s="6" t="s">
        <v>52</v>
      </c>
      <c r="AB315" s="11" t="str">
        <f t="shared" si="6"/>
        <v>Exclude</v>
      </c>
    </row>
    <row r="316" ht="15.0" customHeight="1">
      <c r="B316" s="6">
        <f t="shared" si="8"/>
        <v>314</v>
      </c>
      <c r="C316" s="1" t="s">
        <v>604</v>
      </c>
      <c r="D316" s="1" t="str">
        <f t="shared" si="2"/>
        <v>VC &amp; Growth</v>
      </c>
      <c r="E316" s="1" t="s">
        <v>270</v>
      </c>
      <c r="F316" s="1" t="s">
        <v>43</v>
      </c>
      <c r="G316" s="1" t="s">
        <v>605</v>
      </c>
      <c r="H316" s="1" t="s">
        <v>606</v>
      </c>
      <c r="I316" s="1" t="s">
        <v>318</v>
      </c>
      <c r="J316" s="1" t="s">
        <v>150</v>
      </c>
      <c r="K316" s="1" t="s">
        <v>150</v>
      </c>
      <c r="L316" s="1" t="s">
        <v>123</v>
      </c>
      <c r="N316" s="6">
        <v>1999.0</v>
      </c>
      <c r="O316" s="10">
        <f t="shared" ref="O316:R316" si="339">IFERROR(V316*INDEX($AH$4:$AH$8,MATCH($AA316,$AG$4:$AG$8,0)),"")</f>
        <v>112206666</v>
      </c>
      <c r="P316" s="10">
        <f t="shared" si="339"/>
        <v>123777994</v>
      </c>
      <c r="Q316" s="10">
        <f t="shared" si="339"/>
        <v>203513911.5</v>
      </c>
      <c r="R316" s="10">
        <f t="shared" si="339"/>
        <v>0</v>
      </c>
      <c r="S316" s="10">
        <f t="shared" si="4"/>
        <v>203513911.5</v>
      </c>
      <c r="T316" s="10">
        <f t="shared" si="5"/>
        <v>-0.01</v>
      </c>
      <c r="U316" s="8">
        <v>45276.0</v>
      </c>
      <c r="V316" s="7">
        <v>1.12206666E8</v>
      </c>
      <c r="W316" s="7">
        <v>1.2377799401E8</v>
      </c>
      <c r="X316" s="7">
        <v>2.0351391146E8</v>
      </c>
      <c r="Y316" s="7">
        <v>0.0</v>
      </c>
      <c r="Z316" s="7">
        <v>-0.01</v>
      </c>
      <c r="AA316" s="6" t="s">
        <v>52</v>
      </c>
      <c r="AB316" s="11" t="str">
        <f t="shared" si="6"/>
        <v>Exclude</v>
      </c>
    </row>
    <row r="317" ht="15.0" customHeight="1">
      <c r="B317" s="6">
        <f t="shared" si="8"/>
        <v>315</v>
      </c>
      <c r="C317" s="1" t="s">
        <v>607</v>
      </c>
      <c r="D317" s="1" t="str">
        <f t="shared" si="2"/>
        <v>Private Equity</v>
      </c>
      <c r="E317" s="1" t="s">
        <v>43</v>
      </c>
      <c r="F317" s="1" t="s">
        <v>43</v>
      </c>
      <c r="G317" s="1" t="s">
        <v>607</v>
      </c>
      <c r="H317" s="1" t="s">
        <v>146</v>
      </c>
      <c r="I317" s="1" t="s">
        <v>318</v>
      </c>
      <c r="J317" s="1" t="s">
        <v>121</v>
      </c>
      <c r="K317" s="1" t="s">
        <v>122</v>
      </c>
      <c r="L317" s="1" t="s">
        <v>123</v>
      </c>
      <c r="N317" s="6">
        <v>2000.0</v>
      </c>
      <c r="O317" s="10">
        <f t="shared" ref="O317:R317" si="340">IFERROR(V317*INDEX($AH$4:$AH$8,MATCH($AA317,$AG$4:$AG$8,0)),"")</f>
        <v>103750000</v>
      </c>
      <c r="P317" s="10">
        <f t="shared" si="340"/>
        <v>91184068.7</v>
      </c>
      <c r="Q317" s="10">
        <f t="shared" si="340"/>
        <v>143365644.3</v>
      </c>
      <c r="R317" s="10">
        <f t="shared" si="340"/>
        <v>0</v>
      </c>
      <c r="S317" s="10">
        <f t="shared" si="4"/>
        <v>143365644.3</v>
      </c>
      <c r="T317" s="10">
        <f t="shared" si="5"/>
        <v>-0.38</v>
      </c>
      <c r="U317" s="8">
        <v>44196.0</v>
      </c>
      <c r="V317" s="7">
        <v>1.0375E8</v>
      </c>
      <c r="W317" s="7">
        <v>9.11840687E7</v>
      </c>
      <c r="X317" s="7">
        <v>1.4336564425E8</v>
      </c>
      <c r="Y317" s="7">
        <v>0.0</v>
      </c>
      <c r="Z317" s="7">
        <v>-0.38</v>
      </c>
      <c r="AA317" s="6" t="s">
        <v>52</v>
      </c>
      <c r="AB317" s="11" t="str">
        <f t="shared" si="6"/>
        <v>Exclude</v>
      </c>
    </row>
    <row r="318" ht="15.0" customHeight="1">
      <c r="B318" s="6">
        <f t="shared" si="8"/>
        <v>316</v>
      </c>
      <c r="C318" s="1" t="s">
        <v>608</v>
      </c>
      <c r="D318" s="1" t="str">
        <f t="shared" si="2"/>
        <v>Private Equity</v>
      </c>
      <c r="E318" s="1" t="s">
        <v>43</v>
      </c>
      <c r="F318" s="1" t="s">
        <v>43</v>
      </c>
      <c r="G318" s="1" t="s">
        <v>608</v>
      </c>
      <c r="H318" s="1" t="s">
        <v>587</v>
      </c>
      <c r="I318" s="1" t="s">
        <v>318</v>
      </c>
      <c r="J318" s="1" t="s">
        <v>121</v>
      </c>
      <c r="K318" s="1" t="s">
        <v>122</v>
      </c>
      <c r="L318" s="1" t="s">
        <v>123</v>
      </c>
      <c r="N318" s="6">
        <v>2002.0</v>
      </c>
      <c r="O318" s="10">
        <f t="shared" ref="O318:R318" si="341">IFERROR(V318*INDEX($AH$4:$AH$8,MATCH($AA318,$AG$4:$AG$8,0)),"")</f>
        <v>75000000</v>
      </c>
      <c r="P318" s="10">
        <f t="shared" si="341"/>
        <v>84218317</v>
      </c>
      <c r="Q318" s="10">
        <f t="shared" si="341"/>
        <v>166315862.3</v>
      </c>
      <c r="R318" s="10">
        <f t="shared" si="341"/>
        <v>0</v>
      </c>
      <c r="S318" s="10">
        <f t="shared" si="4"/>
        <v>166315862.3</v>
      </c>
      <c r="T318" s="10">
        <f t="shared" si="5"/>
        <v>672581</v>
      </c>
      <c r="U318" s="8">
        <v>46079.0</v>
      </c>
      <c r="V318" s="7">
        <v>7.5E7</v>
      </c>
      <c r="W318" s="7">
        <v>8.4218317E7</v>
      </c>
      <c r="X318" s="7">
        <v>1.6631586227E8</v>
      </c>
      <c r="Y318" s="7">
        <v>0.0</v>
      </c>
      <c r="Z318" s="7">
        <v>672581.0</v>
      </c>
      <c r="AA318" s="6" t="s">
        <v>52</v>
      </c>
      <c r="AB318" s="11" t="str">
        <f t="shared" si="6"/>
        <v>Exclude</v>
      </c>
    </row>
    <row r="319" ht="15.0" customHeight="1">
      <c r="B319" s="6">
        <f t="shared" si="8"/>
        <v>317</v>
      </c>
      <c r="C319" s="1" t="s">
        <v>609</v>
      </c>
      <c r="D319" s="1" t="str">
        <f t="shared" si="2"/>
        <v>Private Equity</v>
      </c>
      <c r="E319" s="1" t="s">
        <v>43</v>
      </c>
      <c r="F319" s="1" t="s">
        <v>43</v>
      </c>
      <c r="G319" s="1" t="s">
        <v>609</v>
      </c>
      <c r="H319" s="1" t="s">
        <v>383</v>
      </c>
      <c r="I319" s="1" t="s">
        <v>318</v>
      </c>
      <c r="J319" s="1" t="s">
        <v>121</v>
      </c>
      <c r="K319" s="1" t="s">
        <v>92</v>
      </c>
      <c r="L319" s="1" t="s">
        <v>573</v>
      </c>
      <c r="N319" s="6">
        <v>2002.0</v>
      </c>
      <c r="O319" s="10">
        <f t="shared" ref="O319:R319" si="342">IFERROR(V319*INDEX($AH$4:$AH$8,MATCH($AA319,$AG$4:$AG$8,0)),"")</f>
        <v>205156000</v>
      </c>
      <c r="P319" s="10">
        <f t="shared" si="342"/>
        <v>148947262</v>
      </c>
      <c r="Q319" s="10">
        <f t="shared" si="342"/>
        <v>255809373</v>
      </c>
      <c r="R319" s="10">
        <f t="shared" si="342"/>
        <v>0</v>
      </c>
      <c r="S319" s="10">
        <f t="shared" si="4"/>
        <v>255809373</v>
      </c>
      <c r="T319" s="10">
        <f t="shared" si="5"/>
        <v>0</v>
      </c>
      <c r="U319" s="8">
        <v>40999.0</v>
      </c>
      <c r="V319" s="7">
        <v>2.05156E8</v>
      </c>
      <c r="W319" s="7">
        <v>1.48947262E8</v>
      </c>
      <c r="X319" s="7">
        <v>2.55809373E8</v>
      </c>
      <c r="Y319" s="7">
        <v>0.0</v>
      </c>
      <c r="Z319" s="7">
        <v>0.0</v>
      </c>
      <c r="AA319" s="6" t="s">
        <v>52</v>
      </c>
      <c r="AB319" s="11" t="str">
        <f t="shared" si="6"/>
        <v>Exclude</v>
      </c>
    </row>
    <row r="320" ht="15.0" customHeight="1">
      <c r="B320" s="6">
        <f t="shared" si="8"/>
        <v>318</v>
      </c>
      <c r="C320" s="1" t="s">
        <v>610</v>
      </c>
      <c r="D320" s="1" t="str">
        <f t="shared" si="2"/>
        <v>VC &amp; Growth</v>
      </c>
      <c r="E320" s="1" t="s">
        <v>270</v>
      </c>
      <c r="F320" s="1" t="s">
        <v>43</v>
      </c>
      <c r="G320" s="1" t="s">
        <v>610</v>
      </c>
      <c r="H320" s="1" t="s">
        <v>611</v>
      </c>
      <c r="I320" s="1" t="s">
        <v>318</v>
      </c>
      <c r="J320" s="1" t="s">
        <v>150</v>
      </c>
      <c r="K320" s="1" t="s">
        <v>150</v>
      </c>
      <c r="L320" s="1" t="s">
        <v>470</v>
      </c>
      <c r="N320" s="6">
        <v>2003.0</v>
      </c>
      <c r="O320" s="10">
        <f t="shared" ref="O320:R320" si="343">IFERROR(V320*INDEX($AH$4:$AH$8,MATCH($AA320,$AG$4:$AG$8,0)),"")</f>
        <v>69350000</v>
      </c>
      <c r="P320" s="10">
        <f t="shared" si="343"/>
        <v>62951808.2</v>
      </c>
      <c r="Q320" s="10">
        <f t="shared" si="343"/>
        <v>21606370.03</v>
      </c>
      <c r="R320" s="10">
        <f t="shared" si="343"/>
        <v>0</v>
      </c>
      <c r="S320" s="10">
        <f t="shared" si="4"/>
        <v>21606370.03</v>
      </c>
      <c r="T320" s="10">
        <f t="shared" si="5"/>
        <v>0</v>
      </c>
      <c r="U320" s="8">
        <v>43830.0</v>
      </c>
      <c r="V320" s="7">
        <v>6.935E7</v>
      </c>
      <c r="W320" s="7">
        <v>6.29518082E7</v>
      </c>
      <c r="X320" s="7">
        <v>2.160637003E7</v>
      </c>
      <c r="Y320" s="7">
        <v>0.0</v>
      </c>
      <c r="Z320" s="7">
        <v>0.0</v>
      </c>
      <c r="AA320" s="6" t="s">
        <v>52</v>
      </c>
      <c r="AB320" s="11" t="str">
        <f t="shared" si="6"/>
        <v>Exclude</v>
      </c>
    </row>
    <row r="321" ht="15.0" customHeight="1">
      <c r="B321" s="6">
        <f t="shared" si="8"/>
        <v>319</v>
      </c>
      <c r="C321" s="1" t="s">
        <v>612</v>
      </c>
      <c r="D321" s="1" t="str">
        <f t="shared" si="2"/>
        <v>VC &amp; Growth</v>
      </c>
      <c r="E321" s="1" t="s">
        <v>270</v>
      </c>
      <c r="F321" s="1" t="s">
        <v>43</v>
      </c>
      <c r="G321" s="1" t="s">
        <v>613</v>
      </c>
      <c r="H321" s="1" t="s">
        <v>614</v>
      </c>
      <c r="I321" s="1" t="s">
        <v>318</v>
      </c>
      <c r="J321" s="1" t="s">
        <v>150</v>
      </c>
      <c r="K321" s="1" t="s">
        <v>150</v>
      </c>
      <c r="L321" s="1" t="s">
        <v>470</v>
      </c>
      <c r="N321" s="6">
        <v>2003.0</v>
      </c>
      <c r="O321" s="10">
        <f t="shared" ref="O321:R321" si="344">IFERROR(V321*INDEX($AH$4:$AH$8,MATCH($AA321,$AG$4:$AG$8,0)),"")</f>
        <v>20963977.82</v>
      </c>
      <c r="P321" s="10">
        <f t="shared" si="344"/>
        <v>20991180.08</v>
      </c>
      <c r="Q321" s="10">
        <f t="shared" si="344"/>
        <v>165293.3704</v>
      </c>
      <c r="R321" s="10">
        <f t="shared" si="344"/>
        <v>0</v>
      </c>
      <c r="S321" s="10">
        <f t="shared" si="4"/>
        <v>165293.3704</v>
      </c>
      <c r="T321" s="10">
        <f t="shared" si="5"/>
        <v>0.1868152</v>
      </c>
      <c r="U321" s="8">
        <v>42916.0</v>
      </c>
      <c r="V321" s="7">
        <v>2.917661E7</v>
      </c>
      <c r="W321" s="7">
        <v>2.921446874E7</v>
      </c>
      <c r="X321" s="7">
        <v>230047.0</v>
      </c>
      <c r="Y321" s="7">
        <v>0.0</v>
      </c>
      <c r="Z321" s="7">
        <v>0.26</v>
      </c>
      <c r="AA321" s="6" t="s">
        <v>118</v>
      </c>
      <c r="AB321" s="11" t="str">
        <f t="shared" si="6"/>
        <v>Exclude</v>
      </c>
    </row>
    <row r="322" ht="15.0" customHeight="1">
      <c r="B322" s="6">
        <f t="shared" si="8"/>
        <v>320</v>
      </c>
      <c r="C322" s="1" t="s">
        <v>615</v>
      </c>
      <c r="D322" s="1" t="str">
        <f t="shared" si="2"/>
        <v>Private Equity</v>
      </c>
      <c r="E322" s="1" t="s">
        <v>43</v>
      </c>
      <c r="F322" s="1" t="s">
        <v>43</v>
      </c>
      <c r="G322" s="1" t="s">
        <v>615</v>
      </c>
      <c r="H322" s="1" t="s">
        <v>37</v>
      </c>
      <c r="I322" s="1" t="s">
        <v>318</v>
      </c>
      <c r="J322" s="1" t="s">
        <v>121</v>
      </c>
      <c r="K322" s="1" t="s">
        <v>274</v>
      </c>
      <c r="L322" s="1" t="s">
        <v>173</v>
      </c>
      <c r="N322" s="6">
        <v>2002.0</v>
      </c>
      <c r="O322" s="10">
        <f t="shared" ref="O322:R322" si="345">IFERROR(V322*INDEX($AH$4:$AH$8,MATCH($AA322,$AG$4:$AG$8,0)),"")</f>
        <v>300000000</v>
      </c>
      <c r="P322" s="10">
        <f t="shared" si="345"/>
        <v>264873777</v>
      </c>
      <c r="Q322" s="10">
        <f t="shared" si="345"/>
        <v>472972125.4</v>
      </c>
      <c r="R322" s="10">
        <f t="shared" si="345"/>
        <v>0</v>
      </c>
      <c r="S322" s="10">
        <f t="shared" si="4"/>
        <v>472972125.4</v>
      </c>
      <c r="T322" s="10">
        <f t="shared" si="5"/>
        <v>0</v>
      </c>
      <c r="U322" s="8">
        <v>43738.0</v>
      </c>
      <c r="V322" s="7">
        <v>3.0E8</v>
      </c>
      <c r="W322" s="7">
        <v>2.64873777E8</v>
      </c>
      <c r="X322" s="7">
        <v>4.7297212542E8</v>
      </c>
      <c r="Y322" s="7">
        <v>0.0</v>
      </c>
      <c r="Z322" s="7">
        <v>0.0</v>
      </c>
      <c r="AA322" s="6" t="s">
        <v>52</v>
      </c>
      <c r="AB322" s="11" t="str">
        <f t="shared" si="6"/>
        <v>Exclude</v>
      </c>
    </row>
    <row r="323" ht="15.0" customHeight="1">
      <c r="B323" s="6">
        <f t="shared" si="8"/>
        <v>321</v>
      </c>
      <c r="C323" s="1" t="s">
        <v>616</v>
      </c>
      <c r="D323" s="1" t="str">
        <f t="shared" si="2"/>
        <v>Private Equity</v>
      </c>
      <c r="E323" s="1" t="s">
        <v>43</v>
      </c>
      <c r="F323" s="1" t="s">
        <v>43</v>
      </c>
      <c r="G323" s="1" t="s">
        <v>616</v>
      </c>
      <c r="H323" s="1" t="s">
        <v>176</v>
      </c>
      <c r="I323" s="1" t="s">
        <v>318</v>
      </c>
      <c r="J323" s="1" t="s">
        <v>121</v>
      </c>
      <c r="K323" s="1" t="s">
        <v>515</v>
      </c>
      <c r="L323" s="1" t="s">
        <v>583</v>
      </c>
      <c r="N323" s="6">
        <v>2002.0</v>
      </c>
      <c r="O323" s="10">
        <f t="shared" ref="O323:R323" si="346">IFERROR(V323*INDEX($AH$4:$AH$8,MATCH($AA323,$AG$4:$AG$8,0)),"")</f>
        <v>75000000</v>
      </c>
      <c r="P323" s="10">
        <f t="shared" si="346"/>
        <v>69194914.56</v>
      </c>
      <c r="Q323" s="10">
        <f t="shared" si="346"/>
        <v>93108951.31</v>
      </c>
      <c r="R323" s="10">
        <f t="shared" si="346"/>
        <v>0</v>
      </c>
      <c r="S323" s="10">
        <f t="shared" si="4"/>
        <v>93108951.31</v>
      </c>
      <c r="T323" s="10">
        <f t="shared" si="5"/>
        <v>0.44</v>
      </c>
      <c r="U323" s="8">
        <v>44196.0</v>
      </c>
      <c r="V323" s="7">
        <v>7.5E7</v>
      </c>
      <c r="W323" s="7">
        <v>6.919491456E7</v>
      </c>
      <c r="X323" s="7">
        <v>9.310895131E7</v>
      </c>
      <c r="Y323" s="7">
        <v>0.0</v>
      </c>
      <c r="Z323" s="7">
        <v>0.44</v>
      </c>
      <c r="AA323" s="6" t="s">
        <v>52</v>
      </c>
      <c r="AB323" s="11" t="str">
        <f t="shared" si="6"/>
        <v>Exclude</v>
      </c>
    </row>
    <row r="324" ht="15.0" customHeight="1">
      <c r="B324" s="6">
        <f t="shared" si="8"/>
        <v>322</v>
      </c>
      <c r="C324" s="1" t="s">
        <v>617</v>
      </c>
      <c r="D324" s="1" t="str">
        <f t="shared" si="2"/>
        <v>VC &amp; Growth</v>
      </c>
      <c r="E324" s="1" t="s">
        <v>270</v>
      </c>
      <c r="F324" s="1" t="s">
        <v>43</v>
      </c>
      <c r="G324" s="1" t="s">
        <v>617</v>
      </c>
      <c r="H324" s="1" t="s">
        <v>618</v>
      </c>
      <c r="I324" s="1" t="s">
        <v>318</v>
      </c>
      <c r="J324" s="1" t="s">
        <v>150</v>
      </c>
      <c r="K324" s="1" t="s">
        <v>150</v>
      </c>
      <c r="L324" s="1" t="s">
        <v>470</v>
      </c>
      <c r="N324" s="6">
        <v>2003.0</v>
      </c>
      <c r="O324" s="10">
        <f t="shared" ref="O324:R324" si="347">IFERROR(V324*INDEX($AH$4:$AH$8,MATCH($AA324,$AG$4:$AG$8,0)),"")</f>
        <v>75000000</v>
      </c>
      <c r="P324" s="10">
        <f t="shared" si="347"/>
        <v>72679656.83</v>
      </c>
      <c r="Q324" s="10">
        <f t="shared" si="347"/>
        <v>108916018</v>
      </c>
      <c r="R324" s="10">
        <f t="shared" si="347"/>
        <v>0</v>
      </c>
      <c r="S324" s="10">
        <f t="shared" si="4"/>
        <v>108916018</v>
      </c>
      <c r="T324" s="10">
        <f t="shared" si="5"/>
        <v>0</v>
      </c>
      <c r="U324" s="8">
        <v>44629.0</v>
      </c>
      <c r="V324" s="7">
        <v>7.5E7</v>
      </c>
      <c r="W324" s="7">
        <v>7.267965683E7</v>
      </c>
      <c r="X324" s="7">
        <v>1.0891601803E8</v>
      </c>
      <c r="Y324" s="7">
        <v>0.0</v>
      </c>
      <c r="Z324" s="7">
        <v>0.0</v>
      </c>
      <c r="AA324" s="6" t="s">
        <v>52</v>
      </c>
      <c r="AB324" s="11" t="str">
        <f t="shared" si="6"/>
        <v>Exclude</v>
      </c>
    </row>
    <row r="325" ht="15.0" customHeight="1">
      <c r="B325" s="6">
        <f t="shared" si="8"/>
        <v>323</v>
      </c>
      <c r="C325" s="1" t="s">
        <v>619</v>
      </c>
      <c r="D325" s="1" t="str">
        <f t="shared" si="2"/>
        <v>Private Equity</v>
      </c>
      <c r="E325" s="1" t="s">
        <v>43</v>
      </c>
      <c r="F325" s="1" t="s">
        <v>43</v>
      </c>
      <c r="G325" s="1" t="s">
        <v>619</v>
      </c>
      <c r="H325" s="1" t="s">
        <v>537</v>
      </c>
      <c r="I325" s="1" t="s">
        <v>318</v>
      </c>
      <c r="J325" s="1" t="s">
        <v>121</v>
      </c>
      <c r="K325" s="1" t="s">
        <v>92</v>
      </c>
      <c r="L325" s="1" t="s">
        <v>593</v>
      </c>
      <c r="N325" s="6">
        <v>2003.0</v>
      </c>
      <c r="O325" s="10">
        <f t="shared" ref="O325:R325" si="348">IFERROR(V325*INDEX($AH$4:$AH$8,MATCH($AA325,$AG$4:$AG$8,0)),"")</f>
        <v>80000000</v>
      </c>
      <c r="P325" s="10">
        <f t="shared" si="348"/>
        <v>80000000</v>
      </c>
      <c r="Q325" s="10">
        <f t="shared" si="348"/>
        <v>114506209</v>
      </c>
      <c r="R325" s="10">
        <f t="shared" si="348"/>
        <v>0</v>
      </c>
      <c r="S325" s="10">
        <f t="shared" si="4"/>
        <v>114506209</v>
      </c>
      <c r="T325" s="10">
        <f t="shared" si="5"/>
        <v>0</v>
      </c>
      <c r="U325" s="8">
        <v>42852.0</v>
      </c>
      <c r="V325" s="7">
        <v>8.0E7</v>
      </c>
      <c r="W325" s="7">
        <v>8.0E7</v>
      </c>
      <c r="X325" s="7">
        <v>1.14506209E8</v>
      </c>
      <c r="Y325" s="7">
        <v>0.0</v>
      </c>
      <c r="Z325" s="7">
        <v>0.0</v>
      </c>
      <c r="AA325" s="6" t="s">
        <v>52</v>
      </c>
      <c r="AB325" s="11" t="str">
        <f t="shared" si="6"/>
        <v>Exclude</v>
      </c>
    </row>
    <row r="326" ht="15.0" customHeight="1">
      <c r="B326" s="6">
        <f t="shared" si="8"/>
        <v>324</v>
      </c>
      <c r="C326" s="1" t="s">
        <v>620</v>
      </c>
      <c r="D326" s="1" t="str">
        <f t="shared" si="2"/>
        <v>Private Equity</v>
      </c>
      <c r="E326" s="1" t="s">
        <v>43</v>
      </c>
      <c r="F326" s="1" t="s">
        <v>43</v>
      </c>
      <c r="G326" s="1" t="s">
        <v>620</v>
      </c>
      <c r="H326" s="1" t="s">
        <v>383</v>
      </c>
      <c r="I326" s="1" t="s">
        <v>318</v>
      </c>
      <c r="J326" s="1" t="s">
        <v>121</v>
      </c>
      <c r="K326" s="1" t="s">
        <v>92</v>
      </c>
      <c r="L326" s="1" t="s">
        <v>93</v>
      </c>
      <c r="N326" s="6">
        <v>2004.0</v>
      </c>
      <c r="O326" s="10">
        <f t="shared" ref="O326:R326" si="349">IFERROR(V326*INDEX($AH$4:$AH$8,MATCH($AA326,$AG$4:$AG$8,0)),"")</f>
        <v>100000000</v>
      </c>
      <c r="P326" s="10">
        <f t="shared" si="349"/>
        <v>76344737</v>
      </c>
      <c r="Q326" s="10">
        <f t="shared" si="349"/>
        <v>114405096</v>
      </c>
      <c r="R326" s="10">
        <f t="shared" si="349"/>
        <v>0</v>
      </c>
      <c r="S326" s="10">
        <f t="shared" si="4"/>
        <v>114405096</v>
      </c>
      <c r="T326" s="10">
        <f t="shared" si="5"/>
        <v>0</v>
      </c>
      <c r="U326" s="8">
        <v>42003.0</v>
      </c>
      <c r="V326" s="7">
        <v>1.0E8</v>
      </c>
      <c r="W326" s="7">
        <v>7.6344737E7</v>
      </c>
      <c r="X326" s="7">
        <v>1.14405096E8</v>
      </c>
      <c r="Y326" s="7">
        <v>0.0</v>
      </c>
      <c r="Z326" s="7">
        <v>0.0</v>
      </c>
      <c r="AA326" s="6" t="s">
        <v>52</v>
      </c>
      <c r="AB326" s="11" t="str">
        <f t="shared" si="6"/>
        <v>Exclude</v>
      </c>
    </row>
    <row r="327" ht="15.0" customHeight="1">
      <c r="B327" s="6">
        <f t="shared" si="8"/>
        <v>325</v>
      </c>
      <c r="C327" s="1" t="s">
        <v>621</v>
      </c>
      <c r="D327" s="1" t="str">
        <f t="shared" si="2"/>
        <v>Private Equity</v>
      </c>
      <c r="E327" s="1" t="s">
        <v>43</v>
      </c>
      <c r="F327" s="1" t="s">
        <v>43</v>
      </c>
      <c r="G327" s="1" t="s">
        <v>622</v>
      </c>
      <c r="H327" s="1" t="s">
        <v>223</v>
      </c>
      <c r="I327" s="1" t="s">
        <v>318</v>
      </c>
      <c r="J327" s="1" t="s">
        <v>121</v>
      </c>
      <c r="K327" s="1" t="s">
        <v>92</v>
      </c>
      <c r="L327" s="1" t="s">
        <v>575</v>
      </c>
      <c r="N327" s="6">
        <v>2003.0</v>
      </c>
      <c r="O327" s="10">
        <f t="shared" ref="O327:R327" si="350">IFERROR(V327*INDEX($AH$4:$AH$8,MATCH($AA327,$AG$4:$AG$8,0)),"")</f>
        <v>100000000</v>
      </c>
      <c r="P327" s="10">
        <f t="shared" si="350"/>
        <v>81055777</v>
      </c>
      <c r="Q327" s="10">
        <f t="shared" si="350"/>
        <v>162703523.4</v>
      </c>
      <c r="R327" s="10">
        <f t="shared" si="350"/>
        <v>0</v>
      </c>
      <c r="S327" s="10">
        <f t="shared" si="4"/>
        <v>162703523.4</v>
      </c>
      <c r="T327" s="10">
        <f t="shared" si="5"/>
        <v>0.46</v>
      </c>
      <c r="U327" s="8">
        <v>44201.0</v>
      </c>
      <c r="V327" s="7">
        <v>1.0E8</v>
      </c>
      <c r="W327" s="7">
        <v>8.1055777E7</v>
      </c>
      <c r="X327" s="7">
        <v>1.627035234E8</v>
      </c>
      <c r="Y327" s="7">
        <v>0.0</v>
      </c>
      <c r="Z327" s="7">
        <v>0.46</v>
      </c>
      <c r="AA327" s="6" t="s">
        <v>52</v>
      </c>
      <c r="AB327" s="11" t="str">
        <f t="shared" si="6"/>
        <v>Exclude</v>
      </c>
    </row>
    <row r="328" ht="15.0" customHeight="1">
      <c r="B328" s="6">
        <f t="shared" si="8"/>
        <v>326</v>
      </c>
      <c r="C328" s="1" t="s">
        <v>623</v>
      </c>
      <c r="D328" s="1" t="str">
        <f t="shared" si="2"/>
        <v>Private Equity</v>
      </c>
      <c r="E328" s="1" t="s">
        <v>43</v>
      </c>
      <c r="F328" s="1" t="s">
        <v>43</v>
      </c>
      <c r="G328" s="1" t="s">
        <v>623</v>
      </c>
      <c r="H328" s="1" t="s">
        <v>214</v>
      </c>
      <c r="I328" s="1" t="s">
        <v>318</v>
      </c>
      <c r="J328" s="1" t="s">
        <v>121</v>
      </c>
      <c r="K328" s="1" t="s">
        <v>122</v>
      </c>
      <c r="L328" s="1" t="s">
        <v>123</v>
      </c>
      <c r="N328" s="6">
        <v>2003.0</v>
      </c>
      <c r="O328" s="10">
        <f t="shared" ref="O328:R328" si="351">IFERROR(V328*INDEX($AH$4:$AH$8,MATCH($AA328,$AG$4:$AG$8,0)),"")</f>
        <v>125000000</v>
      </c>
      <c r="P328" s="10">
        <f t="shared" si="351"/>
        <v>100503948</v>
      </c>
      <c r="Q328" s="10">
        <f t="shared" si="351"/>
        <v>270090990</v>
      </c>
      <c r="R328" s="10">
        <f t="shared" si="351"/>
        <v>3408475</v>
      </c>
      <c r="S328" s="10">
        <f t="shared" si="4"/>
        <v>273499465</v>
      </c>
      <c r="T328" s="10">
        <f t="shared" si="5"/>
        <v>36346733</v>
      </c>
      <c r="U328" s="8">
        <v>46112.0</v>
      </c>
      <c r="V328" s="7">
        <v>1.25E8</v>
      </c>
      <c r="W328" s="7">
        <v>1.00503948E8</v>
      </c>
      <c r="X328" s="7">
        <v>2.7009099E8</v>
      </c>
      <c r="Y328" s="7">
        <v>3408475.0</v>
      </c>
      <c r="Z328" s="7">
        <v>3.6346733E7</v>
      </c>
      <c r="AA328" s="6" t="s">
        <v>52</v>
      </c>
      <c r="AB328" s="11" t="str">
        <f t="shared" si="6"/>
        <v>Include</v>
      </c>
      <c r="AC328" s="1">
        <f>S328/P328</f>
        <v>2.72128081</v>
      </c>
    </row>
    <row r="329" ht="15.0" customHeight="1">
      <c r="B329" s="6">
        <f t="shared" si="8"/>
        <v>327</v>
      </c>
      <c r="C329" s="1" t="s">
        <v>624</v>
      </c>
      <c r="D329" s="1" t="str">
        <f t="shared" si="2"/>
        <v>VC &amp; Growth</v>
      </c>
      <c r="E329" s="1" t="s">
        <v>270</v>
      </c>
      <c r="F329" s="1" t="s">
        <v>43</v>
      </c>
      <c r="G329" s="1" t="s">
        <v>624</v>
      </c>
      <c r="H329" s="1" t="s">
        <v>167</v>
      </c>
      <c r="I329" s="1" t="s">
        <v>318</v>
      </c>
      <c r="J329" s="1" t="s">
        <v>126</v>
      </c>
      <c r="K329" s="1" t="s">
        <v>126</v>
      </c>
      <c r="L329" s="1" t="s">
        <v>123</v>
      </c>
      <c r="N329" s="6">
        <v>2004.0</v>
      </c>
      <c r="O329" s="10">
        <f t="shared" ref="O329:R329" si="352">IFERROR(V329*INDEX($AH$4:$AH$8,MATCH($AA329,$AG$4:$AG$8,0)),"")</f>
        <v>75000000</v>
      </c>
      <c r="P329" s="10">
        <f t="shared" si="352"/>
        <v>74986211.61</v>
      </c>
      <c r="Q329" s="10">
        <f t="shared" si="352"/>
        <v>136594578.6</v>
      </c>
      <c r="R329" s="10">
        <f t="shared" si="352"/>
        <v>0</v>
      </c>
      <c r="S329" s="10">
        <f t="shared" si="4"/>
        <v>136594578.6</v>
      </c>
      <c r="T329" s="10">
        <f t="shared" si="5"/>
        <v>-0.01</v>
      </c>
      <c r="U329" s="8">
        <v>44561.0</v>
      </c>
      <c r="V329" s="7">
        <v>7.5E7</v>
      </c>
      <c r="W329" s="7">
        <v>7.498621161E7</v>
      </c>
      <c r="X329" s="7">
        <v>1.3659457864E8</v>
      </c>
      <c r="Y329" s="7">
        <v>0.0</v>
      </c>
      <c r="Z329" s="7">
        <v>-0.01</v>
      </c>
      <c r="AA329" s="6" t="s">
        <v>52</v>
      </c>
      <c r="AB329" s="11" t="str">
        <f t="shared" si="6"/>
        <v>Exclude</v>
      </c>
    </row>
    <row r="330" ht="15.0" customHeight="1">
      <c r="B330" s="6">
        <f t="shared" si="8"/>
        <v>328</v>
      </c>
      <c r="C330" s="1" t="s">
        <v>625</v>
      </c>
      <c r="D330" s="1" t="str">
        <f t="shared" si="2"/>
        <v>Private Equity</v>
      </c>
      <c r="E330" s="1" t="s">
        <v>43</v>
      </c>
      <c r="F330" s="1" t="s">
        <v>43</v>
      </c>
      <c r="G330" s="1" t="s">
        <v>625</v>
      </c>
      <c r="H330" s="1" t="s">
        <v>131</v>
      </c>
      <c r="I330" s="1" t="s">
        <v>318</v>
      </c>
      <c r="J330" s="1" t="s">
        <v>121</v>
      </c>
      <c r="K330" s="1" t="s">
        <v>122</v>
      </c>
      <c r="L330" s="1" t="s">
        <v>123</v>
      </c>
      <c r="N330" s="6">
        <v>2003.0</v>
      </c>
      <c r="O330" s="10">
        <f t="shared" ref="O330:R330" si="353">IFERROR(V330*INDEX($AH$4:$AH$8,MATCH($AA330,$AG$4:$AG$8,0)),"")</f>
        <v>100000000</v>
      </c>
      <c r="P330" s="10">
        <f t="shared" si="353"/>
        <v>101386111</v>
      </c>
      <c r="Q330" s="10">
        <f t="shared" si="353"/>
        <v>141630625.5</v>
      </c>
      <c r="R330" s="10">
        <f t="shared" si="353"/>
        <v>0</v>
      </c>
      <c r="S330" s="10">
        <f t="shared" si="4"/>
        <v>141630625.5</v>
      </c>
      <c r="T330" s="10">
        <f t="shared" si="5"/>
        <v>0</v>
      </c>
      <c r="U330" s="8">
        <v>43555.0</v>
      </c>
      <c r="V330" s="7">
        <v>1.0E8</v>
      </c>
      <c r="W330" s="7">
        <v>1.01386111E8</v>
      </c>
      <c r="X330" s="7">
        <v>1.416306255E8</v>
      </c>
      <c r="Y330" s="7">
        <v>0.0</v>
      </c>
      <c r="Z330" s="7">
        <v>0.0</v>
      </c>
      <c r="AA330" s="6" t="s">
        <v>52</v>
      </c>
      <c r="AB330" s="11" t="str">
        <f t="shared" si="6"/>
        <v>Exclude</v>
      </c>
    </row>
    <row r="331" ht="15.0" customHeight="1">
      <c r="B331" s="6">
        <f t="shared" si="8"/>
        <v>329</v>
      </c>
      <c r="C331" s="1" t="s">
        <v>626</v>
      </c>
      <c r="D331" s="1" t="str">
        <f t="shared" si="2"/>
        <v>Private Equity</v>
      </c>
      <c r="E331" s="1" t="s">
        <v>43</v>
      </c>
      <c r="F331" s="1" t="s">
        <v>43</v>
      </c>
      <c r="G331" s="1" t="s">
        <v>626</v>
      </c>
      <c r="H331" s="1" t="s">
        <v>627</v>
      </c>
      <c r="I331" s="1" t="s">
        <v>318</v>
      </c>
      <c r="J331" s="1" t="s">
        <v>121</v>
      </c>
      <c r="K331" s="1" t="s">
        <v>122</v>
      </c>
      <c r="L331" s="1" t="s">
        <v>123</v>
      </c>
      <c r="N331" s="6">
        <v>2004.0</v>
      </c>
      <c r="O331" s="10">
        <f t="shared" ref="O331:R331" si="354">IFERROR(V331*INDEX($AH$4:$AH$8,MATCH($AA331,$AG$4:$AG$8,0)),"")</f>
        <v>50000000</v>
      </c>
      <c r="P331" s="10">
        <f t="shared" si="354"/>
        <v>45102611.46</v>
      </c>
      <c r="Q331" s="10">
        <f t="shared" si="354"/>
        <v>6312006.11</v>
      </c>
      <c r="R331" s="10">
        <f t="shared" si="354"/>
        <v>0</v>
      </c>
      <c r="S331" s="10">
        <f t="shared" si="4"/>
        <v>6312006.11</v>
      </c>
      <c r="T331" s="10">
        <f t="shared" si="5"/>
        <v>0</v>
      </c>
      <c r="U331" s="8">
        <v>44439.0</v>
      </c>
      <c r="V331" s="7">
        <v>5.0E7</v>
      </c>
      <c r="W331" s="7">
        <v>4.510261146E7</v>
      </c>
      <c r="X331" s="7">
        <v>6312006.11</v>
      </c>
      <c r="Y331" s="7">
        <v>0.0</v>
      </c>
      <c r="Z331" s="7">
        <v>0.0</v>
      </c>
      <c r="AA331" s="6" t="s">
        <v>52</v>
      </c>
      <c r="AB331" s="11" t="str">
        <f t="shared" si="6"/>
        <v>Exclude</v>
      </c>
    </row>
    <row r="332" ht="15.0" customHeight="1">
      <c r="B332" s="6">
        <f t="shared" si="8"/>
        <v>330</v>
      </c>
      <c r="C332" s="1" t="s">
        <v>628</v>
      </c>
      <c r="D332" s="1" t="str">
        <f t="shared" si="2"/>
        <v>VC &amp; Growth</v>
      </c>
      <c r="E332" s="1" t="s">
        <v>270</v>
      </c>
      <c r="F332" s="1" t="s">
        <v>43</v>
      </c>
      <c r="G332" s="1" t="s">
        <v>629</v>
      </c>
      <c r="H332" s="1" t="s">
        <v>630</v>
      </c>
      <c r="I332" s="1" t="s">
        <v>318</v>
      </c>
      <c r="J332" s="1" t="s">
        <v>150</v>
      </c>
      <c r="K332" s="1" t="s">
        <v>150</v>
      </c>
      <c r="L332" s="1" t="s">
        <v>470</v>
      </c>
      <c r="N332" s="6">
        <v>2004.0</v>
      </c>
      <c r="O332" s="10">
        <f t="shared" ref="O332:R332" si="355">IFERROR(V332*INDEX($AH$4:$AH$8,MATCH($AA332,$AG$4:$AG$8,0)),"")</f>
        <v>50000000</v>
      </c>
      <c r="P332" s="10">
        <f t="shared" si="355"/>
        <v>50000000</v>
      </c>
      <c r="Q332" s="10">
        <f t="shared" si="355"/>
        <v>82339783.2</v>
      </c>
      <c r="R332" s="10">
        <f t="shared" si="355"/>
        <v>0</v>
      </c>
      <c r="S332" s="10">
        <f t="shared" si="4"/>
        <v>82339783.2</v>
      </c>
      <c r="T332" s="10">
        <f t="shared" si="5"/>
        <v>0</v>
      </c>
      <c r="U332" s="8">
        <v>45291.0</v>
      </c>
      <c r="V332" s="7">
        <v>5.0E7</v>
      </c>
      <c r="W332" s="7">
        <v>5.0E7</v>
      </c>
      <c r="X332" s="7">
        <v>8.23397832E7</v>
      </c>
      <c r="Y332" s="7">
        <v>0.0</v>
      </c>
      <c r="Z332" s="7">
        <v>0.0</v>
      </c>
      <c r="AA332" s="6" t="s">
        <v>52</v>
      </c>
      <c r="AB332" s="11" t="str">
        <f t="shared" si="6"/>
        <v>Exclude</v>
      </c>
    </row>
    <row r="333" ht="15.0" customHeight="1">
      <c r="B333" s="6">
        <f t="shared" si="8"/>
        <v>331</v>
      </c>
      <c r="C333" s="1" t="s">
        <v>631</v>
      </c>
      <c r="D333" s="1" t="str">
        <f t="shared" si="2"/>
        <v>Private Equity</v>
      </c>
      <c r="E333" s="1" t="s">
        <v>43</v>
      </c>
      <c r="F333" s="1" t="s">
        <v>43</v>
      </c>
      <c r="G333" s="1" t="s">
        <v>631</v>
      </c>
      <c r="H333" s="1" t="s">
        <v>143</v>
      </c>
      <c r="I333" s="1" t="s">
        <v>318</v>
      </c>
      <c r="J333" s="1" t="s">
        <v>121</v>
      </c>
      <c r="K333" s="1" t="s">
        <v>122</v>
      </c>
      <c r="L333" s="1" t="s">
        <v>123</v>
      </c>
      <c r="N333" s="6">
        <v>2004.0</v>
      </c>
      <c r="O333" s="10">
        <f t="shared" ref="O333:R333" si="356">IFERROR(V333*INDEX($AH$4:$AH$8,MATCH($AA333,$AG$4:$AG$8,0)),"")</f>
        <v>29890000</v>
      </c>
      <c r="P333" s="10">
        <f t="shared" si="356"/>
        <v>27844247</v>
      </c>
      <c r="Q333" s="10">
        <f t="shared" si="356"/>
        <v>44374647</v>
      </c>
      <c r="R333" s="10">
        <f t="shared" si="356"/>
        <v>0</v>
      </c>
      <c r="S333" s="10">
        <f t="shared" si="4"/>
        <v>44374647</v>
      </c>
      <c r="T333" s="10">
        <f t="shared" si="5"/>
        <v>0</v>
      </c>
      <c r="U333" s="8">
        <v>43100.0</v>
      </c>
      <c r="V333" s="7">
        <v>2.989E7</v>
      </c>
      <c r="W333" s="7">
        <v>2.7844247E7</v>
      </c>
      <c r="X333" s="7">
        <v>4.4374647E7</v>
      </c>
      <c r="Y333" s="7">
        <v>0.0</v>
      </c>
      <c r="Z333" s="7">
        <v>0.0</v>
      </c>
      <c r="AA333" s="6" t="s">
        <v>52</v>
      </c>
      <c r="AB333" s="11" t="str">
        <f t="shared" si="6"/>
        <v>Exclude</v>
      </c>
    </row>
    <row r="334" ht="15.0" customHeight="1">
      <c r="B334" s="6">
        <f t="shared" si="8"/>
        <v>332</v>
      </c>
      <c r="C334" s="1" t="s">
        <v>632</v>
      </c>
      <c r="D334" s="1" t="str">
        <f t="shared" si="2"/>
        <v>Private Equity</v>
      </c>
      <c r="E334" s="1" t="s">
        <v>43</v>
      </c>
      <c r="F334" s="1" t="s">
        <v>43</v>
      </c>
      <c r="G334" s="1" t="s">
        <v>633</v>
      </c>
      <c r="H334" s="1" t="s">
        <v>137</v>
      </c>
      <c r="I334" s="1" t="s">
        <v>318</v>
      </c>
      <c r="J334" s="1" t="s">
        <v>121</v>
      </c>
      <c r="K334" s="1" t="s">
        <v>122</v>
      </c>
      <c r="L334" s="1" t="s">
        <v>127</v>
      </c>
      <c r="N334" s="6">
        <v>2004.0</v>
      </c>
      <c r="O334" s="10">
        <f t="shared" ref="O334:R334" si="357">IFERROR(V334*INDEX($AH$4:$AH$8,MATCH($AA334,$AG$4:$AG$8,0)),"")</f>
        <v>100000000</v>
      </c>
      <c r="P334" s="10">
        <f t="shared" si="357"/>
        <v>85478735</v>
      </c>
      <c r="Q334" s="10">
        <f t="shared" si="357"/>
        <v>172785179</v>
      </c>
      <c r="R334" s="10">
        <f t="shared" si="357"/>
        <v>0</v>
      </c>
      <c r="S334" s="10">
        <f t="shared" si="4"/>
        <v>172785179</v>
      </c>
      <c r="T334" s="10">
        <f t="shared" si="5"/>
        <v>0</v>
      </c>
      <c r="U334" s="8">
        <v>44926.0</v>
      </c>
      <c r="V334" s="7">
        <v>1.0E8</v>
      </c>
      <c r="W334" s="7">
        <v>8.5478735E7</v>
      </c>
      <c r="X334" s="7">
        <v>1.72785179E8</v>
      </c>
      <c r="Y334" s="7">
        <v>0.0</v>
      </c>
      <c r="Z334" s="7">
        <v>0.0</v>
      </c>
      <c r="AA334" s="6" t="s">
        <v>52</v>
      </c>
      <c r="AB334" s="11" t="str">
        <f t="shared" si="6"/>
        <v>Exclude</v>
      </c>
    </row>
    <row r="335" ht="15.0" customHeight="1">
      <c r="B335" s="6">
        <f t="shared" si="8"/>
        <v>333</v>
      </c>
      <c r="C335" s="1" t="s">
        <v>634</v>
      </c>
      <c r="D335" s="1" t="str">
        <f t="shared" si="2"/>
        <v>Private Equity</v>
      </c>
      <c r="E335" s="1" t="s">
        <v>43</v>
      </c>
      <c r="F335" s="1" t="s">
        <v>43</v>
      </c>
      <c r="G335" s="1" t="s">
        <v>634</v>
      </c>
      <c r="H335" s="1" t="s">
        <v>140</v>
      </c>
      <c r="I335" s="1" t="s">
        <v>318</v>
      </c>
      <c r="J335" s="1" t="s">
        <v>121</v>
      </c>
      <c r="K335" s="1" t="s">
        <v>122</v>
      </c>
      <c r="L335" s="1" t="s">
        <v>127</v>
      </c>
      <c r="N335" s="6">
        <v>2005.0</v>
      </c>
      <c r="O335" s="10">
        <f t="shared" ref="O335:R335" si="358">IFERROR(V335*INDEX($AH$4:$AH$8,MATCH($AA335,$AG$4:$AG$8,0)),"")</f>
        <v>115551000</v>
      </c>
      <c r="P335" s="10">
        <f t="shared" si="358"/>
        <v>118034467.9</v>
      </c>
      <c r="Q335" s="10">
        <f t="shared" si="358"/>
        <v>175168250.4</v>
      </c>
      <c r="R335" s="10">
        <f t="shared" si="358"/>
        <v>0</v>
      </c>
      <c r="S335" s="10">
        <f t="shared" si="4"/>
        <v>175168250.4</v>
      </c>
      <c r="T335" s="10">
        <f t="shared" si="5"/>
        <v>-0.3235428</v>
      </c>
      <c r="U335" s="8">
        <v>44902.0</v>
      </c>
      <c r="V335" s="7">
        <v>1.0E8</v>
      </c>
      <c r="W335" s="7">
        <v>1.0214923964E8</v>
      </c>
      <c r="X335" s="7">
        <v>1.5159388531E8</v>
      </c>
      <c r="Y335" s="7">
        <v>0.0</v>
      </c>
      <c r="Z335" s="7">
        <v>-0.28</v>
      </c>
      <c r="AA335" s="6" t="s">
        <v>45</v>
      </c>
      <c r="AB335" s="11" t="str">
        <f t="shared" si="6"/>
        <v>Exclude</v>
      </c>
    </row>
    <row r="336" ht="15.0" customHeight="1">
      <c r="B336" s="6">
        <f t="shared" si="8"/>
        <v>334</v>
      </c>
      <c r="C336" s="1" t="s">
        <v>635</v>
      </c>
      <c r="D336" s="1" t="str">
        <f t="shared" si="2"/>
        <v>Private Equity</v>
      </c>
      <c r="E336" s="1" t="s">
        <v>43</v>
      </c>
      <c r="F336" s="1" t="s">
        <v>43</v>
      </c>
      <c r="G336" s="1" t="s">
        <v>635</v>
      </c>
      <c r="H336" s="1" t="s">
        <v>154</v>
      </c>
      <c r="I336" s="1" t="s">
        <v>318</v>
      </c>
      <c r="J336" s="1" t="s">
        <v>121</v>
      </c>
      <c r="K336" s="1" t="s">
        <v>92</v>
      </c>
      <c r="L336" s="1" t="s">
        <v>93</v>
      </c>
      <c r="N336" s="6">
        <v>2005.0</v>
      </c>
      <c r="O336" s="10">
        <f t="shared" ref="O336:R336" si="359">IFERROR(V336*INDEX($AH$4:$AH$8,MATCH($AA336,$AG$4:$AG$8,0)),"")</f>
        <v>75000000</v>
      </c>
      <c r="P336" s="10">
        <f t="shared" si="359"/>
        <v>88545176.75</v>
      </c>
      <c r="Q336" s="10">
        <f t="shared" si="359"/>
        <v>90951757.11</v>
      </c>
      <c r="R336" s="10">
        <f t="shared" si="359"/>
        <v>0</v>
      </c>
      <c r="S336" s="10">
        <f t="shared" si="4"/>
        <v>90951757.11</v>
      </c>
      <c r="T336" s="10">
        <f t="shared" si="5"/>
        <v>0</v>
      </c>
      <c r="U336" s="8">
        <v>45647.0</v>
      </c>
      <c r="V336" s="7">
        <v>7.5E7</v>
      </c>
      <c r="W336" s="7">
        <v>8.854517675E7</v>
      </c>
      <c r="X336" s="7">
        <v>9.095175711E7</v>
      </c>
      <c r="Y336" s="7">
        <v>0.0</v>
      </c>
      <c r="Z336" s="7">
        <v>0.0</v>
      </c>
      <c r="AA336" s="6" t="s">
        <v>52</v>
      </c>
      <c r="AB336" s="11" t="str">
        <f t="shared" si="6"/>
        <v>Exclude</v>
      </c>
    </row>
    <row r="337" ht="15.0" customHeight="1">
      <c r="B337" s="6">
        <f t="shared" si="8"/>
        <v>335</v>
      </c>
      <c r="C337" s="1" t="s">
        <v>636</v>
      </c>
      <c r="D337" s="1" t="str">
        <f t="shared" si="2"/>
        <v>Private Equity</v>
      </c>
      <c r="E337" s="1" t="s">
        <v>43</v>
      </c>
      <c r="F337" s="1" t="s">
        <v>43</v>
      </c>
      <c r="G337" s="1" t="s">
        <v>636</v>
      </c>
      <c r="H337" s="1" t="s">
        <v>522</v>
      </c>
      <c r="I337" s="1" t="s">
        <v>318</v>
      </c>
      <c r="J337" s="1" t="s">
        <v>121</v>
      </c>
      <c r="K337" s="1" t="s">
        <v>122</v>
      </c>
      <c r="L337" s="1" t="s">
        <v>123</v>
      </c>
      <c r="N337" s="6">
        <v>2005.0</v>
      </c>
      <c r="O337" s="10">
        <f t="shared" ref="O337:R337" si="360">IFERROR(V337*INDEX($AH$4:$AH$8,MATCH($AA337,$AG$4:$AG$8,0)),"")</f>
        <v>100000000</v>
      </c>
      <c r="P337" s="10">
        <f t="shared" si="360"/>
        <v>95198505</v>
      </c>
      <c r="Q337" s="10">
        <f t="shared" si="360"/>
        <v>108863652.8</v>
      </c>
      <c r="R337" s="10">
        <f t="shared" si="360"/>
        <v>0</v>
      </c>
      <c r="S337" s="10">
        <f t="shared" si="4"/>
        <v>108863652.8</v>
      </c>
      <c r="T337" s="10">
        <f t="shared" si="5"/>
        <v>0</v>
      </c>
      <c r="U337" s="8">
        <v>42004.0</v>
      </c>
      <c r="V337" s="7">
        <v>1.0E8</v>
      </c>
      <c r="W337" s="7">
        <v>9.5198505E7</v>
      </c>
      <c r="X337" s="7">
        <v>1.088636527671E8</v>
      </c>
      <c r="Y337" s="7">
        <v>0.0</v>
      </c>
      <c r="Z337" s="7">
        <v>0.0</v>
      </c>
      <c r="AA337" s="6" t="s">
        <v>52</v>
      </c>
      <c r="AB337" s="11" t="str">
        <f t="shared" si="6"/>
        <v>Exclude</v>
      </c>
    </row>
    <row r="338" ht="15.0" customHeight="1">
      <c r="B338" s="6">
        <f t="shared" si="8"/>
        <v>336</v>
      </c>
      <c r="C338" s="1" t="s">
        <v>637</v>
      </c>
      <c r="D338" s="1" t="str">
        <f t="shared" si="2"/>
        <v>Private Equity</v>
      </c>
      <c r="E338" s="1" t="s">
        <v>43</v>
      </c>
      <c r="F338" s="1" t="s">
        <v>43</v>
      </c>
      <c r="G338" s="1" t="s">
        <v>637</v>
      </c>
      <c r="H338" s="1" t="s">
        <v>37</v>
      </c>
      <c r="I338" s="1" t="s">
        <v>318</v>
      </c>
      <c r="J338" s="1" t="s">
        <v>121</v>
      </c>
      <c r="K338" s="1" t="s">
        <v>274</v>
      </c>
      <c r="L338" s="1" t="s">
        <v>173</v>
      </c>
      <c r="N338" s="6">
        <v>2005.0</v>
      </c>
      <c r="O338" s="10">
        <f t="shared" ref="O338:R338" si="361">IFERROR(V338*INDEX($AH$4:$AH$8,MATCH($AA338,$AG$4:$AG$8,0)),"")</f>
        <v>200000000</v>
      </c>
      <c r="P338" s="10">
        <f t="shared" si="361"/>
        <v>219058319.5</v>
      </c>
      <c r="Q338" s="10">
        <f t="shared" si="361"/>
        <v>293995521</v>
      </c>
      <c r="R338" s="10">
        <f t="shared" si="361"/>
        <v>0</v>
      </c>
      <c r="S338" s="10">
        <f t="shared" si="4"/>
        <v>293995521</v>
      </c>
      <c r="T338" s="10">
        <f t="shared" si="5"/>
        <v>0</v>
      </c>
      <c r="U338" s="8">
        <v>45569.0</v>
      </c>
      <c r="V338" s="7">
        <v>2.0E8</v>
      </c>
      <c r="W338" s="7">
        <v>2.1905831946E8</v>
      </c>
      <c r="X338" s="7">
        <v>2.9399552096E8</v>
      </c>
      <c r="Y338" s="7">
        <v>0.0</v>
      </c>
      <c r="Z338" s="7">
        <v>0.0</v>
      </c>
      <c r="AA338" s="6" t="s">
        <v>52</v>
      </c>
      <c r="AB338" s="11" t="str">
        <f t="shared" si="6"/>
        <v>Exclude</v>
      </c>
    </row>
    <row r="339" ht="15.0" customHeight="1">
      <c r="B339" s="6">
        <f t="shared" si="8"/>
        <v>337</v>
      </c>
      <c r="C339" s="1" t="s">
        <v>638</v>
      </c>
      <c r="D339" s="1" t="str">
        <f t="shared" si="2"/>
        <v>Private Equity</v>
      </c>
      <c r="E339" s="1" t="s">
        <v>43</v>
      </c>
      <c r="F339" s="1" t="s">
        <v>43</v>
      </c>
      <c r="G339" s="1" t="s">
        <v>638</v>
      </c>
      <c r="H339" s="1" t="s">
        <v>545</v>
      </c>
      <c r="I339" s="1" t="s">
        <v>318</v>
      </c>
      <c r="J339" s="1" t="s">
        <v>121</v>
      </c>
      <c r="K339" s="1" t="s">
        <v>122</v>
      </c>
      <c r="L339" s="1" t="s">
        <v>123</v>
      </c>
      <c r="N339" s="6">
        <v>2005.0</v>
      </c>
      <c r="O339" s="10">
        <f t="shared" ref="O339:R339" si="362">IFERROR(V339*INDEX($AH$4:$AH$8,MATCH($AA339,$AG$4:$AG$8,0)),"")</f>
        <v>88000000</v>
      </c>
      <c r="P339" s="10">
        <f t="shared" si="362"/>
        <v>88076832</v>
      </c>
      <c r="Q339" s="10">
        <f t="shared" si="362"/>
        <v>77248244.11</v>
      </c>
      <c r="R339" s="10">
        <f t="shared" si="362"/>
        <v>0</v>
      </c>
      <c r="S339" s="10">
        <f t="shared" si="4"/>
        <v>77248244.11</v>
      </c>
      <c r="T339" s="10">
        <f t="shared" si="5"/>
        <v>0</v>
      </c>
      <c r="U339" s="8">
        <v>42004.0</v>
      </c>
      <c r="V339" s="7">
        <v>8.8E7</v>
      </c>
      <c r="W339" s="7">
        <v>8.8076832E7</v>
      </c>
      <c r="X339" s="7">
        <v>7.72482441091E7</v>
      </c>
      <c r="Y339" s="7">
        <v>0.0</v>
      </c>
      <c r="Z339" s="7">
        <v>0.0</v>
      </c>
      <c r="AA339" s="6" t="s">
        <v>52</v>
      </c>
      <c r="AB339" s="11" t="str">
        <f t="shared" si="6"/>
        <v>Exclude</v>
      </c>
    </row>
    <row r="340" ht="15.0" customHeight="1">
      <c r="B340" s="6">
        <f t="shared" si="8"/>
        <v>338</v>
      </c>
      <c r="C340" s="1" t="s">
        <v>639</v>
      </c>
      <c r="D340" s="1" t="str">
        <f t="shared" si="2"/>
        <v>Private Equity</v>
      </c>
      <c r="E340" s="1" t="s">
        <v>43</v>
      </c>
      <c r="F340" s="1" t="s">
        <v>43</v>
      </c>
      <c r="G340" s="1" t="s">
        <v>639</v>
      </c>
      <c r="H340" s="1" t="s">
        <v>580</v>
      </c>
      <c r="I340" s="1" t="s">
        <v>318</v>
      </c>
      <c r="J340" s="1" t="s">
        <v>121</v>
      </c>
      <c r="K340" s="1" t="s">
        <v>122</v>
      </c>
      <c r="L340" s="1" t="s">
        <v>127</v>
      </c>
      <c r="N340" s="6">
        <v>2005.0</v>
      </c>
      <c r="O340" s="10">
        <f t="shared" ref="O340:R340" si="363">IFERROR(V340*INDEX($AH$4:$AH$8,MATCH($AA340,$AG$4:$AG$8,0)),"")</f>
        <v>250000000</v>
      </c>
      <c r="P340" s="10">
        <f t="shared" si="363"/>
        <v>227114531</v>
      </c>
      <c r="Q340" s="10">
        <f t="shared" si="363"/>
        <v>296482525.6</v>
      </c>
      <c r="R340" s="10">
        <f t="shared" si="363"/>
        <v>0</v>
      </c>
      <c r="S340" s="10">
        <f t="shared" si="4"/>
        <v>296482525.6</v>
      </c>
      <c r="T340" s="10">
        <f t="shared" si="5"/>
        <v>0</v>
      </c>
      <c r="U340" s="8">
        <v>42004.0</v>
      </c>
      <c r="V340" s="7">
        <v>2.5E8</v>
      </c>
      <c r="W340" s="7">
        <v>2.27114531E8</v>
      </c>
      <c r="X340" s="7">
        <v>2.964825256165E8</v>
      </c>
      <c r="Y340" s="7">
        <v>0.0</v>
      </c>
      <c r="Z340" s="7">
        <v>0.0</v>
      </c>
      <c r="AA340" s="6" t="s">
        <v>52</v>
      </c>
      <c r="AB340" s="11" t="str">
        <f t="shared" si="6"/>
        <v>Exclude</v>
      </c>
    </row>
    <row r="341" ht="15.0" customHeight="1">
      <c r="B341" s="6">
        <f t="shared" si="8"/>
        <v>339</v>
      </c>
      <c r="C341" s="1" t="s">
        <v>640</v>
      </c>
      <c r="D341" s="1" t="str">
        <f t="shared" si="2"/>
        <v>VC &amp; Growth</v>
      </c>
      <c r="E341" s="1" t="s">
        <v>270</v>
      </c>
      <c r="F341" s="1" t="s">
        <v>43</v>
      </c>
      <c r="G341" s="1" t="s">
        <v>640</v>
      </c>
      <c r="H341" s="1" t="s">
        <v>37</v>
      </c>
      <c r="I341" s="1" t="s">
        <v>318</v>
      </c>
      <c r="J341" s="1" t="s">
        <v>150</v>
      </c>
      <c r="K341" s="1" t="s">
        <v>274</v>
      </c>
      <c r="L341" s="1" t="s">
        <v>204</v>
      </c>
      <c r="N341" s="6">
        <v>2005.0</v>
      </c>
      <c r="O341" s="10">
        <f t="shared" ref="O341:R341" si="364">IFERROR(V341*INDEX($AH$4:$AH$8,MATCH($AA341,$AG$4:$AG$8,0)),"")</f>
        <v>50000000</v>
      </c>
      <c r="P341" s="10">
        <f t="shared" si="364"/>
        <v>56644118.35</v>
      </c>
      <c r="Q341" s="10">
        <f t="shared" si="364"/>
        <v>74370741.39</v>
      </c>
      <c r="R341" s="10">
        <f t="shared" si="364"/>
        <v>0</v>
      </c>
      <c r="S341" s="10">
        <f t="shared" si="4"/>
        <v>74370741.39</v>
      </c>
      <c r="T341" s="10">
        <f t="shared" si="5"/>
        <v>0</v>
      </c>
      <c r="U341" s="8">
        <v>45569.0</v>
      </c>
      <c r="V341" s="7">
        <v>5.0E7</v>
      </c>
      <c r="W341" s="7">
        <v>5.664411835E7</v>
      </c>
      <c r="X341" s="7">
        <v>7.437074139E7</v>
      </c>
      <c r="Y341" s="7">
        <v>0.0</v>
      </c>
      <c r="Z341" s="7">
        <v>0.0</v>
      </c>
      <c r="AA341" s="6" t="s">
        <v>52</v>
      </c>
      <c r="AB341" s="11" t="str">
        <f t="shared" si="6"/>
        <v>Exclude</v>
      </c>
    </row>
    <row r="342" ht="15.0" customHeight="1">
      <c r="B342" s="6">
        <f t="shared" si="8"/>
        <v>340</v>
      </c>
      <c r="C342" s="1" t="s">
        <v>641</v>
      </c>
      <c r="D342" s="1" t="str">
        <f t="shared" si="2"/>
        <v>Private Equity</v>
      </c>
      <c r="E342" s="1" t="s">
        <v>43</v>
      </c>
      <c r="F342" s="1" t="s">
        <v>43</v>
      </c>
      <c r="G342" s="1" t="s">
        <v>641</v>
      </c>
      <c r="H342" s="1" t="s">
        <v>125</v>
      </c>
      <c r="I342" s="1" t="s">
        <v>318</v>
      </c>
      <c r="J342" s="1" t="s">
        <v>121</v>
      </c>
      <c r="K342" s="1" t="s">
        <v>122</v>
      </c>
      <c r="L342" s="1" t="s">
        <v>127</v>
      </c>
      <c r="N342" s="6">
        <v>2005.0</v>
      </c>
      <c r="O342" s="10">
        <f t="shared" ref="O342:R342" si="365">IFERROR(V342*INDEX($AH$4:$AH$8,MATCH($AA342,$AG$4:$AG$8,0)),"")</f>
        <v>219546900</v>
      </c>
      <c r="P342" s="10">
        <f t="shared" si="365"/>
        <v>210227850.6</v>
      </c>
      <c r="Q342" s="10">
        <f t="shared" si="365"/>
        <v>287812377.7</v>
      </c>
      <c r="R342" s="10">
        <f t="shared" si="365"/>
        <v>0</v>
      </c>
      <c r="S342" s="10">
        <f t="shared" si="4"/>
        <v>287812377.7</v>
      </c>
      <c r="T342" s="10">
        <f t="shared" si="5"/>
        <v>-0.115551</v>
      </c>
      <c r="U342" s="8">
        <v>45565.0</v>
      </c>
      <c r="V342" s="7">
        <v>1.9E8</v>
      </c>
      <c r="W342" s="7">
        <v>1.8193512006E8</v>
      </c>
      <c r="X342" s="7">
        <v>2.4907822324E8</v>
      </c>
      <c r="Y342" s="7">
        <v>0.0</v>
      </c>
      <c r="Z342" s="7">
        <v>-0.1</v>
      </c>
      <c r="AA342" s="6" t="s">
        <v>45</v>
      </c>
      <c r="AB342" s="11" t="str">
        <f t="shared" si="6"/>
        <v>Exclude</v>
      </c>
    </row>
    <row r="343" ht="15.0" customHeight="1">
      <c r="B343" s="6">
        <f t="shared" si="8"/>
        <v>341</v>
      </c>
      <c r="C343" s="1" t="s">
        <v>642</v>
      </c>
      <c r="D343" s="1" t="str">
        <f t="shared" si="2"/>
        <v>Private Equity</v>
      </c>
      <c r="E343" s="1" t="s">
        <v>43</v>
      </c>
      <c r="F343" s="1" t="s">
        <v>43</v>
      </c>
      <c r="G343" s="1" t="s">
        <v>642</v>
      </c>
      <c r="H343" s="1" t="s">
        <v>182</v>
      </c>
      <c r="I343" s="1" t="s">
        <v>318</v>
      </c>
      <c r="J343" s="1" t="s">
        <v>121</v>
      </c>
      <c r="K343" s="1" t="s">
        <v>122</v>
      </c>
      <c r="L343" s="1" t="s">
        <v>127</v>
      </c>
      <c r="N343" s="6">
        <v>2004.0</v>
      </c>
      <c r="O343" s="10">
        <f t="shared" ref="O343:R343" si="366">IFERROR(V343*INDEX($AH$4:$AH$8,MATCH($AA343,$AG$4:$AG$8,0)),"")</f>
        <v>150000000</v>
      </c>
      <c r="P343" s="10">
        <f t="shared" si="366"/>
        <v>154361773</v>
      </c>
      <c r="Q343" s="10">
        <f t="shared" si="366"/>
        <v>235834814</v>
      </c>
      <c r="R343" s="10">
        <f t="shared" si="366"/>
        <v>16319564</v>
      </c>
      <c r="S343" s="10">
        <f t="shared" si="4"/>
        <v>252154378</v>
      </c>
      <c r="T343" s="10">
        <f t="shared" si="5"/>
        <v>2684868</v>
      </c>
      <c r="U343" s="8">
        <v>46112.0</v>
      </c>
      <c r="V343" s="7">
        <v>1.5E8</v>
      </c>
      <c r="W343" s="7">
        <v>1.54361773E8</v>
      </c>
      <c r="X343" s="7">
        <v>2.35834814E8</v>
      </c>
      <c r="Y343" s="7">
        <v>1.6319564E7</v>
      </c>
      <c r="Z343" s="7">
        <v>2684868.0</v>
      </c>
      <c r="AA343" s="6" t="s">
        <v>52</v>
      </c>
      <c r="AB343" s="11" t="str">
        <f t="shared" si="6"/>
        <v>Include</v>
      </c>
      <c r="AC343" s="1">
        <f>S343/P343</f>
        <v>1.633528646</v>
      </c>
    </row>
    <row r="344" ht="15.0" customHeight="1">
      <c r="B344" s="6">
        <f t="shared" si="8"/>
        <v>342</v>
      </c>
      <c r="C344" s="1" t="s">
        <v>643</v>
      </c>
      <c r="D344" s="1" t="str">
        <f t="shared" si="2"/>
        <v>Private Equity</v>
      </c>
      <c r="E344" s="1" t="s">
        <v>43</v>
      </c>
      <c r="F344" s="1" t="s">
        <v>43</v>
      </c>
      <c r="G344" s="1" t="s">
        <v>643</v>
      </c>
      <c r="H344" s="1" t="s">
        <v>176</v>
      </c>
      <c r="I344" s="1" t="s">
        <v>318</v>
      </c>
      <c r="J344" s="1" t="s">
        <v>121</v>
      </c>
      <c r="K344" s="1" t="s">
        <v>122</v>
      </c>
      <c r="L344" s="1" t="s">
        <v>123</v>
      </c>
      <c r="N344" s="6">
        <v>2005.0</v>
      </c>
      <c r="O344" s="10">
        <f t="shared" ref="O344:R344" si="367">IFERROR(V344*INDEX($AH$4:$AH$8,MATCH($AA344,$AG$4:$AG$8,0)),"")</f>
        <v>200000000</v>
      </c>
      <c r="P344" s="10">
        <f t="shared" si="367"/>
        <v>218843347.9</v>
      </c>
      <c r="Q344" s="10">
        <f t="shared" si="367"/>
        <v>212728442.5</v>
      </c>
      <c r="R344" s="10">
        <f t="shared" si="367"/>
        <v>0</v>
      </c>
      <c r="S344" s="10">
        <f t="shared" si="4"/>
        <v>212728442.5</v>
      </c>
      <c r="T344" s="10">
        <f t="shared" si="5"/>
        <v>0.25</v>
      </c>
      <c r="U344" s="8">
        <v>45672.0</v>
      </c>
      <c r="V344" s="7">
        <v>2.0E8</v>
      </c>
      <c r="W344" s="7">
        <v>2.1884334794E8</v>
      </c>
      <c r="X344" s="7">
        <v>2.1272844252E8</v>
      </c>
      <c r="Y344" s="7">
        <v>0.0</v>
      </c>
      <c r="Z344" s="7">
        <v>0.25</v>
      </c>
      <c r="AA344" s="6" t="s">
        <v>52</v>
      </c>
      <c r="AB344" s="11" t="str">
        <f t="shared" si="6"/>
        <v>Exclude</v>
      </c>
    </row>
    <row r="345" ht="15.0" customHeight="1">
      <c r="B345" s="6">
        <f t="shared" si="8"/>
        <v>343</v>
      </c>
      <c r="C345" s="1" t="s">
        <v>644</v>
      </c>
      <c r="D345" s="1" t="str">
        <f t="shared" si="2"/>
        <v>Private Equity</v>
      </c>
      <c r="E345" s="1" t="s">
        <v>43</v>
      </c>
      <c r="F345" s="1" t="s">
        <v>43</v>
      </c>
      <c r="G345" s="1" t="s">
        <v>644</v>
      </c>
      <c r="H345" s="1" t="s">
        <v>537</v>
      </c>
      <c r="I345" s="1" t="s">
        <v>318</v>
      </c>
      <c r="J345" s="1" t="s">
        <v>121</v>
      </c>
      <c r="K345" s="1" t="s">
        <v>92</v>
      </c>
      <c r="L345" s="1" t="s">
        <v>575</v>
      </c>
      <c r="N345" s="6">
        <v>2006.0</v>
      </c>
      <c r="O345" s="10">
        <f t="shared" ref="O345:R345" si="368">IFERROR(V345*INDEX($AH$4:$AH$8,MATCH($AA345,$AG$4:$AG$8,0)),"")</f>
        <v>198147699</v>
      </c>
      <c r="P345" s="10">
        <f t="shared" si="368"/>
        <v>201932340</v>
      </c>
      <c r="Q345" s="10">
        <f t="shared" si="368"/>
        <v>267312050</v>
      </c>
      <c r="R345" s="10">
        <f t="shared" si="368"/>
        <v>0</v>
      </c>
      <c r="S345" s="10">
        <f t="shared" si="4"/>
        <v>267312050</v>
      </c>
      <c r="T345" s="10">
        <f t="shared" si="5"/>
        <v>-0.19</v>
      </c>
      <c r="U345" s="8">
        <v>43738.0</v>
      </c>
      <c r="V345" s="7">
        <v>1.98147699E8</v>
      </c>
      <c r="W345" s="7">
        <v>2.0193234E8</v>
      </c>
      <c r="X345" s="7">
        <v>2.6731204996E8</v>
      </c>
      <c r="Y345" s="7">
        <v>0.0</v>
      </c>
      <c r="Z345" s="7">
        <v>-0.19</v>
      </c>
      <c r="AA345" s="6" t="s">
        <v>52</v>
      </c>
      <c r="AB345" s="11" t="str">
        <f t="shared" si="6"/>
        <v>Exclude</v>
      </c>
    </row>
    <row r="346" ht="15.0" customHeight="1">
      <c r="B346" s="6">
        <f t="shared" si="8"/>
        <v>344</v>
      </c>
      <c r="C346" s="1" t="s">
        <v>645</v>
      </c>
      <c r="D346" s="1" t="str">
        <f t="shared" si="2"/>
        <v>Private Equity</v>
      </c>
      <c r="E346" s="1" t="s">
        <v>43</v>
      </c>
      <c r="F346" s="1" t="s">
        <v>43</v>
      </c>
      <c r="G346" s="1" t="s">
        <v>645</v>
      </c>
      <c r="H346" s="1" t="s">
        <v>185</v>
      </c>
      <c r="I346" s="1" t="s">
        <v>318</v>
      </c>
      <c r="J346" s="1" t="s">
        <v>121</v>
      </c>
      <c r="K346" s="1" t="s">
        <v>122</v>
      </c>
      <c r="L346" s="1" t="s">
        <v>123</v>
      </c>
      <c r="N346" s="6">
        <v>2005.0</v>
      </c>
      <c r="O346" s="10">
        <f t="shared" ref="O346:R346" si="369">IFERROR(V346*INDEX($AH$4:$AH$8,MATCH($AA346,$AG$4:$AG$8,0)),"")</f>
        <v>122500000</v>
      </c>
      <c r="P346" s="10">
        <f t="shared" si="369"/>
        <v>145826723.2</v>
      </c>
      <c r="Q346" s="10">
        <f t="shared" si="369"/>
        <v>340525787.4</v>
      </c>
      <c r="R346" s="10">
        <f t="shared" si="369"/>
        <v>0</v>
      </c>
      <c r="S346" s="10">
        <f t="shared" si="4"/>
        <v>340525787.4</v>
      </c>
      <c r="T346" s="10">
        <f t="shared" si="5"/>
        <v>-0.053</v>
      </c>
      <c r="U346" s="8">
        <v>43555.0</v>
      </c>
      <c r="V346" s="7">
        <v>1.225E8</v>
      </c>
      <c r="W346" s="7">
        <v>1.45826723173E8</v>
      </c>
      <c r="X346" s="7">
        <v>3.4052578738E8</v>
      </c>
      <c r="Y346" s="7">
        <v>0.0</v>
      </c>
      <c r="Z346" s="7">
        <v>-0.053</v>
      </c>
      <c r="AA346" s="6" t="s">
        <v>52</v>
      </c>
      <c r="AB346" s="11" t="str">
        <f t="shared" si="6"/>
        <v>Exclude</v>
      </c>
    </row>
    <row r="347" ht="15.0" customHeight="1">
      <c r="B347" s="6">
        <f t="shared" si="8"/>
        <v>345</v>
      </c>
      <c r="C347" s="1" t="s">
        <v>646</v>
      </c>
      <c r="D347" s="1" t="str">
        <f t="shared" si="2"/>
        <v>VC &amp; Growth</v>
      </c>
      <c r="E347" s="1" t="s">
        <v>270</v>
      </c>
      <c r="F347" s="1" t="s">
        <v>43</v>
      </c>
      <c r="G347" s="1" t="s">
        <v>646</v>
      </c>
      <c r="H347" s="1" t="s">
        <v>606</v>
      </c>
      <c r="I347" s="1" t="s">
        <v>318</v>
      </c>
      <c r="J347" s="1" t="s">
        <v>150</v>
      </c>
      <c r="K347" s="1" t="s">
        <v>150</v>
      </c>
      <c r="L347" s="1" t="s">
        <v>470</v>
      </c>
      <c r="N347" s="6">
        <v>2005.0</v>
      </c>
      <c r="O347" s="10">
        <f t="shared" ref="O347:R347" si="370">IFERROR(V347*INDEX($AH$4:$AH$8,MATCH($AA347,$AG$4:$AG$8,0)),"")</f>
        <v>50000000</v>
      </c>
      <c r="P347" s="10">
        <f t="shared" si="370"/>
        <v>58990086.4</v>
      </c>
      <c r="Q347" s="10">
        <f t="shared" si="370"/>
        <v>58681857.12</v>
      </c>
      <c r="R347" s="10">
        <f t="shared" si="370"/>
        <v>2432403</v>
      </c>
      <c r="S347" s="10">
        <f t="shared" si="4"/>
        <v>61114260.12</v>
      </c>
      <c r="T347" s="10">
        <f t="shared" si="5"/>
        <v>184762.2</v>
      </c>
      <c r="U347" s="8">
        <v>46112.0</v>
      </c>
      <c r="V347" s="7">
        <v>5.0E7</v>
      </c>
      <c r="W347" s="7">
        <v>5.89900864E7</v>
      </c>
      <c r="X347" s="7">
        <v>5.868185712E7</v>
      </c>
      <c r="Y347" s="7">
        <v>2432403.0</v>
      </c>
      <c r="Z347" s="7">
        <v>184762.2</v>
      </c>
      <c r="AA347" s="6" t="s">
        <v>52</v>
      </c>
      <c r="AB347" s="11" t="str">
        <f t="shared" si="6"/>
        <v>Include</v>
      </c>
      <c r="AC347" s="1">
        <f>S347/P347</f>
        <v>1.036008995</v>
      </c>
    </row>
    <row r="348" ht="15.0" customHeight="1">
      <c r="B348" s="6">
        <f t="shared" si="8"/>
        <v>346</v>
      </c>
      <c r="C348" s="1" t="s">
        <v>647</v>
      </c>
      <c r="D348" s="1" t="str">
        <f t="shared" si="2"/>
        <v>Private Equity</v>
      </c>
      <c r="E348" s="1" t="s">
        <v>43</v>
      </c>
      <c r="F348" s="1" t="s">
        <v>43</v>
      </c>
      <c r="G348" s="1" t="s">
        <v>647</v>
      </c>
      <c r="H348" s="1" t="s">
        <v>383</v>
      </c>
      <c r="I348" s="1" t="s">
        <v>318</v>
      </c>
      <c r="J348" s="1" t="s">
        <v>121</v>
      </c>
      <c r="K348" s="1" t="s">
        <v>92</v>
      </c>
      <c r="L348" s="1" t="s">
        <v>573</v>
      </c>
      <c r="N348" s="6">
        <v>2006.0</v>
      </c>
      <c r="O348" s="10">
        <f t="shared" ref="O348:R348" si="371">IFERROR(V348*INDEX($AH$4:$AH$8,MATCH($AA348,$AG$4:$AG$8,0)),"")</f>
        <v>115000000</v>
      </c>
      <c r="P348" s="10">
        <f t="shared" si="371"/>
        <v>144782669</v>
      </c>
      <c r="Q348" s="10">
        <f t="shared" si="371"/>
        <v>190119308</v>
      </c>
      <c r="R348" s="10">
        <f t="shared" si="371"/>
        <v>0</v>
      </c>
      <c r="S348" s="10">
        <f t="shared" si="4"/>
        <v>190119308</v>
      </c>
      <c r="T348" s="10">
        <f t="shared" si="5"/>
        <v>0</v>
      </c>
      <c r="U348" s="8">
        <v>43100.0</v>
      </c>
      <c r="V348" s="7">
        <v>1.15E8</v>
      </c>
      <c r="W348" s="7">
        <v>1.44782669E8</v>
      </c>
      <c r="X348" s="7">
        <v>1.90119308E8</v>
      </c>
      <c r="Y348" s="7">
        <v>0.0</v>
      </c>
      <c r="Z348" s="7">
        <v>0.0</v>
      </c>
      <c r="AA348" s="6" t="s">
        <v>52</v>
      </c>
      <c r="AB348" s="11" t="str">
        <f t="shared" si="6"/>
        <v>Exclude</v>
      </c>
    </row>
    <row r="349" ht="15.0" customHeight="1">
      <c r="B349" s="6">
        <f t="shared" si="8"/>
        <v>347</v>
      </c>
      <c r="C349" s="1" t="s">
        <v>648</v>
      </c>
      <c r="D349" s="1" t="str">
        <f t="shared" si="2"/>
        <v>VC &amp; Growth</v>
      </c>
      <c r="E349" s="1" t="s">
        <v>270</v>
      </c>
      <c r="F349" s="1" t="s">
        <v>43</v>
      </c>
      <c r="G349" s="1" t="s">
        <v>648</v>
      </c>
      <c r="H349" s="1" t="s">
        <v>547</v>
      </c>
      <c r="I349" s="1" t="s">
        <v>318</v>
      </c>
      <c r="J349" s="1" t="s">
        <v>150</v>
      </c>
      <c r="K349" s="1" t="s">
        <v>150</v>
      </c>
      <c r="L349" s="1" t="s">
        <v>649</v>
      </c>
      <c r="N349" s="6">
        <v>2005.0</v>
      </c>
      <c r="O349" s="10">
        <f t="shared" ref="O349:R349" si="372">IFERROR(V349*INDEX($AH$4:$AH$8,MATCH($AA349,$AG$4:$AG$8,0)),"")</f>
        <v>135000000</v>
      </c>
      <c r="P349" s="10">
        <f t="shared" si="372"/>
        <v>134325000</v>
      </c>
      <c r="Q349" s="10">
        <f t="shared" si="372"/>
        <v>143431558.8</v>
      </c>
      <c r="R349" s="10">
        <f t="shared" si="372"/>
        <v>447313</v>
      </c>
      <c r="S349" s="10">
        <f t="shared" si="4"/>
        <v>143878871.8</v>
      </c>
      <c r="T349" s="10">
        <f t="shared" si="5"/>
        <v>675000</v>
      </c>
      <c r="U349" s="8">
        <v>46022.0</v>
      </c>
      <c r="V349" s="7">
        <v>1.35E8</v>
      </c>
      <c r="W349" s="7">
        <v>1.34325E8</v>
      </c>
      <c r="X349" s="7">
        <v>1.4343155876E8</v>
      </c>
      <c r="Y349" s="7">
        <v>447313.0</v>
      </c>
      <c r="Z349" s="7">
        <v>675000.0</v>
      </c>
      <c r="AA349" s="6" t="s">
        <v>52</v>
      </c>
      <c r="AB349" s="11" t="str">
        <f t="shared" si="6"/>
        <v>Include</v>
      </c>
      <c r="AC349" s="1">
        <f>S349/P349</f>
        <v>1.071125046</v>
      </c>
    </row>
    <row r="350" ht="15.0" customHeight="1">
      <c r="B350" s="6">
        <f t="shared" si="8"/>
        <v>348</v>
      </c>
      <c r="C350" s="1" t="s">
        <v>650</v>
      </c>
      <c r="D350" s="1" t="str">
        <f t="shared" si="2"/>
        <v>Private Equity</v>
      </c>
      <c r="E350" s="1" t="s">
        <v>43</v>
      </c>
      <c r="F350" s="1" t="s">
        <v>43</v>
      </c>
      <c r="G350" s="1" t="s">
        <v>650</v>
      </c>
      <c r="H350" s="1" t="s">
        <v>332</v>
      </c>
      <c r="I350" s="1" t="s">
        <v>318</v>
      </c>
      <c r="J350" s="1" t="s">
        <v>121</v>
      </c>
      <c r="K350" s="1" t="s">
        <v>122</v>
      </c>
      <c r="L350" s="1" t="s">
        <v>180</v>
      </c>
      <c r="N350" s="6">
        <v>2006.0</v>
      </c>
      <c r="O350" s="10">
        <f t="shared" ref="O350:R350" si="373">IFERROR(V350*INDEX($AH$4:$AH$8,MATCH($AA350,$AG$4:$AG$8,0)),"")</f>
        <v>250000000</v>
      </c>
      <c r="P350" s="10">
        <f t="shared" si="373"/>
        <v>261870734</v>
      </c>
      <c r="Q350" s="10">
        <f t="shared" si="373"/>
        <v>307849389.6</v>
      </c>
      <c r="R350" s="10">
        <f t="shared" si="373"/>
        <v>0</v>
      </c>
      <c r="S350" s="10">
        <f t="shared" si="4"/>
        <v>307849389.6</v>
      </c>
      <c r="T350" s="10">
        <f t="shared" si="5"/>
        <v>0</v>
      </c>
      <c r="U350" s="8">
        <v>42004.0</v>
      </c>
      <c r="V350" s="7">
        <v>2.5E8</v>
      </c>
      <c r="W350" s="7">
        <v>2.61870734E8</v>
      </c>
      <c r="X350" s="7">
        <v>3.0784938961E8</v>
      </c>
      <c r="Y350" s="7">
        <v>0.0</v>
      </c>
      <c r="Z350" s="7">
        <v>0.0</v>
      </c>
      <c r="AA350" s="6" t="s">
        <v>52</v>
      </c>
      <c r="AB350" s="11" t="str">
        <f t="shared" si="6"/>
        <v>Exclude</v>
      </c>
    </row>
    <row r="351" ht="15.0" customHeight="1">
      <c r="B351" s="6">
        <f t="shared" si="8"/>
        <v>349</v>
      </c>
      <c r="C351" s="1" t="s">
        <v>651</v>
      </c>
      <c r="D351" s="1" t="str">
        <f t="shared" si="2"/>
        <v>Private Equity</v>
      </c>
      <c r="E351" s="1" t="s">
        <v>43</v>
      </c>
      <c r="F351" s="1" t="s">
        <v>43</v>
      </c>
      <c r="G351" s="1" t="s">
        <v>651</v>
      </c>
      <c r="H351" s="1" t="s">
        <v>160</v>
      </c>
      <c r="I351" s="1" t="s">
        <v>318</v>
      </c>
      <c r="J351" s="1" t="s">
        <v>121</v>
      </c>
      <c r="K351" s="1" t="s">
        <v>122</v>
      </c>
      <c r="L351" s="1" t="s">
        <v>123</v>
      </c>
      <c r="N351" s="6">
        <v>2005.0</v>
      </c>
      <c r="O351" s="10">
        <f t="shared" ref="O351:R351" si="374">IFERROR(V351*INDEX($AH$4:$AH$8,MATCH($AA351,$AG$4:$AG$8,0)),"")</f>
        <v>50000000</v>
      </c>
      <c r="P351" s="10">
        <f t="shared" si="374"/>
        <v>45230610.19</v>
      </c>
      <c r="Q351" s="10">
        <f t="shared" si="374"/>
        <v>106717134.8</v>
      </c>
      <c r="R351" s="10">
        <f t="shared" si="374"/>
        <v>0</v>
      </c>
      <c r="S351" s="10">
        <f t="shared" si="4"/>
        <v>106717134.8</v>
      </c>
      <c r="T351" s="10">
        <f t="shared" si="5"/>
        <v>-0.19</v>
      </c>
      <c r="U351" s="8">
        <v>43812.0</v>
      </c>
      <c r="V351" s="7">
        <v>5.0E7</v>
      </c>
      <c r="W351" s="7">
        <v>4.523061019E7</v>
      </c>
      <c r="X351" s="7">
        <v>1.067171348E8</v>
      </c>
      <c r="Y351" s="7">
        <v>0.0</v>
      </c>
      <c r="Z351" s="7">
        <v>-0.19</v>
      </c>
      <c r="AA351" s="6" t="s">
        <v>52</v>
      </c>
      <c r="AB351" s="11" t="str">
        <f t="shared" si="6"/>
        <v>Exclude</v>
      </c>
    </row>
    <row r="352" ht="15.0" customHeight="1">
      <c r="B352" s="6">
        <f t="shared" si="8"/>
        <v>350</v>
      </c>
      <c r="C352" s="1" t="s">
        <v>652</v>
      </c>
      <c r="D352" s="1" t="str">
        <f t="shared" si="2"/>
        <v>Private Equity</v>
      </c>
      <c r="E352" s="1" t="s">
        <v>43</v>
      </c>
      <c r="F352" s="1" t="s">
        <v>43</v>
      </c>
      <c r="G352" s="1" t="s">
        <v>652</v>
      </c>
      <c r="H352" s="1" t="s">
        <v>585</v>
      </c>
      <c r="I352" s="1" t="s">
        <v>318</v>
      </c>
      <c r="J352" s="1" t="s">
        <v>121</v>
      </c>
      <c r="K352" s="1" t="s">
        <v>122</v>
      </c>
      <c r="L352" s="1" t="s">
        <v>127</v>
      </c>
      <c r="N352" s="6">
        <v>2006.0</v>
      </c>
      <c r="O352" s="10">
        <f t="shared" ref="O352:R352" si="375">IFERROR(V352*INDEX($AH$4:$AH$8,MATCH($AA352,$AG$4:$AG$8,0)),"")</f>
        <v>150000000</v>
      </c>
      <c r="P352" s="10">
        <f t="shared" si="375"/>
        <v>158970349.6</v>
      </c>
      <c r="Q352" s="10">
        <f t="shared" si="375"/>
        <v>271679314.5</v>
      </c>
      <c r="R352" s="10">
        <f t="shared" si="375"/>
        <v>2962875</v>
      </c>
      <c r="S352" s="10">
        <f t="shared" si="4"/>
        <v>274642189.5</v>
      </c>
      <c r="T352" s="10">
        <f t="shared" si="5"/>
        <v>2906068.95</v>
      </c>
      <c r="U352" s="8">
        <v>46112.0</v>
      </c>
      <c r="V352" s="7">
        <v>1.5E8</v>
      </c>
      <c r="W352" s="7">
        <v>1.5897034959E8</v>
      </c>
      <c r="X352" s="7">
        <v>2.7167931454E8</v>
      </c>
      <c r="Y352" s="7">
        <v>2962875.0</v>
      </c>
      <c r="Z352" s="7">
        <v>2906068.95</v>
      </c>
      <c r="AA352" s="6" t="s">
        <v>52</v>
      </c>
      <c r="AB352" s="11" t="str">
        <f t="shared" si="6"/>
        <v>Include</v>
      </c>
      <c r="AC352" s="1">
        <f>S352/P352</f>
        <v>1.727631538</v>
      </c>
    </row>
    <row r="353" ht="15.0" customHeight="1">
      <c r="B353" s="6">
        <f t="shared" si="8"/>
        <v>351</v>
      </c>
      <c r="C353" s="1" t="s">
        <v>653</v>
      </c>
      <c r="D353" s="1" t="str">
        <f t="shared" si="2"/>
        <v>Private Equity</v>
      </c>
      <c r="E353" s="1" t="s">
        <v>43</v>
      </c>
      <c r="F353" s="1" t="s">
        <v>43</v>
      </c>
      <c r="G353" s="1" t="s">
        <v>653</v>
      </c>
      <c r="H353" s="1" t="s">
        <v>383</v>
      </c>
      <c r="I353" s="1" t="s">
        <v>318</v>
      </c>
      <c r="J353" s="1" t="s">
        <v>121</v>
      </c>
      <c r="K353" s="1" t="s">
        <v>92</v>
      </c>
      <c r="L353" s="1" t="s">
        <v>93</v>
      </c>
      <c r="N353" s="6">
        <v>2006.0</v>
      </c>
      <c r="O353" s="10">
        <f t="shared" ref="O353:R353" si="376">IFERROR(V353*INDEX($AH$4:$AH$8,MATCH($AA353,$AG$4:$AG$8,0)),"")</f>
        <v>300000000</v>
      </c>
      <c r="P353" s="10">
        <f t="shared" si="376"/>
        <v>225056480</v>
      </c>
      <c r="Q353" s="10">
        <f t="shared" si="376"/>
        <v>246565998</v>
      </c>
      <c r="R353" s="10">
        <f t="shared" si="376"/>
        <v>0</v>
      </c>
      <c r="S353" s="10">
        <f t="shared" si="4"/>
        <v>246565998</v>
      </c>
      <c r="T353" s="10">
        <f t="shared" si="5"/>
        <v>0</v>
      </c>
      <c r="U353" s="8">
        <v>43278.0</v>
      </c>
      <c r="V353" s="7">
        <v>3.0E8</v>
      </c>
      <c r="W353" s="7">
        <v>2.2505648E8</v>
      </c>
      <c r="X353" s="7">
        <v>2.46565998E8</v>
      </c>
      <c r="Y353" s="7">
        <v>0.0</v>
      </c>
      <c r="Z353" s="7">
        <v>0.0</v>
      </c>
      <c r="AA353" s="6" t="s">
        <v>52</v>
      </c>
      <c r="AB353" s="11" t="str">
        <f t="shared" si="6"/>
        <v>Exclude</v>
      </c>
    </row>
    <row r="354" ht="15.0" customHeight="1">
      <c r="B354" s="6">
        <f t="shared" si="8"/>
        <v>352</v>
      </c>
      <c r="C354" s="1" t="s">
        <v>654</v>
      </c>
      <c r="D354" s="1" t="str">
        <f t="shared" si="2"/>
        <v>Private Equity</v>
      </c>
      <c r="E354" s="1" t="s">
        <v>43</v>
      </c>
      <c r="F354" s="1" t="s">
        <v>43</v>
      </c>
      <c r="G354" s="1" t="s">
        <v>654</v>
      </c>
      <c r="H354" s="1" t="s">
        <v>655</v>
      </c>
      <c r="I354" s="1" t="s">
        <v>318</v>
      </c>
      <c r="J354" s="1" t="s">
        <v>121</v>
      </c>
      <c r="K354" s="1" t="s">
        <v>122</v>
      </c>
      <c r="L354" s="1" t="s">
        <v>180</v>
      </c>
      <c r="N354" s="6">
        <v>2006.0</v>
      </c>
      <c r="O354" s="10">
        <f t="shared" ref="O354:R354" si="377">IFERROR(V354*INDEX($AH$4:$AH$8,MATCH($AA354,$AG$4:$AG$8,0)),"")</f>
        <v>300000000</v>
      </c>
      <c r="P354" s="10">
        <f t="shared" si="377"/>
        <v>299054703</v>
      </c>
      <c r="Q354" s="10">
        <f t="shared" si="377"/>
        <v>408221888.9</v>
      </c>
      <c r="R354" s="10">
        <f t="shared" si="377"/>
        <v>0</v>
      </c>
      <c r="S354" s="10">
        <f t="shared" si="4"/>
        <v>408221888.9</v>
      </c>
      <c r="T354" s="10">
        <f t="shared" si="5"/>
        <v>0</v>
      </c>
      <c r="U354" s="8">
        <v>42004.0</v>
      </c>
      <c r="V354" s="7">
        <v>3.0E8</v>
      </c>
      <c r="W354" s="7">
        <v>2.99054703E8</v>
      </c>
      <c r="X354" s="7">
        <v>4.082218888582E8</v>
      </c>
      <c r="Y354" s="7">
        <v>0.0</v>
      </c>
      <c r="Z354" s="7">
        <v>0.0</v>
      </c>
      <c r="AA354" s="6" t="s">
        <v>52</v>
      </c>
      <c r="AB354" s="11" t="str">
        <f t="shared" si="6"/>
        <v>Exclude</v>
      </c>
    </row>
    <row r="355" ht="15.0" customHeight="1">
      <c r="B355" s="6">
        <f t="shared" si="8"/>
        <v>353</v>
      </c>
      <c r="C355" s="1" t="s">
        <v>656</v>
      </c>
      <c r="D355" s="1" t="str">
        <f t="shared" si="2"/>
        <v>Private Equity</v>
      </c>
      <c r="E355" s="1" t="s">
        <v>43</v>
      </c>
      <c r="F355" s="1" t="s">
        <v>43</v>
      </c>
      <c r="G355" s="1" t="s">
        <v>656</v>
      </c>
      <c r="H355" s="1" t="s">
        <v>190</v>
      </c>
      <c r="I355" s="1" t="s">
        <v>318</v>
      </c>
      <c r="J355" s="1" t="s">
        <v>121</v>
      </c>
      <c r="K355" s="1" t="s">
        <v>122</v>
      </c>
      <c r="L355" s="1" t="s">
        <v>123</v>
      </c>
      <c r="N355" s="6">
        <v>2007.0</v>
      </c>
      <c r="O355" s="10">
        <f t="shared" ref="O355:R355" si="378">IFERROR(V355*INDEX($AH$4:$AH$8,MATCH($AA355,$AG$4:$AG$8,0)),"")</f>
        <v>68065386</v>
      </c>
      <c r="P355" s="10">
        <f t="shared" si="378"/>
        <v>58564593.88</v>
      </c>
      <c r="Q355" s="10">
        <f t="shared" si="378"/>
        <v>125037801.9</v>
      </c>
      <c r="R355" s="10">
        <f t="shared" si="378"/>
        <v>0</v>
      </c>
      <c r="S355" s="10">
        <f t="shared" si="4"/>
        <v>125037801.9</v>
      </c>
      <c r="T355" s="10">
        <f t="shared" si="5"/>
        <v>0.44</v>
      </c>
      <c r="U355" s="8">
        <v>44561.0</v>
      </c>
      <c r="V355" s="7">
        <v>6.8065386E7</v>
      </c>
      <c r="W355" s="7">
        <v>5.856459388E7</v>
      </c>
      <c r="X355" s="7">
        <v>1.250378019E8</v>
      </c>
      <c r="Y355" s="7">
        <v>0.0</v>
      </c>
      <c r="Z355" s="7">
        <v>0.44</v>
      </c>
      <c r="AA355" s="6" t="s">
        <v>52</v>
      </c>
      <c r="AB355" s="11" t="str">
        <f t="shared" si="6"/>
        <v>Exclude</v>
      </c>
    </row>
    <row r="356" ht="15.0" customHeight="1">
      <c r="B356" s="6">
        <f t="shared" si="8"/>
        <v>354</v>
      </c>
      <c r="C356" s="1" t="s">
        <v>657</v>
      </c>
      <c r="D356" s="1" t="str">
        <f t="shared" si="2"/>
        <v>Private Equity</v>
      </c>
      <c r="E356" s="1" t="s">
        <v>43</v>
      </c>
      <c r="F356" s="1" t="s">
        <v>43</v>
      </c>
      <c r="G356" s="1" t="s">
        <v>657</v>
      </c>
      <c r="H356" s="1" t="s">
        <v>413</v>
      </c>
      <c r="I356" s="1" t="s">
        <v>318</v>
      </c>
      <c r="J356" s="1" t="s">
        <v>121</v>
      </c>
      <c r="K356" s="1" t="s">
        <v>274</v>
      </c>
      <c r="L356" s="1" t="s">
        <v>275</v>
      </c>
      <c r="N356" s="6">
        <v>2005.0</v>
      </c>
      <c r="O356" s="10">
        <f t="shared" ref="O356:R356" si="379">IFERROR(V356*INDEX($AH$4:$AH$8,MATCH($AA356,$AG$4:$AG$8,0)),"")</f>
        <v>100000000</v>
      </c>
      <c r="P356" s="10">
        <f t="shared" si="379"/>
        <v>96212333</v>
      </c>
      <c r="Q356" s="10">
        <f t="shared" si="379"/>
        <v>127251323.1</v>
      </c>
      <c r="R356" s="10">
        <f t="shared" si="379"/>
        <v>0</v>
      </c>
      <c r="S356" s="10">
        <f t="shared" si="4"/>
        <v>127251323.1</v>
      </c>
      <c r="T356" s="10">
        <f t="shared" si="5"/>
        <v>0</v>
      </c>
      <c r="U356" s="8">
        <v>45012.0</v>
      </c>
      <c r="V356" s="7">
        <v>1.0E8</v>
      </c>
      <c r="W356" s="7">
        <v>9.6212333E7</v>
      </c>
      <c r="X356" s="7">
        <v>1.2725132309E8</v>
      </c>
      <c r="Y356" s="7">
        <v>0.0</v>
      </c>
      <c r="Z356" s="7">
        <v>0.0</v>
      </c>
      <c r="AA356" s="6" t="s">
        <v>52</v>
      </c>
      <c r="AB356" s="11" t="str">
        <f t="shared" si="6"/>
        <v>Exclude</v>
      </c>
    </row>
    <row r="357" ht="15.0" customHeight="1">
      <c r="B357" s="6">
        <f t="shared" si="8"/>
        <v>355</v>
      </c>
      <c r="C357" s="1" t="s">
        <v>658</v>
      </c>
      <c r="D357" s="1" t="str">
        <f t="shared" si="2"/>
        <v>Private Equity</v>
      </c>
      <c r="E357" s="1" t="s">
        <v>43</v>
      </c>
      <c r="F357" s="1" t="s">
        <v>43</v>
      </c>
      <c r="G357" s="1" t="s">
        <v>658</v>
      </c>
      <c r="H357" s="1" t="s">
        <v>135</v>
      </c>
      <c r="I357" s="1" t="s">
        <v>318</v>
      </c>
      <c r="J357" s="1" t="s">
        <v>121</v>
      </c>
      <c r="K357" s="1" t="s">
        <v>122</v>
      </c>
      <c r="L357" s="1" t="s">
        <v>180</v>
      </c>
      <c r="N357" s="6">
        <v>2006.0</v>
      </c>
      <c r="O357" s="10">
        <f t="shared" ref="O357:R357" si="380">IFERROR(V357*INDEX($AH$4:$AH$8,MATCH($AA357,$AG$4:$AG$8,0)),"")</f>
        <v>144438750</v>
      </c>
      <c r="P357" s="10">
        <f t="shared" si="380"/>
        <v>144939081.1</v>
      </c>
      <c r="Q357" s="10">
        <f t="shared" si="380"/>
        <v>265172396.2</v>
      </c>
      <c r="R357" s="10">
        <f t="shared" si="380"/>
        <v>0</v>
      </c>
      <c r="S357" s="10">
        <f t="shared" si="4"/>
        <v>265172396.2</v>
      </c>
      <c r="T357" s="10">
        <f t="shared" si="5"/>
        <v>0</v>
      </c>
      <c r="U357" s="8">
        <v>44104.0</v>
      </c>
      <c r="V357" s="7">
        <v>1.25E8</v>
      </c>
      <c r="W357" s="7">
        <v>1.2543299591E8</v>
      </c>
      <c r="X357" s="7">
        <v>2.2948515909E8</v>
      </c>
      <c r="Y357" s="7">
        <v>0.0</v>
      </c>
      <c r="Z357" s="7">
        <v>0.0</v>
      </c>
      <c r="AA357" s="6" t="s">
        <v>45</v>
      </c>
      <c r="AB357" s="11" t="str">
        <f t="shared" si="6"/>
        <v>Exclude</v>
      </c>
    </row>
    <row r="358" ht="15.0" customHeight="1">
      <c r="B358" s="6">
        <f t="shared" si="8"/>
        <v>356</v>
      </c>
      <c r="C358" s="1" t="s">
        <v>659</v>
      </c>
      <c r="D358" s="1" t="str">
        <f t="shared" si="2"/>
        <v>Private Equity</v>
      </c>
      <c r="E358" s="1" t="s">
        <v>43</v>
      </c>
      <c r="F358" s="1" t="s">
        <v>43</v>
      </c>
      <c r="G358" s="1" t="s">
        <v>659</v>
      </c>
      <c r="H358" s="1" t="s">
        <v>660</v>
      </c>
      <c r="I358" s="1" t="s">
        <v>318</v>
      </c>
      <c r="J358" s="1" t="s">
        <v>121</v>
      </c>
      <c r="K358" s="1" t="s">
        <v>661</v>
      </c>
      <c r="L358" s="1" t="s">
        <v>165</v>
      </c>
      <c r="N358" s="6">
        <v>2006.0</v>
      </c>
      <c r="O358" s="10">
        <f t="shared" ref="O358:R358" si="381">IFERROR(V358*INDEX($AH$4:$AH$8,MATCH($AA358,$AG$4:$AG$8,0)),"")</f>
        <v>200000000</v>
      </c>
      <c r="P358" s="10">
        <f t="shared" si="381"/>
        <v>213209232.5</v>
      </c>
      <c r="Q358" s="10">
        <f t="shared" si="381"/>
        <v>140355362.8</v>
      </c>
      <c r="R358" s="10">
        <f t="shared" si="381"/>
        <v>0</v>
      </c>
      <c r="S358" s="10">
        <f t="shared" si="4"/>
        <v>140355362.8</v>
      </c>
      <c r="T358" s="10">
        <f t="shared" si="5"/>
        <v>0</v>
      </c>
      <c r="U358" s="8">
        <v>42755.0</v>
      </c>
      <c r="V358" s="7">
        <v>2.0E8</v>
      </c>
      <c r="W358" s="7">
        <v>2.1320923248E8</v>
      </c>
      <c r="X358" s="7">
        <v>1.4035536276E8</v>
      </c>
      <c r="Y358" s="7">
        <v>0.0</v>
      </c>
      <c r="Z358" s="7">
        <v>0.0</v>
      </c>
      <c r="AA358" s="6" t="s">
        <v>52</v>
      </c>
      <c r="AB358" s="11" t="str">
        <f t="shared" si="6"/>
        <v>Exclude</v>
      </c>
    </row>
    <row r="359" ht="15.0" customHeight="1">
      <c r="B359" s="6">
        <f t="shared" si="8"/>
        <v>357</v>
      </c>
      <c r="C359" s="1" t="s">
        <v>662</v>
      </c>
      <c r="D359" s="1" t="str">
        <f t="shared" si="2"/>
        <v>Private Equity</v>
      </c>
      <c r="E359" s="1" t="s">
        <v>43</v>
      </c>
      <c r="F359" s="1" t="s">
        <v>43</v>
      </c>
      <c r="G359" s="1" t="s">
        <v>662</v>
      </c>
      <c r="H359" s="1" t="s">
        <v>131</v>
      </c>
      <c r="I359" s="1" t="s">
        <v>318</v>
      </c>
      <c r="J359" s="1" t="s">
        <v>121</v>
      </c>
      <c r="K359" s="1" t="s">
        <v>122</v>
      </c>
      <c r="L359" s="1" t="s">
        <v>123</v>
      </c>
      <c r="N359" s="6">
        <v>2006.0</v>
      </c>
      <c r="O359" s="10">
        <f t="shared" ref="O359:R359" si="382">IFERROR(V359*INDEX($AH$4:$AH$8,MATCH($AA359,$AG$4:$AG$8,0)),"")</f>
        <v>130000000</v>
      </c>
      <c r="P359" s="10">
        <f t="shared" si="382"/>
        <v>147723222</v>
      </c>
      <c r="Q359" s="10">
        <f t="shared" si="382"/>
        <v>281466845.3</v>
      </c>
      <c r="R359" s="10">
        <f t="shared" si="382"/>
        <v>0</v>
      </c>
      <c r="S359" s="10">
        <f t="shared" si="4"/>
        <v>281466845.3</v>
      </c>
      <c r="T359" s="10">
        <f t="shared" si="5"/>
        <v>0</v>
      </c>
      <c r="U359" s="8">
        <v>45199.0</v>
      </c>
      <c r="V359" s="7">
        <v>1.3E8</v>
      </c>
      <c r="W359" s="7">
        <v>1.47723222E8</v>
      </c>
      <c r="X359" s="7">
        <v>2.8146684527E8</v>
      </c>
      <c r="Y359" s="7">
        <v>0.0</v>
      </c>
      <c r="Z359" s="7">
        <v>0.0</v>
      </c>
      <c r="AA359" s="6" t="s">
        <v>52</v>
      </c>
      <c r="AB359" s="11" t="str">
        <f t="shared" si="6"/>
        <v>Exclude</v>
      </c>
    </row>
    <row r="360" ht="15.0" customHeight="1">
      <c r="B360" s="6">
        <f t="shared" si="8"/>
        <v>358</v>
      </c>
      <c r="C360" s="1" t="s">
        <v>663</v>
      </c>
      <c r="D360" s="1" t="str">
        <f t="shared" si="2"/>
        <v>Private Equity</v>
      </c>
      <c r="E360" s="1" t="s">
        <v>43</v>
      </c>
      <c r="F360" s="1" t="s">
        <v>43</v>
      </c>
      <c r="G360" s="1" t="s">
        <v>664</v>
      </c>
      <c r="H360" s="1" t="s">
        <v>223</v>
      </c>
      <c r="I360" s="1" t="s">
        <v>318</v>
      </c>
      <c r="J360" s="1" t="s">
        <v>164</v>
      </c>
      <c r="K360" s="1" t="s">
        <v>92</v>
      </c>
      <c r="L360" s="1" t="s">
        <v>575</v>
      </c>
      <c r="N360" s="6">
        <v>2006.0</v>
      </c>
      <c r="O360" s="10">
        <f t="shared" ref="O360:R360" si="383">IFERROR(V360*INDEX($AH$4:$AH$8,MATCH($AA360,$AG$4:$AG$8,0)),"")</f>
        <v>400000000</v>
      </c>
      <c r="P360" s="10">
        <f t="shared" si="383"/>
        <v>372673186.7</v>
      </c>
      <c r="Q360" s="10">
        <f t="shared" si="383"/>
        <v>682765377</v>
      </c>
      <c r="R360" s="10">
        <f t="shared" si="383"/>
        <v>957983</v>
      </c>
      <c r="S360" s="10">
        <f t="shared" si="4"/>
        <v>683723360</v>
      </c>
      <c r="T360" s="10">
        <f t="shared" si="5"/>
        <v>5943447.8</v>
      </c>
      <c r="U360" s="8">
        <v>46112.0</v>
      </c>
      <c r="V360" s="7">
        <v>4.0E8</v>
      </c>
      <c r="W360" s="7">
        <v>3.7267318666E8</v>
      </c>
      <c r="X360" s="7">
        <v>6.82765377E8</v>
      </c>
      <c r="Y360" s="7">
        <v>957983.0</v>
      </c>
      <c r="Z360" s="7">
        <v>5943447.8</v>
      </c>
      <c r="AA360" s="6" t="s">
        <v>52</v>
      </c>
      <c r="AB360" s="11" t="str">
        <f t="shared" si="6"/>
        <v>Include</v>
      </c>
      <c r="AC360" s="1">
        <f>S360/P360</f>
        <v>1.83464597</v>
      </c>
    </row>
    <row r="361" ht="15.0" customHeight="1">
      <c r="B361" s="6">
        <f t="shared" si="8"/>
        <v>359</v>
      </c>
      <c r="C361" s="1" t="s">
        <v>665</v>
      </c>
      <c r="D361" s="1" t="str">
        <f t="shared" si="2"/>
        <v>VC &amp; Growth</v>
      </c>
      <c r="E361" s="1" t="s">
        <v>270</v>
      </c>
      <c r="F361" s="1" t="s">
        <v>43</v>
      </c>
      <c r="G361" s="1" t="s">
        <v>665</v>
      </c>
      <c r="H361" s="1" t="s">
        <v>172</v>
      </c>
      <c r="I361" s="1" t="s">
        <v>318</v>
      </c>
      <c r="J361" s="1" t="s">
        <v>150</v>
      </c>
      <c r="K361" s="1" t="s">
        <v>150</v>
      </c>
      <c r="L361" s="1" t="s">
        <v>173</v>
      </c>
      <c r="N361" s="6">
        <v>2005.0</v>
      </c>
      <c r="O361" s="10">
        <f t="shared" ref="O361:R361" si="384">IFERROR(V361*INDEX($AH$4:$AH$8,MATCH($AA361,$AG$4:$AG$8,0)),"")</f>
        <v>62500000</v>
      </c>
      <c r="P361" s="10">
        <f t="shared" si="384"/>
        <v>62744925</v>
      </c>
      <c r="Q361" s="10">
        <f t="shared" si="384"/>
        <v>96209720</v>
      </c>
      <c r="R361" s="10">
        <f t="shared" si="384"/>
        <v>0</v>
      </c>
      <c r="S361" s="10">
        <f t="shared" si="4"/>
        <v>96209720</v>
      </c>
      <c r="T361" s="10">
        <f t="shared" si="5"/>
        <v>1</v>
      </c>
      <c r="U361" s="8">
        <v>44196.0</v>
      </c>
      <c r="V361" s="7">
        <v>6.25E7</v>
      </c>
      <c r="W361" s="7">
        <v>6.2744925E7</v>
      </c>
      <c r="X361" s="7">
        <v>9.620972E7</v>
      </c>
      <c r="Y361" s="7">
        <v>0.0</v>
      </c>
      <c r="Z361" s="7">
        <v>1.0</v>
      </c>
      <c r="AA361" s="6" t="s">
        <v>52</v>
      </c>
      <c r="AB361" s="11" t="str">
        <f t="shared" si="6"/>
        <v>Exclude</v>
      </c>
    </row>
    <row r="362" ht="15.0" customHeight="1">
      <c r="B362" s="6">
        <f t="shared" si="8"/>
        <v>360</v>
      </c>
      <c r="C362" s="1" t="s">
        <v>666</v>
      </c>
      <c r="D362" s="1" t="str">
        <f t="shared" si="2"/>
        <v>Private Equity</v>
      </c>
      <c r="E362" s="1" t="s">
        <v>43</v>
      </c>
      <c r="F362" s="1" t="s">
        <v>43</v>
      </c>
      <c r="G362" s="1" t="s">
        <v>667</v>
      </c>
      <c r="H362" s="1" t="s">
        <v>129</v>
      </c>
      <c r="I362" s="1" t="s">
        <v>318</v>
      </c>
      <c r="J362" s="1" t="s">
        <v>121</v>
      </c>
      <c r="K362" s="1" t="s">
        <v>122</v>
      </c>
      <c r="L362" s="1" t="s">
        <v>127</v>
      </c>
      <c r="N362" s="6">
        <v>2006.0</v>
      </c>
      <c r="O362" s="10">
        <f t="shared" ref="O362:R362" si="385">IFERROR(V362*INDEX($AH$4:$AH$8,MATCH($AA362,$AG$4:$AG$8,0)),"")</f>
        <v>173326500</v>
      </c>
      <c r="P362" s="10">
        <f t="shared" si="385"/>
        <v>175919721.4</v>
      </c>
      <c r="Q362" s="10">
        <f t="shared" si="385"/>
        <v>284770801.1</v>
      </c>
      <c r="R362" s="10">
        <f t="shared" si="385"/>
        <v>127061.7284</v>
      </c>
      <c r="S362" s="10">
        <f t="shared" si="4"/>
        <v>284897862.9</v>
      </c>
      <c r="T362" s="10">
        <f t="shared" si="5"/>
        <v>-0.4390938</v>
      </c>
      <c r="U362" s="8">
        <v>46022.0</v>
      </c>
      <c r="V362" s="7">
        <v>1.5E8</v>
      </c>
      <c r="W362" s="7">
        <v>1.5224422239E8</v>
      </c>
      <c r="X362" s="7">
        <v>2.4644598587E8</v>
      </c>
      <c r="Y362" s="7">
        <v>109961.6</v>
      </c>
      <c r="Z362" s="7">
        <v>-0.38</v>
      </c>
      <c r="AA362" s="6" t="s">
        <v>45</v>
      </c>
      <c r="AB362" s="11" t="str">
        <f t="shared" si="6"/>
        <v>Include</v>
      </c>
      <c r="AC362" s="1">
        <f>S362/P362</f>
        <v>1.619476546</v>
      </c>
    </row>
    <row r="363" ht="15.0" customHeight="1">
      <c r="B363" s="6">
        <f t="shared" si="8"/>
        <v>361</v>
      </c>
      <c r="C363" s="1" t="s">
        <v>668</v>
      </c>
      <c r="D363" s="1" t="str">
        <f t="shared" si="2"/>
        <v>Private Equity</v>
      </c>
      <c r="E363" s="1" t="s">
        <v>43</v>
      </c>
      <c r="F363" s="1" t="s">
        <v>43</v>
      </c>
      <c r="G363" s="1" t="s">
        <v>668</v>
      </c>
      <c r="H363" s="1" t="s">
        <v>176</v>
      </c>
      <c r="I363" s="1" t="s">
        <v>318</v>
      </c>
      <c r="J363" s="1" t="s">
        <v>121</v>
      </c>
      <c r="K363" s="1" t="s">
        <v>515</v>
      </c>
      <c r="L363" s="1" t="s">
        <v>583</v>
      </c>
      <c r="N363" s="6">
        <v>2006.0</v>
      </c>
      <c r="O363" s="10">
        <f t="shared" ref="O363:R363" si="386">IFERROR(V363*INDEX($AH$4:$AH$8,MATCH($AA363,$AG$4:$AG$8,0)),"")</f>
        <v>150000000</v>
      </c>
      <c r="P363" s="10">
        <f t="shared" si="386"/>
        <v>165563984.5</v>
      </c>
      <c r="Q363" s="10">
        <f t="shared" si="386"/>
        <v>210640785.5</v>
      </c>
      <c r="R363" s="10">
        <f t="shared" si="386"/>
        <v>0</v>
      </c>
      <c r="S363" s="10">
        <f t="shared" si="4"/>
        <v>210640785.5</v>
      </c>
      <c r="T363" s="10">
        <f t="shared" si="5"/>
        <v>-0.43</v>
      </c>
      <c r="U363" s="8">
        <v>45839.0</v>
      </c>
      <c r="V363" s="7">
        <v>1.5E8</v>
      </c>
      <c r="W363" s="7">
        <v>1.6556398454E8</v>
      </c>
      <c r="X363" s="7">
        <v>2.106407855E8</v>
      </c>
      <c r="Y363" s="7">
        <v>0.0</v>
      </c>
      <c r="Z363" s="7">
        <v>-0.43</v>
      </c>
      <c r="AA363" s="6" t="s">
        <v>52</v>
      </c>
      <c r="AB363" s="11" t="str">
        <f t="shared" si="6"/>
        <v>Exclude</v>
      </c>
    </row>
    <row r="364" ht="15.0" customHeight="1">
      <c r="B364" s="6">
        <f t="shared" si="8"/>
        <v>362</v>
      </c>
      <c r="C364" s="1" t="s">
        <v>669</v>
      </c>
      <c r="D364" s="1" t="str">
        <f t="shared" si="2"/>
        <v>Private Equity</v>
      </c>
      <c r="E364" s="1" t="s">
        <v>43</v>
      </c>
      <c r="F364" s="1" t="s">
        <v>43</v>
      </c>
      <c r="G364" s="1" t="s">
        <v>669</v>
      </c>
      <c r="H364" s="1" t="s">
        <v>582</v>
      </c>
      <c r="I364" s="1" t="s">
        <v>318</v>
      </c>
      <c r="J364" s="1" t="s">
        <v>121</v>
      </c>
      <c r="K364" s="1" t="s">
        <v>515</v>
      </c>
      <c r="L364" s="1" t="s">
        <v>583</v>
      </c>
      <c r="N364" s="6">
        <v>2007.0</v>
      </c>
      <c r="O364" s="10">
        <f t="shared" ref="O364:R364" si="387">IFERROR(V364*INDEX($AH$4:$AH$8,MATCH($AA364,$AG$4:$AG$8,0)),"")</f>
        <v>100000000</v>
      </c>
      <c r="P364" s="10">
        <f t="shared" si="387"/>
        <v>91977797.84</v>
      </c>
      <c r="Q364" s="10">
        <f t="shared" si="387"/>
        <v>123517710.3</v>
      </c>
      <c r="R364" s="10">
        <f t="shared" si="387"/>
        <v>0</v>
      </c>
      <c r="S364" s="10">
        <f t="shared" si="4"/>
        <v>123517710.3</v>
      </c>
      <c r="T364" s="10">
        <f t="shared" si="5"/>
        <v>0</v>
      </c>
      <c r="U364" s="8">
        <v>45260.0</v>
      </c>
      <c r="V364" s="7">
        <v>1.0E8</v>
      </c>
      <c r="W364" s="7">
        <v>9.197779784E7</v>
      </c>
      <c r="X364" s="7">
        <v>1.2351771034E8</v>
      </c>
      <c r="Y364" s="7">
        <v>0.0</v>
      </c>
      <c r="Z364" s="7">
        <v>0.0</v>
      </c>
      <c r="AA364" s="6" t="s">
        <v>52</v>
      </c>
      <c r="AB364" s="11" t="str">
        <f t="shared" si="6"/>
        <v>Exclude</v>
      </c>
    </row>
    <row r="365" ht="15.0" customHeight="1">
      <c r="B365" s="6">
        <f t="shared" si="8"/>
        <v>363</v>
      </c>
      <c r="C365" s="1" t="s">
        <v>670</v>
      </c>
      <c r="D365" s="1" t="str">
        <f t="shared" si="2"/>
        <v>Private Equity</v>
      </c>
      <c r="E365" s="1" t="s">
        <v>43</v>
      </c>
      <c r="F365" s="1" t="s">
        <v>43</v>
      </c>
      <c r="G365" s="1" t="s">
        <v>670</v>
      </c>
      <c r="H365" s="1" t="s">
        <v>671</v>
      </c>
      <c r="I365" s="1" t="s">
        <v>318</v>
      </c>
      <c r="J365" s="1" t="s">
        <v>121</v>
      </c>
      <c r="K365" s="1" t="s">
        <v>122</v>
      </c>
      <c r="L365" s="1" t="s">
        <v>127</v>
      </c>
      <c r="N365" s="6">
        <v>2007.0</v>
      </c>
      <c r="O365" s="10">
        <f t="shared" ref="O365:R365" si="388">IFERROR(V365*INDEX($AH$4:$AH$8,MATCH($AA365,$AG$4:$AG$8,0)),"")</f>
        <v>300000000</v>
      </c>
      <c r="P365" s="10">
        <f t="shared" si="388"/>
        <v>316291227</v>
      </c>
      <c r="Q365" s="10">
        <f t="shared" si="388"/>
        <v>403436045.8</v>
      </c>
      <c r="R365" s="10">
        <f t="shared" si="388"/>
        <v>0</v>
      </c>
      <c r="S365" s="10">
        <f t="shared" si="4"/>
        <v>403436045.8</v>
      </c>
      <c r="T365" s="10">
        <f t="shared" si="5"/>
        <v>0</v>
      </c>
      <c r="U365" s="8">
        <v>42004.0</v>
      </c>
      <c r="V365" s="7">
        <v>3.0E8</v>
      </c>
      <c r="W365" s="7">
        <v>3.16291227E8</v>
      </c>
      <c r="X365" s="7">
        <v>4.034360458141E8</v>
      </c>
      <c r="Y365" s="7">
        <v>0.0</v>
      </c>
      <c r="Z365" s="7">
        <v>0.0</v>
      </c>
      <c r="AA365" s="6" t="s">
        <v>52</v>
      </c>
      <c r="AB365" s="11" t="str">
        <f t="shared" si="6"/>
        <v>Exclude</v>
      </c>
    </row>
    <row r="366" ht="15.0" customHeight="1">
      <c r="B366" s="6">
        <f t="shared" si="8"/>
        <v>364</v>
      </c>
      <c r="C366" s="1" t="s">
        <v>672</v>
      </c>
      <c r="D366" s="1" t="str">
        <f t="shared" si="2"/>
        <v>Private Equity</v>
      </c>
      <c r="E366" s="1" t="s">
        <v>43</v>
      </c>
      <c r="F366" s="1" t="s">
        <v>43</v>
      </c>
      <c r="G366" s="1" t="s">
        <v>672</v>
      </c>
      <c r="H366" s="1" t="s">
        <v>673</v>
      </c>
      <c r="I366" s="1" t="s">
        <v>318</v>
      </c>
      <c r="J366" s="1" t="s">
        <v>121</v>
      </c>
      <c r="K366" s="1" t="s">
        <v>122</v>
      </c>
      <c r="L366" s="1" t="s">
        <v>123</v>
      </c>
      <c r="N366" s="6">
        <v>2007.0</v>
      </c>
      <c r="O366" s="10">
        <f t="shared" ref="O366:R366" si="389">IFERROR(V366*INDEX($AH$4:$AH$8,MATCH($AA366,$AG$4:$AG$8,0)),"")</f>
        <v>100000000</v>
      </c>
      <c r="P366" s="10">
        <f t="shared" si="389"/>
        <v>121024806.8</v>
      </c>
      <c r="Q366" s="10">
        <f t="shared" si="389"/>
        <v>181335724.7</v>
      </c>
      <c r="R366" s="10">
        <f t="shared" si="389"/>
        <v>0</v>
      </c>
      <c r="S366" s="10">
        <f t="shared" si="4"/>
        <v>181335724.7</v>
      </c>
      <c r="T366" s="10">
        <f t="shared" si="5"/>
        <v>0</v>
      </c>
      <c r="U366" s="8">
        <v>42004.0</v>
      </c>
      <c r="V366" s="7">
        <v>1.0E8</v>
      </c>
      <c r="W366" s="7">
        <v>1.2102480682E8</v>
      </c>
      <c r="X366" s="7">
        <v>1.813357247107E8</v>
      </c>
      <c r="Y366" s="7">
        <v>0.0</v>
      </c>
      <c r="Z366" s="7">
        <v>0.0</v>
      </c>
      <c r="AA366" s="6" t="s">
        <v>52</v>
      </c>
      <c r="AB366" s="11" t="str">
        <f t="shared" si="6"/>
        <v>Exclude</v>
      </c>
    </row>
    <row r="367" ht="15.0" customHeight="1">
      <c r="B367" s="6">
        <f t="shared" si="8"/>
        <v>365</v>
      </c>
      <c r="C367" s="1" t="s">
        <v>674</v>
      </c>
      <c r="D367" s="1" t="str">
        <f t="shared" si="2"/>
        <v>Private Equity</v>
      </c>
      <c r="E367" s="1" t="s">
        <v>43</v>
      </c>
      <c r="F367" s="1" t="s">
        <v>43</v>
      </c>
      <c r="G367" s="1" t="s">
        <v>674</v>
      </c>
      <c r="H367" s="1" t="s">
        <v>675</v>
      </c>
      <c r="I367" s="1" t="s">
        <v>318</v>
      </c>
      <c r="J367" s="1" t="s">
        <v>121</v>
      </c>
      <c r="K367" s="1" t="s">
        <v>274</v>
      </c>
      <c r="L367" s="1" t="s">
        <v>204</v>
      </c>
      <c r="N367" s="6">
        <v>2006.0</v>
      </c>
      <c r="O367" s="10">
        <f t="shared" ref="O367:R367" si="390">IFERROR(V367*INDEX($AH$4:$AH$8,MATCH($AA367,$AG$4:$AG$8,0)),"")</f>
        <v>115551000</v>
      </c>
      <c r="P367" s="10">
        <f t="shared" si="390"/>
        <v>112686738.2</v>
      </c>
      <c r="Q367" s="10">
        <f t="shared" si="390"/>
        <v>102972172.8</v>
      </c>
      <c r="R367" s="10">
        <f t="shared" si="390"/>
        <v>0</v>
      </c>
      <c r="S367" s="10">
        <f t="shared" si="4"/>
        <v>102972172.8</v>
      </c>
      <c r="T367" s="10">
        <f t="shared" si="5"/>
        <v>-0.3697632</v>
      </c>
      <c r="U367" s="8">
        <v>45806.0</v>
      </c>
      <c r="V367" s="7">
        <v>1.0E8</v>
      </c>
      <c r="W367" s="7">
        <v>9.752121421E7</v>
      </c>
      <c r="X367" s="7">
        <v>8.911404727E7</v>
      </c>
      <c r="Y367" s="7">
        <v>0.0</v>
      </c>
      <c r="Z367" s="7">
        <v>-0.32</v>
      </c>
      <c r="AA367" s="6" t="s">
        <v>45</v>
      </c>
      <c r="AB367" s="11" t="str">
        <f t="shared" si="6"/>
        <v>Exclude</v>
      </c>
    </row>
    <row r="368" ht="15.0" customHeight="1">
      <c r="B368" s="6">
        <f t="shared" si="8"/>
        <v>366</v>
      </c>
      <c r="C368" s="1" t="s">
        <v>676</v>
      </c>
      <c r="D368" s="1" t="str">
        <f t="shared" si="2"/>
        <v>Private Equity</v>
      </c>
      <c r="E368" s="1" t="s">
        <v>43</v>
      </c>
      <c r="F368" s="1" t="s">
        <v>43</v>
      </c>
      <c r="G368" s="1" t="s">
        <v>676</v>
      </c>
      <c r="H368" s="1" t="s">
        <v>677</v>
      </c>
      <c r="I368" s="1" t="s">
        <v>318</v>
      </c>
      <c r="J368" s="1" t="s">
        <v>121</v>
      </c>
      <c r="K368" s="1" t="s">
        <v>122</v>
      </c>
      <c r="L368" s="1" t="s">
        <v>127</v>
      </c>
      <c r="N368" s="6">
        <v>2007.0</v>
      </c>
      <c r="O368" s="10">
        <f t="shared" ref="O368:R368" si="391">IFERROR(V368*INDEX($AH$4:$AH$8,MATCH($AA368,$AG$4:$AG$8,0)),"")</f>
        <v>200000000</v>
      </c>
      <c r="P368" s="10">
        <f t="shared" si="391"/>
        <v>206223130</v>
      </c>
      <c r="Q368" s="10">
        <f t="shared" si="391"/>
        <v>186779519</v>
      </c>
      <c r="R368" s="10">
        <f t="shared" si="391"/>
        <v>0</v>
      </c>
      <c r="S368" s="10">
        <f t="shared" si="4"/>
        <v>186779519</v>
      </c>
      <c r="T368" s="10">
        <f t="shared" si="5"/>
        <v>0</v>
      </c>
      <c r="U368" s="8">
        <v>45647.0</v>
      </c>
      <c r="V368" s="7">
        <v>2.0E8</v>
      </c>
      <c r="W368" s="7">
        <v>2.0622313E8</v>
      </c>
      <c r="X368" s="7">
        <v>1.86779519E8</v>
      </c>
      <c r="Y368" s="7">
        <v>0.0</v>
      </c>
      <c r="Z368" s="7">
        <v>0.0</v>
      </c>
      <c r="AA368" s="6" t="s">
        <v>52</v>
      </c>
      <c r="AB368" s="11" t="str">
        <f t="shared" si="6"/>
        <v>Exclude</v>
      </c>
    </row>
    <row r="369" ht="15.0" customHeight="1">
      <c r="B369" s="6">
        <f t="shared" si="8"/>
        <v>367</v>
      </c>
      <c r="C369" s="1" t="s">
        <v>678</v>
      </c>
      <c r="D369" s="1" t="str">
        <f t="shared" si="2"/>
        <v>Private Equity</v>
      </c>
      <c r="E369" s="1" t="s">
        <v>43</v>
      </c>
      <c r="F369" s="1" t="s">
        <v>43</v>
      </c>
      <c r="G369" s="1" t="s">
        <v>678</v>
      </c>
      <c r="H369" s="1" t="s">
        <v>146</v>
      </c>
      <c r="I369" s="1" t="s">
        <v>318</v>
      </c>
      <c r="J369" s="1" t="s">
        <v>121</v>
      </c>
      <c r="K369" s="1" t="s">
        <v>122</v>
      </c>
      <c r="L369" s="1" t="s">
        <v>123</v>
      </c>
      <c r="N369" s="6">
        <v>2006.0</v>
      </c>
      <c r="O369" s="10">
        <f t="shared" ref="O369:R369" si="392">IFERROR(V369*INDEX($AH$4:$AH$8,MATCH($AA369,$AG$4:$AG$8,0)),"")</f>
        <v>100000000</v>
      </c>
      <c r="P369" s="10">
        <f t="shared" si="392"/>
        <v>97163916.53</v>
      </c>
      <c r="Q369" s="10">
        <f t="shared" si="392"/>
        <v>265751801</v>
      </c>
      <c r="R369" s="10">
        <f t="shared" si="392"/>
        <v>2618837.7</v>
      </c>
      <c r="S369" s="10">
        <f t="shared" si="4"/>
        <v>268370638.6</v>
      </c>
      <c r="T369" s="10">
        <f t="shared" si="5"/>
        <v>1655077.12</v>
      </c>
      <c r="U369" s="8">
        <v>46112.0</v>
      </c>
      <c r="V369" s="7">
        <v>1.0E8</v>
      </c>
      <c r="W369" s="7">
        <v>9.716391653E7</v>
      </c>
      <c r="X369" s="7">
        <v>2.6575180095E8</v>
      </c>
      <c r="Y369" s="7">
        <v>2618837.6999</v>
      </c>
      <c r="Z369" s="7">
        <v>1655077.12</v>
      </c>
      <c r="AA369" s="6" t="s">
        <v>52</v>
      </c>
      <c r="AB369" s="11" t="str">
        <f t="shared" si="6"/>
        <v>Include</v>
      </c>
      <c r="AC369" s="1">
        <f t="shared" ref="AC369:AC372" si="394">S369/P369</f>
        <v>2.762040151</v>
      </c>
    </row>
    <row r="370" ht="15.0" customHeight="1">
      <c r="B370" s="6">
        <f t="shared" si="8"/>
        <v>368</v>
      </c>
      <c r="C370" s="1" t="s">
        <v>679</v>
      </c>
      <c r="D370" s="1" t="str">
        <f t="shared" si="2"/>
        <v>VC &amp; Growth</v>
      </c>
      <c r="E370" s="1" t="s">
        <v>270</v>
      </c>
      <c r="F370" s="1" t="s">
        <v>43</v>
      </c>
      <c r="G370" s="1" t="s">
        <v>679</v>
      </c>
      <c r="H370" s="1" t="s">
        <v>156</v>
      </c>
      <c r="I370" s="1" t="s">
        <v>318</v>
      </c>
      <c r="J370" s="1" t="s">
        <v>150</v>
      </c>
      <c r="K370" s="1" t="s">
        <v>150</v>
      </c>
      <c r="L370" s="1" t="s">
        <v>151</v>
      </c>
      <c r="N370" s="6">
        <v>2007.0</v>
      </c>
      <c r="O370" s="10">
        <f t="shared" ref="O370:R370" si="393">IFERROR(V370*INDEX($AH$4:$AH$8,MATCH($AA370,$AG$4:$AG$8,0)),"")</f>
        <v>50000000</v>
      </c>
      <c r="P370" s="10">
        <f t="shared" si="393"/>
        <v>49491250</v>
      </c>
      <c r="Q370" s="10">
        <f t="shared" si="393"/>
        <v>29723135.96</v>
      </c>
      <c r="R370" s="10">
        <f t="shared" si="393"/>
        <v>1528503</v>
      </c>
      <c r="S370" s="10">
        <f t="shared" si="4"/>
        <v>31251638.96</v>
      </c>
      <c r="T370" s="10">
        <f t="shared" si="5"/>
        <v>0</v>
      </c>
      <c r="U370" s="8">
        <v>46112.0</v>
      </c>
      <c r="V370" s="7">
        <v>5.0E7</v>
      </c>
      <c r="W370" s="7">
        <v>4.949125E7</v>
      </c>
      <c r="X370" s="7">
        <v>2.972313596E7</v>
      </c>
      <c r="Y370" s="7">
        <v>1528503.0</v>
      </c>
      <c r="Z370" s="7">
        <v>0.0</v>
      </c>
      <c r="AA370" s="6" t="s">
        <v>52</v>
      </c>
      <c r="AB370" s="11" t="str">
        <f t="shared" si="6"/>
        <v>Include</v>
      </c>
      <c r="AC370" s="1">
        <f t="shared" si="394"/>
        <v>0.631457863</v>
      </c>
    </row>
    <row r="371" ht="15.0" customHeight="1">
      <c r="B371" s="6">
        <f t="shared" si="8"/>
        <v>369</v>
      </c>
      <c r="C371" s="1" t="s">
        <v>680</v>
      </c>
      <c r="D371" s="1" t="str">
        <f t="shared" si="2"/>
        <v>Private Equity</v>
      </c>
      <c r="E371" s="1" t="s">
        <v>43</v>
      </c>
      <c r="F371" s="1" t="s">
        <v>43</v>
      </c>
      <c r="G371" s="1" t="s">
        <v>680</v>
      </c>
      <c r="H371" s="1" t="s">
        <v>137</v>
      </c>
      <c r="I371" s="1" t="s">
        <v>318</v>
      </c>
      <c r="J371" s="1" t="s">
        <v>121</v>
      </c>
      <c r="K371" s="1" t="s">
        <v>122</v>
      </c>
      <c r="L371" s="1" t="s">
        <v>127</v>
      </c>
      <c r="N371" s="6">
        <v>2007.0</v>
      </c>
      <c r="O371" s="10">
        <f t="shared" ref="O371:R371" si="395">IFERROR(V371*INDEX($AH$4:$AH$8,MATCH($AA371,$AG$4:$AG$8,0)),"")</f>
        <v>300000000</v>
      </c>
      <c r="P371" s="10">
        <f t="shared" si="395"/>
        <v>318800243.6</v>
      </c>
      <c r="Q371" s="10">
        <f t="shared" si="395"/>
        <v>755140204</v>
      </c>
      <c r="R371" s="10">
        <f t="shared" si="395"/>
        <v>11690658</v>
      </c>
      <c r="S371" s="10">
        <f t="shared" si="4"/>
        <v>766830862</v>
      </c>
      <c r="T371" s="10">
        <f t="shared" si="5"/>
        <v>11445581</v>
      </c>
      <c r="U371" s="8">
        <v>46112.0</v>
      </c>
      <c r="V371" s="7">
        <v>3.0E8</v>
      </c>
      <c r="W371" s="7">
        <v>3.1880024357E8</v>
      </c>
      <c r="X371" s="7">
        <v>7.55140204E8</v>
      </c>
      <c r="Y371" s="7">
        <v>1.1690658E7</v>
      </c>
      <c r="Z371" s="7">
        <v>1.1445581E7</v>
      </c>
      <c r="AA371" s="6" t="s">
        <v>52</v>
      </c>
      <c r="AB371" s="11" t="str">
        <f t="shared" si="6"/>
        <v>Include</v>
      </c>
      <c r="AC371" s="1">
        <f t="shared" si="394"/>
        <v>2.405364731</v>
      </c>
    </row>
    <row r="372" ht="15.0" customHeight="1">
      <c r="B372" s="6">
        <f t="shared" si="8"/>
        <v>370</v>
      </c>
      <c r="C372" s="1" t="s">
        <v>681</v>
      </c>
      <c r="D372" s="1" t="str">
        <f t="shared" si="2"/>
        <v>Private Equity</v>
      </c>
      <c r="E372" s="1" t="s">
        <v>43</v>
      </c>
      <c r="F372" s="1" t="s">
        <v>43</v>
      </c>
      <c r="G372" s="1" t="s">
        <v>681</v>
      </c>
      <c r="H372" s="1" t="s">
        <v>208</v>
      </c>
      <c r="I372" s="1" t="s">
        <v>318</v>
      </c>
      <c r="J372" s="1" t="s">
        <v>121</v>
      </c>
      <c r="K372" s="1" t="s">
        <v>122</v>
      </c>
      <c r="L372" s="1" t="s">
        <v>180</v>
      </c>
      <c r="N372" s="6">
        <v>2007.0</v>
      </c>
      <c r="O372" s="10">
        <f t="shared" ref="O372:R372" si="396">IFERROR(V372*INDEX($AH$4:$AH$8,MATCH($AA372,$AG$4:$AG$8,0)),"")</f>
        <v>231102000</v>
      </c>
      <c r="P372" s="10">
        <f t="shared" si="396"/>
        <v>241384021.2</v>
      </c>
      <c r="Q372" s="10">
        <f t="shared" si="396"/>
        <v>351956134</v>
      </c>
      <c r="R372" s="10">
        <f t="shared" si="396"/>
        <v>405520.457</v>
      </c>
      <c r="S372" s="10">
        <f t="shared" si="4"/>
        <v>352361654.4</v>
      </c>
      <c r="T372" s="10">
        <f t="shared" si="5"/>
        <v>2753590.394</v>
      </c>
      <c r="U372" s="8">
        <v>46112.0</v>
      </c>
      <c r="V372" s="7">
        <v>2.0E8</v>
      </c>
      <c r="W372" s="7">
        <v>2.0889825377E8</v>
      </c>
      <c r="X372" s="7">
        <v>3.045894315E8</v>
      </c>
      <c r="Y372" s="7">
        <v>350945.0</v>
      </c>
      <c r="Z372" s="7">
        <v>2383008.71</v>
      </c>
      <c r="AA372" s="6" t="s">
        <v>45</v>
      </c>
      <c r="AB372" s="11" t="str">
        <f t="shared" si="6"/>
        <v>Include</v>
      </c>
      <c r="AC372" s="1">
        <f t="shared" si="394"/>
        <v>1.459755508</v>
      </c>
    </row>
    <row r="373" ht="15.0" customHeight="1">
      <c r="B373" s="6">
        <f t="shared" si="8"/>
        <v>371</v>
      </c>
      <c r="C373" s="1" t="s">
        <v>682</v>
      </c>
      <c r="D373" s="1" t="str">
        <f t="shared" si="2"/>
        <v>Private Equity</v>
      </c>
      <c r="E373" s="1" t="s">
        <v>43</v>
      </c>
      <c r="F373" s="1" t="s">
        <v>43</v>
      </c>
      <c r="G373" s="1" t="s">
        <v>682</v>
      </c>
      <c r="H373" s="1" t="s">
        <v>383</v>
      </c>
      <c r="I373" s="1" t="s">
        <v>318</v>
      </c>
      <c r="J373" s="1" t="s">
        <v>121</v>
      </c>
      <c r="K373" s="1" t="s">
        <v>92</v>
      </c>
      <c r="L373" s="1" t="s">
        <v>573</v>
      </c>
      <c r="N373" s="6">
        <v>2007.0</v>
      </c>
      <c r="O373" s="10">
        <f t="shared" ref="O373:R373" si="397">IFERROR(V373*INDEX($AH$4:$AH$8,MATCH($AA373,$AG$4:$AG$8,0)),"")</f>
        <v>300000000</v>
      </c>
      <c r="P373" s="10">
        <f t="shared" si="397"/>
        <v>301095120</v>
      </c>
      <c r="Q373" s="10">
        <f t="shared" si="397"/>
        <v>399038857</v>
      </c>
      <c r="R373" s="10">
        <f t="shared" si="397"/>
        <v>0</v>
      </c>
      <c r="S373" s="10">
        <f t="shared" si="4"/>
        <v>399038857</v>
      </c>
      <c r="T373" s="10">
        <f t="shared" si="5"/>
        <v>0</v>
      </c>
      <c r="U373" s="8">
        <v>43281.0</v>
      </c>
      <c r="V373" s="7">
        <v>3.0E8</v>
      </c>
      <c r="W373" s="7">
        <v>3.0109512E8</v>
      </c>
      <c r="X373" s="7">
        <v>3.99038857E8</v>
      </c>
      <c r="Y373" s="7">
        <v>0.0</v>
      </c>
      <c r="Z373" s="7">
        <v>0.0</v>
      </c>
      <c r="AA373" s="6" t="s">
        <v>52</v>
      </c>
      <c r="AB373" s="11" t="str">
        <f t="shared" si="6"/>
        <v>Exclude</v>
      </c>
    </row>
    <row r="374" ht="15.0" customHeight="1">
      <c r="B374" s="6">
        <f t="shared" si="8"/>
        <v>372</v>
      </c>
      <c r="C374" s="1" t="s">
        <v>683</v>
      </c>
      <c r="D374" s="1" t="str">
        <f t="shared" si="2"/>
        <v>Private Equity</v>
      </c>
      <c r="E374" s="1" t="s">
        <v>43</v>
      </c>
      <c r="F374" s="1" t="s">
        <v>43</v>
      </c>
      <c r="G374" s="1" t="s">
        <v>683</v>
      </c>
      <c r="H374" s="1" t="s">
        <v>344</v>
      </c>
      <c r="I374" s="1" t="s">
        <v>318</v>
      </c>
      <c r="J374" s="1" t="s">
        <v>121</v>
      </c>
      <c r="K374" s="1" t="s">
        <v>92</v>
      </c>
      <c r="L374" s="1" t="s">
        <v>93</v>
      </c>
      <c r="N374" s="6">
        <v>2007.0</v>
      </c>
      <c r="O374" s="10">
        <f t="shared" ref="O374:R374" si="398">IFERROR(V374*INDEX($AH$4:$AH$8,MATCH($AA374,$AG$4:$AG$8,0)),"")</f>
        <v>75000000</v>
      </c>
      <c r="P374" s="10">
        <f t="shared" si="398"/>
        <v>75000000</v>
      </c>
      <c r="Q374" s="10">
        <f t="shared" si="398"/>
        <v>103243501.8</v>
      </c>
      <c r="R374" s="10">
        <f t="shared" si="398"/>
        <v>0</v>
      </c>
      <c r="S374" s="10">
        <f t="shared" si="4"/>
        <v>103243501.8</v>
      </c>
      <c r="T374" s="10">
        <f t="shared" si="5"/>
        <v>0</v>
      </c>
      <c r="U374" s="8">
        <v>45360.0</v>
      </c>
      <c r="V374" s="7">
        <v>7.5E7</v>
      </c>
      <c r="W374" s="7">
        <v>7.5E7</v>
      </c>
      <c r="X374" s="7">
        <v>1.032435018E8</v>
      </c>
      <c r="Y374" s="7">
        <v>0.0</v>
      </c>
      <c r="Z374" s="7">
        <v>0.0</v>
      </c>
      <c r="AA374" s="6" t="s">
        <v>52</v>
      </c>
      <c r="AB374" s="11" t="str">
        <f t="shared" si="6"/>
        <v>Exclude</v>
      </c>
    </row>
    <row r="375" ht="15.0" customHeight="1">
      <c r="B375" s="6">
        <f t="shared" si="8"/>
        <v>373</v>
      </c>
      <c r="C375" s="1" t="s">
        <v>684</v>
      </c>
      <c r="D375" s="1" t="str">
        <f t="shared" si="2"/>
        <v>Private Equity</v>
      </c>
      <c r="E375" s="1" t="s">
        <v>43</v>
      </c>
      <c r="F375" s="1" t="s">
        <v>43</v>
      </c>
      <c r="G375" s="1" t="s">
        <v>684</v>
      </c>
      <c r="H375" s="1" t="s">
        <v>185</v>
      </c>
      <c r="I375" s="1" t="s">
        <v>318</v>
      </c>
      <c r="J375" s="1" t="s">
        <v>121</v>
      </c>
      <c r="K375" s="1" t="s">
        <v>122</v>
      </c>
      <c r="L375" s="1" t="s">
        <v>127</v>
      </c>
      <c r="N375" s="6">
        <v>2007.0</v>
      </c>
      <c r="O375" s="10">
        <f t="shared" ref="O375:R375" si="399">IFERROR(V375*INDEX($AH$4:$AH$8,MATCH($AA375,$AG$4:$AG$8,0)),"")</f>
        <v>300000000</v>
      </c>
      <c r="P375" s="10">
        <f t="shared" si="399"/>
        <v>335955473.1</v>
      </c>
      <c r="Q375" s="10">
        <f t="shared" si="399"/>
        <v>540742691</v>
      </c>
      <c r="R375" s="10">
        <f t="shared" si="399"/>
        <v>0</v>
      </c>
      <c r="S375" s="10">
        <f t="shared" si="4"/>
        <v>540742691</v>
      </c>
      <c r="T375" s="10">
        <f t="shared" si="5"/>
        <v>36299907.6</v>
      </c>
      <c r="U375" s="8">
        <v>45016.0</v>
      </c>
      <c r="V375" s="7">
        <v>3.0E8</v>
      </c>
      <c r="W375" s="7">
        <v>3.3595547309E8</v>
      </c>
      <c r="X375" s="7">
        <v>5.4074269102E8</v>
      </c>
      <c r="Y375" s="7">
        <v>0.0</v>
      </c>
      <c r="Z375" s="7">
        <v>3.62999076E7</v>
      </c>
      <c r="AA375" s="6" t="s">
        <v>52</v>
      </c>
      <c r="AB375" s="11" t="str">
        <f t="shared" si="6"/>
        <v>Exclude</v>
      </c>
    </row>
    <row r="376" ht="15.0" customHeight="1">
      <c r="B376" s="6">
        <f t="shared" si="8"/>
        <v>374</v>
      </c>
      <c r="C376" s="1" t="s">
        <v>685</v>
      </c>
      <c r="D376" s="1" t="str">
        <f t="shared" si="2"/>
        <v>Private Equity</v>
      </c>
      <c r="E376" s="1" t="s">
        <v>43</v>
      </c>
      <c r="F376" s="1" t="s">
        <v>43</v>
      </c>
      <c r="G376" s="1" t="s">
        <v>685</v>
      </c>
      <c r="H376" s="1" t="s">
        <v>214</v>
      </c>
      <c r="I376" s="1" t="s">
        <v>318</v>
      </c>
      <c r="J376" s="1" t="s">
        <v>121</v>
      </c>
      <c r="K376" s="1" t="s">
        <v>122</v>
      </c>
      <c r="L376" s="1" t="s">
        <v>127</v>
      </c>
      <c r="N376" s="6">
        <v>2007.0</v>
      </c>
      <c r="O376" s="10">
        <f t="shared" ref="O376:R376" si="400">IFERROR(V376*INDEX($AH$4:$AH$8,MATCH($AA376,$AG$4:$AG$8,0)),"")</f>
        <v>300000000</v>
      </c>
      <c r="P376" s="10">
        <f t="shared" si="400"/>
        <v>281816311</v>
      </c>
      <c r="Q376" s="10">
        <f t="shared" si="400"/>
        <v>471348589</v>
      </c>
      <c r="R376" s="10">
        <f t="shared" si="400"/>
        <v>6254221</v>
      </c>
      <c r="S376" s="10">
        <f t="shared" si="4"/>
        <v>477602810</v>
      </c>
      <c r="T376" s="10">
        <f t="shared" si="5"/>
        <v>51262590</v>
      </c>
      <c r="U376" s="8">
        <v>46112.0</v>
      </c>
      <c r="V376" s="7">
        <v>3.0E8</v>
      </c>
      <c r="W376" s="7">
        <v>2.81816311E8</v>
      </c>
      <c r="X376" s="7">
        <v>4.71348589E8</v>
      </c>
      <c r="Y376" s="7">
        <v>6254221.0</v>
      </c>
      <c r="Z376" s="7">
        <v>5.126259E7</v>
      </c>
      <c r="AA376" s="6" t="s">
        <v>52</v>
      </c>
      <c r="AB376" s="11" t="str">
        <f t="shared" si="6"/>
        <v>Include</v>
      </c>
      <c r="AC376" s="1">
        <f>S376/P376</f>
        <v>1.694730899</v>
      </c>
    </row>
    <row r="377" ht="15.0" customHeight="1">
      <c r="B377" s="6">
        <f t="shared" si="8"/>
        <v>375</v>
      </c>
      <c r="C377" s="1" t="s">
        <v>686</v>
      </c>
      <c r="D377" s="1" t="str">
        <f t="shared" si="2"/>
        <v>Private Equity</v>
      </c>
      <c r="E377" s="1" t="s">
        <v>43</v>
      </c>
      <c r="F377" s="1" t="s">
        <v>43</v>
      </c>
      <c r="G377" s="1" t="s">
        <v>686</v>
      </c>
      <c r="H377" s="1" t="s">
        <v>234</v>
      </c>
      <c r="I377" s="1" t="s">
        <v>318</v>
      </c>
      <c r="J377" s="1" t="s">
        <v>121</v>
      </c>
      <c r="K377" s="1" t="s">
        <v>122</v>
      </c>
      <c r="L377" s="1" t="s">
        <v>127</v>
      </c>
      <c r="N377" s="6">
        <v>2007.0</v>
      </c>
      <c r="O377" s="10">
        <f t="shared" ref="O377:R377" si="401">IFERROR(V377*INDEX($AH$4:$AH$8,MATCH($AA377,$AG$4:$AG$8,0)),"")</f>
        <v>76752675.63</v>
      </c>
      <c r="P377" s="10">
        <f t="shared" si="401"/>
        <v>79588681.76</v>
      </c>
      <c r="Q377" s="10">
        <f t="shared" si="401"/>
        <v>128551753.5</v>
      </c>
      <c r="R377" s="10">
        <f t="shared" si="401"/>
        <v>0</v>
      </c>
      <c r="S377" s="10">
        <f t="shared" si="4"/>
        <v>128551753.5</v>
      </c>
      <c r="T377" s="10">
        <f t="shared" si="5"/>
        <v>-0.42</v>
      </c>
      <c r="U377" s="8">
        <v>45988.0</v>
      </c>
      <c r="V377" s="7">
        <v>7.675267563E7</v>
      </c>
      <c r="W377" s="7">
        <v>7.958868176E7</v>
      </c>
      <c r="X377" s="7">
        <v>1.2855175354E8</v>
      </c>
      <c r="Y377" s="7">
        <v>0.0</v>
      </c>
      <c r="Z377" s="7">
        <v>-0.42</v>
      </c>
      <c r="AA377" s="6" t="s">
        <v>52</v>
      </c>
      <c r="AB377" s="11" t="str">
        <f t="shared" si="6"/>
        <v>Exclude</v>
      </c>
    </row>
    <row r="378" ht="15.0" customHeight="1">
      <c r="B378" s="6">
        <f t="shared" si="8"/>
        <v>376</v>
      </c>
      <c r="C378" s="1" t="s">
        <v>687</v>
      </c>
      <c r="D378" s="1" t="str">
        <f t="shared" si="2"/>
        <v>VC &amp; Growth</v>
      </c>
      <c r="E378" s="1" t="s">
        <v>270</v>
      </c>
      <c r="F378" s="1" t="s">
        <v>43</v>
      </c>
      <c r="G378" s="1" t="s">
        <v>687</v>
      </c>
      <c r="H378" s="1" t="s">
        <v>618</v>
      </c>
      <c r="I378" s="1" t="s">
        <v>318</v>
      </c>
      <c r="J378" s="1" t="s">
        <v>150</v>
      </c>
      <c r="K378" s="1" t="s">
        <v>150</v>
      </c>
      <c r="L378" s="1" t="s">
        <v>470</v>
      </c>
      <c r="N378" s="6">
        <v>2007.0</v>
      </c>
      <c r="O378" s="10">
        <f t="shared" ref="O378:R378" si="402">IFERROR(V378*INDEX($AH$4:$AH$8,MATCH($AA378,$AG$4:$AG$8,0)),"")</f>
        <v>75000000</v>
      </c>
      <c r="P378" s="10">
        <f t="shared" si="402"/>
        <v>75000000.02</v>
      </c>
      <c r="Q378" s="10">
        <f t="shared" si="402"/>
        <v>156519143.5</v>
      </c>
      <c r="R378" s="10">
        <f t="shared" si="402"/>
        <v>6966988</v>
      </c>
      <c r="S378" s="10">
        <f t="shared" si="4"/>
        <v>163486131.5</v>
      </c>
      <c r="T378" s="10">
        <f t="shared" si="5"/>
        <v>-0.02</v>
      </c>
      <c r="U378" s="8">
        <v>46112.0</v>
      </c>
      <c r="V378" s="7">
        <v>7.5E7</v>
      </c>
      <c r="W378" s="7">
        <v>7.500000002E7</v>
      </c>
      <c r="X378" s="7">
        <v>1.5651914345E8</v>
      </c>
      <c r="Y378" s="7">
        <v>6966988.0</v>
      </c>
      <c r="Z378" s="7">
        <v>-0.02</v>
      </c>
      <c r="AA378" s="6" t="s">
        <v>52</v>
      </c>
      <c r="AB378" s="11" t="str">
        <f t="shared" si="6"/>
        <v>Include</v>
      </c>
      <c r="AC378" s="1">
        <f>S378/P378</f>
        <v>2.179815085</v>
      </c>
    </row>
    <row r="379" ht="15.0" customHeight="1">
      <c r="B379" s="6">
        <f t="shared" si="8"/>
        <v>377</v>
      </c>
      <c r="C379" s="1" t="s">
        <v>688</v>
      </c>
      <c r="D379" s="1" t="str">
        <f t="shared" si="2"/>
        <v>Private Equity</v>
      </c>
      <c r="E379" s="1" t="s">
        <v>43</v>
      </c>
      <c r="F379" s="1" t="s">
        <v>43</v>
      </c>
      <c r="G379" s="1" t="s">
        <v>688</v>
      </c>
      <c r="H379" s="1" t="s">
        <v>140</v>
      </c>
      <c r="I379" s="1" t="s">
        <v>318</v>
      </c>
      <c r="J379" s="1" t="s">
        <v>121</v>
      </c>
      <c r="K379" s="1" t="s">
        <v>122</v>
      </c>
      <c r="L379" s="1" t="s">
        <v>127</v>
      </c>
      <c r="N379" s="6">
        <v>2007.0</v>
      </c>
      <c r="O379" s="10">
        <f t="shared" ref="O379:R379" si="403">IFERROR(V379*INDEX($AH$4:$AH$8,MATCH($AA379,$AG$4:$AG$8,0)),"")</f>
        <v>115551000</v>
      </c>
      <c r="P379" s="10">
        <f t="shared" si="403"/>
        <v>107390750.7</v>
      </c>
      <c r="Q379" s="10">
        <f t="shared" si="403"/>
        <v>224343817.4</v>
      </c>
      <c r="R379" s="10">
        <f t="shared" si="403"/>
        <v>0</v>
      </c>
      <c r="S379" s="10">
        <f t="shared" si="4"/>
        <v>224343817.4</v>
      </c>
      <c r="T379" s="10">
        <f t="shared" si="5"/>
        <v>0</v>
      </c>
      <c r="U379" s="8">
        <v>44546.0</v>
      </c>
      <c r="V379" s="7">
        <v>1.0E8</v>
      </c>
      <c r="W379" s="7">
        <v>9.293796735E7</v>
      </c>
      <c r="X379" s="7">
        <v>1.9415134214E8</v>
      </c>
      <c r="Y379" s="7">
        <v>0.0</v>
      </c>
      <c r="Z379" s="7">
        <v>0.0</v>
      </c>
      <c r="AA379" s="6" t="s">
        <v>45</v>
      </c>
      <c r="AB379" s="11" t="str">
        <f t="shared" si="6"/>
        <v>Exclude</v>
      </c>
    </row>
    <row r="380" ht="15.0" customHeight="1">
      <c r="B380" s="6">
        <f t="shared" si="8"/>
        <v>378</v>
      </c>
      <c r="C380" s="1" t="s">
        <v>689</v>
      </c>
      <c r="D380" s="1" t="str">
        <f t="shared" si="2"/>
        <v>Private Equity</v>
      </c>
      <c r="E380" s="1" t="s">
        <v>43</v>
      </c>
      <c r="F380" s="1" t="s">
        <v>43</v>
      </c>
      <c r="G380" s="1" t="s">
        <v>689</v>
      </c>
      <c r="H380" s="1" t="s">
        <v>545</v>
      </c>
      <c r="I380" s="1" t="s">
        <v>318</v>
      </c>
      <c r="J380" s="1" t="s">
        <v>121</v>
      </c>
      <c r="K380" s="1" t="s">
        <v>122</v>
      </c>
      <c r="L380" s="1" t="s">
        <v>127</v>
      </c>
      <c r="N380" s="6">
        <v>2007.0</v>
      </c>
      <c r="O380" s="10">
        <f t="shared" ref="O380:R380" si="404">IFERROR(V380*INDEX($AH$4:$AH$8,MATCH($AA380,$AG$4:$AG$8,0)),"")</f>
        <v>300000000</v>
      </c>
      <c r="P380" s="10">
        <f t="shared" si="404"/>
        <v>287028332</v>
      </c>
      <c r="Q380" s="10">
        <f t="shared" si="404"/>
        <v>337445210</v>
      </c>
      <c r="R380" s="10">
        <f t="shared" si="404"/>
        <v>0</v>
      </c>
      <c r="S380" s="10">
        <f t="shared" si="4"/>
        <v>337445210</v>
      </c>
      <c r="T380" s="10">
        <f t="shared" si="5"/>
        <v>0</v>
      </c>
      <c r="U380" s="8">
        <v>42004.0</v>
      </c>
      <c r="V380" s="7">
        <v>3.0E8</v>
      </c>
      <c r="W380" s="7">
        <v>2.87028332E8</v>
      </c>
      <c r="X380" s="7">
        <v>3.374452100118E8</v>
      </c>
      <c r="Y380" s="7">
        <v>0.0</v>
      </c>
      <c r="Z380" s="7">
        <v>0.0</v>
      </c>
      <c r="AA380" s="6" t="s">
        <v>52</v>
      </c>
      <c r="AB380" s="11" t="str">
        <f t="shared" si="6"/>
        <v>Exclude</v>
      </c>
    </row>
    <row r="381" ht="15.0" customHeight="1">
      <c r="B381" s="6">
        <f t="shared" si="8"/>
        <v>379</v>
      </c>
      <c r="C381" s="1" t="s">
        <v>690</v>
      </c>
      <c r="D381" s="1" t="str">
        <f t="shared" si="2"/>
        <v>Private Equity</v>
      </c>
      <c r="E381" s="1" t="s">
        <v>43</v>
      </c>
      <c r="F381" s="1" t="s">
        <v>43</v>
      </c>
      <c r="G381" s="1" t="s">
        <v>690</v>
      </c>
      <c r="H381" s="1" t="s">
        <v>176</v>
      </c>
      <c r="I381" s="1" t="s">
        <v>318</v>
      </c>
      <c r="J381" s="1" t="s">
        <v>121</v>
      </c>
      <c r="K381" s="1" t="s">
        <v>122</v>
      </c>
      <c r="L381" s="1" t="s">
        <v>123</v>
      </c>
      <c r="N381" s="6">
        <v>2008.0</v>
      </c>
      <c r="O381" s="10">
        <f t="shared" ref="O381:R381" si="405">IFERROR(V381*INDEX($AH$4:$AH$8,MATCH($AA381,$AG$4:$AG$8,0)),"")</f>
        <v>100000000</v>
      </c>
      <c r="P381" s="10">
        <f t="shared" si="405"/>
        <v>110163454.5</v>
      </c>
      <c r="Q381" s="10">
        <f t="shared" si="405"/>
        <v>209946359.1</v>
      </c>
      <c r="R381" s="10">
        <f t="shared" si="405"/>
        <v>0</v>
      </c>
      <c r="S381" s="10">
        <f t="shared" si="4"/>
        <v>209946359.1</v>
      </c>
      <c r="T381" s="10">
        <f t="shared" si="5"/>
        <v>0.12</v>
      </c>
      <c r="U381" s="8">
        <v>45790.0</v>
      </c>
      <c r="V381" s="7">
        <v>1.0E8</v>
      </c>
      <c r="W381" s="7">
        <v>1.1016345448E8</v>
      </c>
      <c r="X381" s="7">
        <v>2.0994635913E8</v>
      </c>
      <c r="Y381" s="7">
        <v>0.0</v>
      </c>
      <c r="Z381" s="7">
        <v>0.12</v>
      </c>
      <c r="AA381" s="6" t="s">
        <v>52</v>
      </c>
      <c r="AB381" s="11" t="str">
        <f t="shared" si="6"/>
        <v>Exclude</v>
      </c>
    </row>
    <row r="382" ht="15.0" customHeight="1">
      <c r="B382" s="6">
        <f t="shared" si="8"/>
        <v>380</v>
      </c>
      <c r="C382" s="1" t="s">
        <v>691</v>
      </c>
      <c r="D382" s="1" t="str">
        <f t="shared" si="2"/>
        <v>Private Equity</v>
      </c>
      <c r="E382" s="1" t="s">
        <v>43</v>
      </c>
      <c r="F382" s="1" t="s">
        <v>43</v>
      </c>
      <c r="G382" s="1" t="s">
        <v>691</v>
      </c>
      <c r="H382" s="1" t="s">
        <v>568</v>
      </c>
      <c r="I382" s="1" t="s">
        <v>318</v>
      </c>
      <c r="J382" s="1" t="s">
        <v>121</v>
      </c>
      <c r="K382" s="1" t="s">
        <v>122</v>
      </c>
      <c r="L382" s="1" t="s">
        <v>123</v>
      </c>
      <c r="N382" s="6">
        <v>2007.0</v>
      </c>
      <c r="O382" s="10">
        <f t="shared" ref="O382:R382" si="406">IFERROR(V382*INDEX($AH$4:$AH$8,MATCH($AA382,$AG$4:$AG$8,0)),"")</f>
        <v>17386250</v>
      </c>
      <c r="P382" s="10">
        <f t="shared" si="406"/>
        <v>12225121</v>
      </c>
      <c r="Q382" s="10">
        <f t="shared" si="406"/>
        <v>2451273.48</v>
      </c>
      <c r="R382" s="10">
        <f t="shared" si="406"/>
        <v>0</v>
      </c>
      <c r="S382" s="10">
        <f t="shared" si="4"/>
        <v>2451273.48</v>
      </c>
      <c r="T382" s="10">
        <f t="shared" si="5"/>
        <v>0</v>
      </c>
      <c r="U382" s="8">
        <v>42004.0</v>
      </c>
      <c r="V382" s="7">
        <v>1.738625E7</v>
      </c>
      <c r="W382" s="7">
        <v>1.2225121E7</v>
      </c>
      <c r="X382" s="7">
        <v>2451273.4801</v>
      </c>
      <c r="Y382" s="7">
        <v>0.0</v>
      </c>
      <c r="Z382" s="7">
        <v>0.0</v>
      </c>
      <c r="AA382" s="6" t="s">
        <v>52</v>
      </c>
      <c r="AB382" s="11" t="str">
        <f t="shared" si="6"/>
        <v>Exclude</v>
      </c>
    </row>
    <row r="383" ht="15.0" customHeight="1">
      <c r="B383" s="6">
        <f t="shared" si="8"/>
        <v>381</v>
      </c>
      <c r="C383" s="1" t="s">
        <v>692</v>
      </c>
      <c r="D383" s="1" t="str">
        <f t="shared" si="2"/>
        <v>Private Equity</v>
      </c>
      <c r="E383" s="1" t="s">
        <v>43</v>
      </c>
      <c r="F383" s="1" t="s">
        <v>43</v>
      </c>
      <c r="G383" s="1" t="s">
        <v>692</v>
      </c>
      <c r="H383" s="1" t="s">
        <v>693</v>
      </c>
      <c r="I383" s="1" t="s">
        <v>318</v>
      </c>
      <c r="J383" s="1" t="s">
        <v>121</v>
      </c>
      <c r="K383" s="1" t="s">
        <v>122</v>
      </c>
      <c r="L383" s="1" t="s">
        <v>123</v>
      </c>
      <c r="N383" s="6">
        <v>2008.0</v>
      </c>
      <c r="O383" s="10">
        <f t="shared" ref="O383:R383" si="407">IFERROR(V383*INDEX($AH$4:$AH$8,MATCH($AA383,$AG$4:$AG$8,0)),"")</f>
        <v>300000000</v>
      </c>
      <c r="P383" s="10">
        <f t="shared" si="407"/>
        <v>297630469.6</v>
      </c>
      <c r="Q383" s="10">
        <f t="shared" si="407"/>
        <v>467898260.1</v>
      </c>
      <c r="R383" s="10">
        <f t="shared" si="407"/>
        <v>9765359</v>
      </c>
      <c r="S383" s="10">
        <f t="shared" si="4"/>
        <v>477663619.1</v>
      </c>
      <c r="T383" s="10">
        <f t="shared" si="5"/>
        <v>50513882.11</v>
      </c>
      <c r="U383" s="8">
        <v>46022.0</v>
      </c>
      <c r="V383" s="7">
        <v>3.0E8</v>
      </c>
      <c r="W383" s="7">
        <v>2.976304696E8</v>
      </c>
      <c r="X383" s="7">
        <v>4.6789826014E8</v>
      </c>
      <c r="Y383" s="7">
        <v>9765359.0</v>
      </c>
      <c r="Z383" s="7">
        <v>5.051388211E7</v>
      </c>
      <c r="AA383" s="6" t="s">
        <v>52</v>
      </c>
      <c r="AB383" s="11" t="str">
        <f t="shared" si="6"/>
        <v>Include</v>
      </c>
      <c r="AC383" s="1">
        <f>S383/P383</f>
        <v>1.604888168</v>
      </c>
    </row>
    <row r="384" ht="15.0" customHeight="1">
      <c r="B384" s="6">
        <f t="shared" si="8"/>
        <v>382</v>
      </c>
      <c r="C384" s="1" t="s">
        <v>694</v>
      </c>
      <c r="D384" s="1" t="str">
        <f t="shared" si="2"/>
        <v>VC &amp; Growth</v>
      </c>
      <c r="E384" s="1" t="s">
        <v>270</v>
      </c>
      <c r="F384" s="1" t="s">
        <v>43</v>
      </c>
      <c r="G384" s="1" t="s">
        <v>694</v>
      </c>
      <c r="H384" s="1" t="s">
        <v>611</v>
      </c>
      <c r="I384" s="1" t="s">
        <v>318</v>
      </c>
      <c r="J384" s="1" t="s">
        <v>150</v>
      </c>
      <c r="K384" s="1" t="s">
        <v>150</v>
      </c>
      <c r="L384" s="1" t="s">
        <v>173</v>
      </c>
      <c r="N384" s="6">
        <v>2007.0</v>
      </c>
      <c r="O384" s="10">
        <f t="shared" ref="O384:R384" si="408">IFERROR(V384*INDEX($AH$4:$AH$8,MATCH($AA384,$AG$4:$AG$8,0)),"")</f>
        <v>100000000</v>
      </c>
      <c r="P384" s="10">
        <f t="shared" si="408"/>
        <v>98153932.28</v>
      </c>
      <c r="Q384" s="10">
        <f t="shared" si="408"/>
        <v>97999292.46</v>
      </c>
      <c r="R384" s="10">
        <f t="shared" si="408"/>
        <v>0</v>
      </c>
      <c r="S384" s="10">
        <f t="shared" si="4"/>
        <v>97999292.46</v>
      </c>
      <c r="T384" s="10">
        <f t="shared" si="5"/>
        <v>-0.09</v>
      </c>
      <c r="U384" s="8">
        <v>43830.0</v>
      </c>
      <c r="V384" s="7">
        <v>1.0E8</v>
      </c>
      <c r="W384" s="7">
        <v>9.815393228E7</v>
      </c>
      <c r="X384" s="7">
        <v>9.799929246E7</v>
      </c>
      <c r="Y384" s="7">
        <v>0.0</v>
      </c>
      <c r="Z384" s="7">
        <v>-0.09</v>
      </c>
      <c r="AA384" s="6" t="s">
        <v>52</v>
      </c>
      <c r="AB384" s="11" t="str">
        <f t="shared" si="6"/>
        <v>Exclude</v>
      </c>
    </row>
    <row r="385" ht="15.0" customHeight="1">
      <c r="B385" s="6">
        <f t="shared" si="8"/>
        <v>383</v>
      </c>
      <c r="C385" s="1" t="s">
        <v>695</v>
      </c>
      <c r="D385" s="1" t="str">
        <f t="shared" si="2"/>
        <v>Private Equity</v>
      </c>
      <c r="E385" s="1" t="s">
        <v>43</v>
      </c>
      <c r="F385" s="1" t="s">
        <v>43</v>
      </c>
      <c r="G385" s="1" t="s">
        <v>695</v>
      </c>
      <c r="H385" s="1" t="s">
        <v>143</v>
      </c>
      <c r="I385" s="1" t="s">
        <v>318</v>
      </c>
      <c r="J385" s="1" t="s">
        <v>121</v>
      </c>
      <c r="K385" s="1" t="s">
        <v>122</v>
      </c>
      <c r="L385" s="1" t="s">
        <v>123</v>
      </c>
      <c r="N385" s="6">
        <v>2008.0</v>
      </c>
      <c r="O385" s="10">
        <f t="shared" ref="O385:R385" si="409">IFERROR(V385*INDEX($AH$4:$AH$8,MATCH($AA385,$AG$4:$AG$8,0)),"")</f>
        <v>60000000</v>
      </c>
      <c r="P385" s="10">
        <f t="shared" si="409"/>
        <v>64754066</v>
      </c>
      <c r="Q385" s="10">
        <f t="shared" si="409"/>
        <v>73870651</v>
      </c>
      <c r="R385" s="10">
        <f t="shared" si="409"/>
        <v>0</v>
      </c>
      <c r="S385" s="10">
        <f t="shared" si="4"/>
        <v>73870651</v>
      </c>
      <c r="T385" s="10">
        <f t="shared" si="5"/>
        <v>0</v>
      </c>
      <c r="U385" s="8">
        <v>45657.0</v>
      </c>
      <c r="V385" s="7">
        <v>6.0E7</v>
      </c>
      <c r="W385" s="7">
        <v>6.4754066E7</v>
      </c>
      <c r="X385" s="7">
        <v>7.3870651E7</v>
      </c>
      <c r="Y385" s="7">
        <v>0.0</v>
      </c>
      <c r="Z385" s="7">
        <v>0.0</v>
      </c>
      <c r="AA385" s="6" t="s">
        <v>52</v>
      </c>
      <c r="AB385" s="11" t="str">
        <f t="shared" si="6"/>
        <v>Exclude</v>
      </c>
    </row>
    <row r="386" ht="15.0" customHeight="1">
      <c r="B386" s="6">
        <f t="shared" si="8"/>
        <v>384</v>
      </c>
      <c r="C386" s="1" t="s">
        <v>696</v>
      </c>
      <c r="D386" s="1" t="str">
        <f t="shared" si="2"/>
        <v>VC &amp; Growth</v>
      </c>
      <c r="E386" s="1" t="s">
        <v>270</v>
      </c>
      <c r="F386" s="1" t="s">
        <v>43</v>
      </c>
      <c r="G386" s="1" t="s">
        <v>696</v>
      </c>
      <c r="H386" s="1" t="s">
        <v>167</v>
      </c>
      <c r="I386" s="1" t="s">
        <v>318</v>
      </c>
      <c r="J386" s="1" t="s">
        <v>126</v>
      </c>
      <c r="K386" s="1" t="s">
        <v>126</v>
      </c>
      <c r="L386" s="1" t="s">
        <v>126</v>
      </c>
      <c r="N386" s="6">
        <v>2008.0</v>
      </c>
      <c r="O386" s="10">
        <f t="shared" ref="O386:R386" si="410">IFERROR(V386*INDEX($AH$4:$AH$8,MATCH($AA386,$AG$4:$AG$8,0)),"")</f>
        <v>187500000</v>
      </c>
      <c r="P386" s="10">
        <f t="shared" si="410"/>
        <v>168296849.8</v>
      </c>
      <c r="Q386" s="10">
        <f t="shared" si="410"/>
        <v>399184705.2</v>
      </c>
      <c r="R386" s="10">
        <f t="shared" si="410"/>
        <v>155264</v>
      </c>
      <c r="S386" s="10">
        <f t="shared" si="4"/>
        <v>399339969.2</v>
      </c>
      <c r="T386" s="10">
        <f t="shared" si="5"/>
        <v>1875000.16</v>
      </c>
      <c r="U386" s="8">
        <v>46112.0</v>
      </c>
      <c r="V386" s="7">
        <v>1.875E8</v>
      </c>
      <c r="W386" s="7">
        <v>1.6829684977E8</v>
      </c>
      <c r="X386" s="7">
        <v>3.9918470515E8</v>
      </c>
      <c r="Y386" s="7">
        <v>155264.0</v>
      </c>
      <c r="Z386" s="7">
        <v>1875000.16</v>
      </c>
      <c r="AA386" s="6" t="s">
        <v>52</v>
      </c>
      <c r="AB386" s="11" t="str">
        <f t="shared" si="6"/>
        <v>Include</v>
      </c>
      <c r="AC386" s="1">
        <f>S386/P386</f>
        <v>2.372830922</v>
      </c>
    </row>
    <row r="387" ht="15.0" customHeight="1">
      <c r="B387" s="6">
        <f t="shared" si="8"/>
        <v>385</v>
      </c>
      <c r="C387" s="1" t="s">
        <v>697</v>
      </c>
      <c r="D387" s="1" t="str">
        <f t="shared" si="2"/>
        <v>VC &amp; Growth</v>
      </c>
      <c r="E387" s="1" t="s">
        <v>270</v>
      </c>
      <c r="F387" s="1" t="s">
        <v>43</v>
      </c>
      <c r="G387" s="1" t="s">
        <v>697</v>
      </c>
      <c r="H387" s="1" t="s">
        <v>131</v>
      </c>
      <c r="I387" s="1" t="s">
        <v>318</v>
      </c>
      <c r="J387" s="1" t="s">
        <v>126</v>
      </c>
      <c r="K387" s="1" t="s">
        <v>126</v>
      </c>
      <c r="L387" s="1" t="s">
        <v>123</v>
      </c>
      <c r="N387" s="6">
        <v>2008.0</v>
      </c>
      <c r="O387" s="10">
        <f t="shared" ref="O387:R387" si="411">IFERROR(V387*INDEX($AH$4:$AH$8,MATCH($AA387,$AG$4:$AG$8,0)),"")</f>
        <v>75000000</v>
      </c>
      <c r="P387" s="10">
        <f t="shared" si="411"/>
        <v>92996496</v>
      </c>
      <c r="Q387" s="10">
        <f t="shared" si="411"/>
        <v>142096864.4</v>
      </c>
      <c r="R387" s="10">
        <f t="shared" si="411"/>
        <v>0</v>
      </c>
      <c r="S387" s="10">
        <f t="shared" si="4"/>
        <v>142096864.4</v>
      </c>
      <c r="T387" s="10">
        <f t="shared" si="5"/>
        <v>0</v>
      </c>
      <c r="U387" s="8">
        <v>45199.0</v>
      </c>
      <c r="V387" s="7">
        <v>7.5E7</v>
      </c>
      <c r="W387" s="7">
        <v>9.2996496E7</v>
      </c>
      <c r="X387" s="7">
        <v>1.4209686436E8</v>
      </c>
      <c r="Y387" s="7">
        <v>0.0</v>
      </c>
      <c r="Z387" s="7">
        <v>0.0</v>
      </c>
      <c r="AA387" s="6" t="s">
        <v>52</v>
      </c>
      <c r="AB387" s="11" t="str">
        <f t="shared" si="6"/>
        <v>Exclude</v>
      </c>
    </row>
    <row r="388" ht="15.0" customHeight="1">
      <c r="B388" s="6">
        <f t="shared" si="8"/>
        <v>386</v>
      </c>
      <c r="C388" s="1" t="s">
        <v>698</v>
      </c>
      <c r="D388" s="1" t="str">
        <f t="shared" si="2"/>
        <v>Private Equity</v>
      </c>
      <c r="E388" s="1" t="s">
        <v>43</v>
      </c>
      <c r="F388" s="1" t="s">
        <v>43</v>
      </c>
      <c r="G388" s="1" t="s">
        <v>698</v>
      </c>
      <c r="H388" s="1" t="s">
        <v>344</v>
      </c>
      <c r="I388" s="1" t="s">
        <v>318</v>
      </c>
      <c r="J388" s="1" t="s">
        <v>121</v>
      </c>
      <c r="K388" s="1" t="s">
        <v>92</v>
      </c>
      <c r="L388" s="1" t="s">
        <v>93</v>
      </c>
      <c r="N388" s="6">
        <v>2008.0</v>
      </c>
      <c r="O388" s="10">
        <f t="shared" ref="O388:R388" si="412">IFERROR(V388*INDEX($AH$4:$AH$8,MATCH($AA388,$AG$4:$AG$8,0)),"")</f>
        <v>225000000</v>
      </c>
      <c r="P388" s="10">
        <f t="shared" si="412"/>
        <v>202500000</v>
      </c>
      <c r="Q388" s="10">
        <f t="shared" si="412"/>
        <v>350706289.7</v>
      </c>
      <c r="R388" s="10">
        <f t="shared" si="412"/>
        <v>0</v>
      </c>
      <c r="S388" s="10">
        <f t="shared" si="4"/>
        <v>350706289.7</v>
      </c>
      <c r="T388" s="10">
        <f t="shared" si="5"/>
        <v>0</v>
      </c>
      <c r="U388" s="8">
        <v>45360.0</v>
      </c>
      <c r="V388" s="7">
        <v>2.25E8</v>
      </c>
      <c r="W388" s="7">
        <v>2.025E8</v>
      </c>
      <c r="X388" s="7">
        <v>3.5070628971E8</v>
      </c>
      <c r="Y388" s="7">
        <v>0.0</v>
      </c>
      <c r="Z388" s="7">
        <v>0.0</v>
      </c>
      <c r="AA388" s="6" t="s">
        <v>52</v>
      </c>
      <c r="AB388" s="11" t="str">
        <f t="shared" si="6"/>
        <v>Exclude</v>
      </c>
    </row>
    <row r="389" ht="15.0" customHeight="1">
      <c r="B389" s="6">
        <f t="shared" si="8"/>
        <v>387</v>
      </c>
      <c r="C389" s="1" t="s">
        <v>699</v>
      </c>
      <c r="D389" s="1" t="str">
        <f t="shared" si="2"/>
        <v>Private Equity</v>
      </c>
      <c r="E389" s="1" t="s">
        <v>43</v>
      </c>
      <c r="F389" s="1" t="s">
        <v>43</v>
      </c>
      <c r="G389" s="1" t="s">
        <v>699</v>
      </c>
      <c r="H389" s="1" t="s">
        <v>332</v>
      </c>
      <c r="I389" s="1" t="s">
        <v>318</v>
      </c>
      <c r="J389" s="1" t="s">
        <v>121</v>
      </c>
      <c r="K389" s="1" t="s">
        <v>122</v>
      </c>
      <c r="L389" s="1" t="s">
        <v>180</v>
      </c>
      <c r="N389" s="6">
        <v>2008.0</v>
      </c>
      <c r="O389" s="10">
        <f t="shared" ref="O389:R389" si="413">IFERROR(V389*INDEX($AH$4:$AH$8,MATCH($AA389,$AG$4:$AG$8,0)),"")</f>
        <v>360000000</v>
      </c>
      <c r="P389" s="10">
        <f t="shared" si="413"/>
        <v>364525234</v>
      </c>
      <c r="Q389" s="10">
        <f t="shared" si="413"/>
        <v>486680189.5</v>
      </c>
      <c r="R389" s="10">
        <f t="shared" si="413"/>
        <v>0</v>
      </c>
      <c r="S389" s="10">
        <f t="shared" si="4"/>
        <v>486680189.5</v>
      </c>
      <c r="T389" s="10">
        <f t="shared" si="5"/>
        <v>0</v>
      </c>
      <c r="U389" s="8">
        <v>42004.0</v>
      </c>
      <c r="V389" s="7">
        <v>3.6E8</v>
      </c>
      <c r="W389" s="7">
        <v>3.64525234E8</v>
      </c>
      <c r="X389" s="7">
        <v>4.866801894736E8</v>
      </c>
      <c r="Y389" s="7">
        <v>0.0</v>
      </c>
      <c r="Z389" s="7">
        <v>0.0</v>
      </c>
      <c r="AA389" s="6" t="s">
        <v>52</v>
      </c>
      <c r="AB389" s="11" t="str">
        <f t="shared" si="6"/>
        <v>Exclude</v>
      </c>
    </row>
    <row r="390" ht="15.0" customHeight="1">
      <c r="B390" s="6">
        <f t="shared" si="8"/>
        <v>388</v>
      </c>
      <c r="C390" s="1" t="s">
        <v>700</v>
      </c>
      <c r="D390" s="1" t="str">
        <f t="shared" si="2"/>
        <v>Private Equity</v>
      </c>
      <c r="E390" s="1" t="s">
        <v>43</v>
      </c>
      <c r="F390" s="1" t="s">
        <v>43</v>
      </c>
      <c r="G390" s="1" t="s">
        <v>700</v>
      </c>
      <c r="H390" s="1" t="s">
        <v>701</v>
      </c>
      <c r="I390" s="1" t="s">
        <v>318</v>
      </c>
      <c r="J390" s="1" t="s">
        <v>121</v>
      </c>
      <c r="K390" s="1" t="s">
        <v>122</v>
      </c>
      <c r="L390" s="1" t="s">
        <v>127</v>
      </c>
      <c r="N390" s="6">
        <v>2007.0</v>
      </c>
      <c r="O390" s="10">
        <f t="shared" ref="O390:R390" si="414">IFERROR(V390*INDEX($AH$4:$AH$8,MATCH($AA390,$AG$4:$AG$8,0)),"")</f>
        <v>200000000</v>
      </c>
      <c r="P390" s="10">
        <f t="shared" si="414"/>
        <v>224815720.3</v>
      </c>
      <c r="Q390" s="10">
        <f t="shared" si="414"/>
        <v>204741067.6</v>
      </c>
      <c r="R390" s="10">
        <f t="shared" si="414"/>
        <v>1634000</v>
      </c>
      <c r="S390" s="10">
        <f t="shared" si="4"/>
        <v>206375067.6</v>
      </c>
      <c r="T390" s="10">
        <f t="shared" si="5"/>
        <v>-0.05</v>
      </c>
      <c r="U390" s="8">
        <v>46112.0</v>
      </c>
      <c r="V390" s="7">
        <v>2.0E8</v>
      </c>
      <c r="W390" s="7">
        <v>2.2481572034E8</v>
      </c>
      <c r="X390" s="7">
        <v>2.0474106759E8</v>
      </c>
      <c r="Y390" s="7">
        <v>1634000.0</v>
      </c>
      <c r="Z390" s="7">
        <v>-0.05</v>
      </c>
      <c r="AA390" s="6" t="s">
        <v>52</v>
      </c>
      <c r="AB390" s="11" t="str">
        <f t="shared" si="6"/>
        <v>Include</v>
      </c>
      <c r="AC390" s="1">
        <f>S390/P390</f>
        <v>0.9179743626</v>
      </c>
    </row>
    <row r="391" ht="15.0" customHeight="1">
      <c r="B391" s="6">
        <f t="shared" si="8"/>
        <v>389</v>
      </c>
      <c r="C391" s="1" t="s">
        <v>702</v>
      </c>
      <c r="D391" s="1" t="str">
        <f t="shared" si="2"/>
        <v>Private Equity</v>
      </c>
      <c r="E391" s="1" t="s">
        <v>43</v>
      </c>
      <c r="F391" s="1" t="s">
        <v>43</v>
      </c>
      <c r="G391" s="1" t="s">
        <v>702</v>
      </c>
      <c r="H391" s="1" t="s">
        <v>703</v>
      </c>
      <c r="I391" s="1" t="s">
        <v>318</v>
      </c>
      <c r="J391" s="1" t="s">
        <v>121</v>
      </c>
      <c r="K391" s="1" t="s">
        <v>122</v>
      </c>
      <c r="L391" s="1" t="s">
        <v>127</v>
      </c>
      <c r="N391" s="6">
        <v>2007.0</v>
      </c>
      <c r="O391" s="10">
        <f t="shared" ref="O391:R391" si="415">IFERROR(V391*INDEX($AH$4:$AH$8,MATCH($AA391,$AG$4:$AG$8,0)),"")</f>
        <v>200000000</v>
      </c>
      <c r="P391" s="10">
        <f t="shared" si="415"/>
        <v>187330867.6</v>
      </c>
      <c r="Q391" s="10">
        <f t="shared" si="415"/>
        <v>215392572.1</v>
      </c>
      <c r="R391" s="10">
        <f t="shared" si="415"/>
        <v>0</v>
      </c>
      <c r="S391" s="10">
        <f t="shared" si="4"/>
        <v>215392572.1</v>
      </c>
      <c r="T391" s="10">
        <f t="shared" si="5"/>
        <v>0.2</v>
      </c>
      <c r="U391" s="8">
        <v>42004.0</v>
      </c>
      <c r="V391" s="7">
        <v>2.0E8</v>
      </c>
      <c r="W391" s="7">
        <v>1.8733086759E8</v>
      </c>
      <c r="X391" s="7">
        <v>2.153925721287E8</v>
      </c>
      <c r="Y391" s="7">
        <v>0.0</v>
      </c>
      <c r="Z391" s="7">
        <v>0.2</v>
      </c>
      <c r="AA391" s="6" t="s">
        <v>52</v>
      </c>
      <c r="AB391" s="11" t="str">
        <f t="shared" si="6"/>
        <v>Exclude</v>
      </c>
    </row>
    <row r="392" ht="15.0" customHeight="1">
      <c r="B392" s="6">
        <f t="shared" si="8"/>
        <v>390</v>
      </c>
      <c r="C392" s="1" t="s">
        <v>704</v>
      </c>
      <c r="D392" s="1" t="str">
        <f t="shared" si="2"/>
        <v>Private Equity</v>
      </c>
      <c r="E392" s="1" t="s">
        <v>43</v>
      </c>
      <c r="F392" s="1" t="s">
        <v>43</v>
      </c>
      <c r="G392" s="1" t="s">
        <v>704</v>
      </c>
      <c r="H392" s="1" t="s">
        <v>383</v>
      </c>
      <c r="I392" s="1" t="s">
        <v>318</v>
      </c>
      <c r="J392" s="1" t="s">
        <v>121</v>
      </c>
      <c r="K392" s="1" t="s">
        <v>92</v>
      </c>
      <c r="L392" s="1" t="s">
        <v>573</v>
      </c>
      <c r="N392" s="6">
        <v>2008.0</v>
      </c>
      <c r="O392" s="10">
        <f t="shared" ref="O392:R392" si="416">IFERROR(V392*INDEX($AH$4:$AH$8,MATCH($AA392,$AG$4:$AG$8,0)),"")</f>
        <v>231102000</v>
      </c>
      <c r="P392" s="10">
        <f t="shared" si="416"/>
        <v>205292651.8</v>
      </c>
      <c r="Q392" s="10">
        <f t="shared" si="416"/>
        <v>306739164.4</v>
      </c>
      <c r="R392" s="10">
        <f t="shared" si="416"/>
        <v>0</v>
      </c>
      <c r="S392" s="10">
        <f t="shared" si="4"/>
        <v>306739164.4</v>
      </c>
      <c r="T392" s="10">
        <f t="shared" si="5"/>
        <v>0</v>
      </c>
      <c r="U392" s="8">
        <v>42916.0</v>
      </c>
      <c r="V392" s="7">
        <v>2.0E8</v>
      </c>
      <c r="W392" s="7">
        <v>1.7766410659E8</v>
      </c>
      <c r="X392" s="7">
        <v>2.65457819E8</v>
      </c>
      <c r="Y392" s="7">
        <v>0.0</v>
      </c>
      <c r="Z392" s="7">
        <v>0.0</v>
      </c>
      <c r="AA392" s="6" t="s">
        <v>45</v>
      </c>
      <c r="AB392" s="11" t="str">
        <f t="shared" si="6"/>
        <v>Exclude</v>
      </c>
    </row>
    <row r="393" ht="15.0" customHeight="1">
      <c r="B393" s="6">
        <f t="shared" si="8"/>
        <v>391</v>
      </c>
      <c r="C393" s="1" t="s">
        <v>705</v>
      </c>
      <c r="D393" s="1" t="str">
        <f t="shared" si="2"/>
        <v>Private Equity</v>
      </c>
      <c r="E393" s="1" t="s">
        <v>43</v>
      </c>
      <c r="F393" s="1" t="s">
        <v>43</v>
      </c>
      <c r="G393" s="1" t="s">
        <v>705</v>
      </c>
      <c r="H393" s="1" t="s">
        <v>37</v>
      </c>
      <c r="I393" s="1" t="s">
        <v>318</v>
      </c>
      <c r="J393" s="1" t="s">
        <v>121</v>
      </c>
      <c r="K393" s="1" t="s">
        <v>274</v>
      </c>
      <c r="L393" s="1" t="s">
        <v>173</v>
      </c>
      <c r="N393" s="6">
        <v>2008.0</v>
      </c>
      <c r="O393" s="10">
        <f t="shared" ref="O393:R393" si="417">IFERROR(V393*INDEX($AH$4:$AH$8,MATCH($AA393,$AG$4:$AG$8,0)),"")</f>
        <v>100000000</v>
      </c>
      <c r="P393" s="10">
        <f t="shared" si="417"/>
        <v>95984952.86</v>
      </c>
      <c r="Q393" s="10">
        <f t="shared" si="417"/>
        <v>154381459.5</v>
      </c>
      <c r="R393" s="10">
        <f t="shared" si="417"/>
        <v>0</v>
      </c>
      <c r="S393" s="10">
        <f t="shared" si="4"/>
        <v>154381459.5</v>
      </c>
      <c r="T393" s="10">
        <f t="shared" si="5"/>
        <v>0.34</v>
      </c>
      <c r="U393" s="8">
        <v>45651.0</v>
      </c>
      <c r="V393" s="7">
        <v>1.0E8</v>
      </c>
      <c r="W393" s="7">
        <v>9.598495286E7</v>
      </c>
      <c r="X393" s="7">
        <v>1.5438145947E8</v>
      </c>
      <c r="Y393" s="7">
        <v>0.0</v>
      </c>
      <c r="Z393" s="7">
        <v>0.34</v>
      </c>
      <c r="AA393" s="6" t="s">
        <v>52</v>
      </c>
      <c r="AB393" s="11" t="str">
        <f t="shared" si="6"/>
        <v>Exclude</v>
      </c>
    </row>
    <row r="394" ht="15.0" customHeight="1">
      <c r="B394" s="6">
        <f t="shared" si="8"/>
        <v>392</v>
      </c>
      <c r="C394" s="1" t="s">
        <v>706</v>
      </c>
      <c r="D394" s="1" t="str">
        <f t="shared" si="2"/>
        <v>VC &amp; Growth</v>
      </c>
      <c r="E394" s="1" t="s">
        <v>270</v>
      </c>
      <c r="F394" s="1" t="s">
        <v>43</v>
      </c>
      <c r="G394" s="1" t="s">
        <v>706</v>
      </c>
      <c r="H394" s="1" t="s">
        <v>37</v>
      </c>
      <c r="I394" s="1" t="s">
        <v>318</v>
      </c>
      <c r="J394" s="1" t="s">
        <v>150</v>
      </c>
      <c r="K394" s="1" t="s">
        <v>274</v>
      </c>
      <c r="L394" s="1" t="s">
        <v>204</v>
      </c>
      <c r="N394" s="6">
        <v>2008.0</v>
      </c>
      <c r="O394" s="10">
        <f t="shared" ref="O394:R394" si="418">IFERROR(V394*INDEX($AH$4:$AH$8,MATCH($AA394,$AG$4:$AG$8,0)),"")</f>
        <v>50000000</v>
      </c>
      <c r="P394" s="10">
        <f t="shared" si="418"/>
        <v>58883113.02</v>
      </c>
      <c r="Q394" s="10">
        <f t="shared" si="418"/>
        <v>81781106.55</v>
      </c>
      <c r="R394" s="10">
        <f t="shared" si="418"/>
        <v>0</v>
      </c>
      <c r="S394" s="10">
        <f t="shared" si="4"/>
        <v>81781106.55</v>
      </c>
      <c r="T394" s="10">
        <f t="shared" si="5"/>
        <v>0.44</v>
      </c>
      <c r="U394" s="8">
        <v>45647.0</v>
      </c>
      <c r="V394" s="7">
        <v>5.0E7</v>
      </c>
      <c r="W394" s="7">
        <v>5.888311302E7</v>
      </c>
      <c r="X394" s="7">
        <v>8.178110655E7</v>
      </c>
      <c r="Y394" s="7">
        <v>0.0</v>
      </c>
      <c r="Z394" s="7">
        <v>0.44</v>
      </c>
      <c r="AA394" s="6" t="s">
        <v>52</v>
      </c>
      <c r="AB394" s="11" t="str">
        <f t="shared" si="6"/>
        <v>Exclude</v>
      </c>
    </row>
    <row r="395" ht="15.0" customHeight="1">
      <c r="B395" s="6">
        <f t="shared" si="8"/>
        <v>393</v>
      </c>
      <c r="C395" s="1" t="s">
        <v>707</v>
      </c>
      <c r="D395" s="1" t="str">
        <f t="shared" si="2"/>
        <v>Private Equity</v>
      </c>
      <c r="E395" s="1" t="s">
        <v>43</v>
      </c>
      <c r="F395" s="1" t="s">
        <v>43</v>
      </c>
      <c r="G395" s="1" t="s">
        <v>707</v>
      </c>
      <c r="H395" s="1" t="s">
        <v>154</v>
      </c>
      <c r="I395" s="1" t="s">
        <v>318</v>
      </c>
      <c r="J395" s="1" t="s">
        <v>164</v>
      </c>
      <c r="K395" s="1" t="s">
        <v>92</v>
      </c>
      <c r="L395" s="1" t="s">
        <v>93</v>
      </c>
      <c r="N395" s="6">
        <v>2008.0</v>
      </c>
      <c r="O395" s="10">
        <f t="shared" ref="O395:R395" si="419">IFERROR(V395*INDEX($AH$4:$AH$8,MATCH($AA395,$AG$4:$AG$8,0)),"")</f>
        <v>150000000</v>
      </c>
      <c r="P395" s="10">
        <f t="shared" si="419"/>
        <v>177793197.3</v>
      </c>
      <c r="Q395" s="10">
        <f t="shared" si="419"/>
        <v>80155639.2</v>
      </c>
      <c r="R395" s="10">
        <f t="shared" si="419"/>
        <v>5473518.45</v>
      </c>
      <c r="S395" s="10">
        <f t="shared" si="4"/>
        <v>85629157.65</v>
      </c>
      <c r="T395" s="10">
        <f t="shared" si="5"/>
        <v>6746546.86</v>
      </c>
      <c r="U395" s="8">
        <v>46112.0</v>
      </c>
      <c r="V395" s="7">
        <v>1.5E8</v>
      </c>
      <c r="W395" s="7">
        <v>1.7779319731E8</v>
      </c>
      <c r="X395" s="7">
        <v>8.01556392E7</v>
      </c>
      <c r="Y395" s="7">
        <v>5473518.45</v>
      </c>
      <c r="Z395" s="7">
        <v>6746546.86</v>
      </c>
      <c r="AA395" s="6" t="s">
        <v>52</v>
      </c>
      <c r="AB395" s="11" t="str">
        <f t="shared" si="6"/>
        <v>Include</v>
      </c>
      <c r="AC395" s="1">
        <f t="shared" ref="AC395:AC397" si="421">S395/P395</f>
        <v>0.4816222383</v>
      </c>
    </row>
    <row r="396" ht="15.0" customHeight="1">
      <c r="B396" s="6">
        <f t="shared" si="8"/>
        <v>394</v>
      </c>
      <c r="C396" s="1" t="s">
        <v>708</v>
      </c>
      <c r="D396" s="1" t="str">
        <f t="shared" si="2"/>
        <v>Private Equity</v>
      </c>
      <c r="E396" s="1" t="s">
        <v>43</v>
      </c>
      <c r="F396" s="1" t="s">
        <v>43</v>
      </c>
      <c r="G396" s="1" t="s">
        <v>708</v>
      </c>
      <c r="H396" s="1" t="s">
        <v>120</v>
      </c>
      <c r="I396" s="1" t="s">
        <v>318</v>
      </c>
      <c r="J396" s="1" t="s">
        <v>121</v>
      </c>
      <c r="K396" s="1" t="s">
        <v>274</v>
      </c>
      <c r="L396" s="1" t="s">
        <v>275</v>
      </c>
      <c r="N396" s="6">
        <v>2007.0</v>
      </c>
      <c r="O396" s="10">
        <f t="shared" ref="O396:R396" si="420">IFERROR(V396*INDEX($AH$4:$AH$8,MATCH($AA396,$AG$4:$AG$8,0)),"")</f>
        <v>173326500</v>
      </c>
      <c r="P396" s="10">
        <f t="shared" si="420"/>
        <v>149842270.2</v>
      </c>
      <c r="Q396" s="10">
        <f t="shared" si="420"/>
        <v>256777333.1</v>
      </c>
      <c r="R396" s="10">
        <f t="shared" si="420"/>
        <v>357324.1349</v>
      </c>
      <c r="S396" s="10">
        <f t="shared" si="4"/>
        <v>257134657.2</v>
      </c>
      <c r="T396" s="10">
        <f t="shared" si="5"/>
        <v>22643872.28</v>
      </c>
      <c r="U396" s="8">
        <v>46112.0</v>
      </c>
      <c r="V396" s="7">
        <v>1.5E8</v>
      </c>
      <c r="W396" s="7">
        <v>1.296763076312E8</v>
      </c>
      <c r="X396" s="7">
        <v>2.222199142E8</v>
      </c>
      <c r="Y396" s="7">
        <v>309235.0</v>
      </c>
      <c r="Z396" s="7">
        <v>1.95964312588E7</v>
      </c>
      <c r="AA396" s="6" t="s">
        <v>45</v>
      </c>
      <c r="AB396" s="11" t="str">
        <f t="shared" si="6"/>
        <v>Include</v>
      </c>
      <c r="AC396" s="1">
        <f t="shared" si="421"/>
        <v>1.716035514</v>
      </c>
    </row>
    <row r="397" ht="15.0" customHeight="1">
      <c r="B397" s="6">
        <f t="shared" si="8"/>
        <v>395</v>
      </c>
      <c r="C397" s="1" t="s">
        <v>709</v>
      </c>
      <c r="D397" s="1" t="str">
        <f t="shared" si="2"/>
        <v>Private Equity</v>
      </c>
      <c r="E397" s="1" t="s">
        <v>43</v>
      </c>
      <c r="F397" s="1" t="s">
        <v>43</v>
      </c>
      <c r="G397" s="1" t="s">
        <v>709</v>
      </c>
      <c r="H397" s="1" t="s">
        <v>693</v>
      </c>
      <c r="I397" s="1" t="s">
        <v>318</v>
      </c>
      <c r="J397" s="1" t="s">
        <v>121</v>
      </c>
      <c r="K397" s="1" t="s">
        <v>122</v>
      </c>
      <c r="L397" s="1" t="s">
        <v>180</v>
      </c>
      <c r="N397" s="6">
        <v>2008.0</v>
      </c>
      <c r="O397" s="10">
        <f t="shared" ref="O397:R397" si="422">IFERROR(V397*INDEX($AH$4:$AH$8,MATCH($AA397,$AG$4:$AG$8,0)),"")</f>
        <v>346653000</v>
      </c>
      <c r="P397" s="10">
        <f t="shared" si="422"/>
        <v>371871245.1</v>
      </c>
      <c r="Q397" s="10">
        <f t="shared" si="422"/>
        <v>845527138.8</v>
      </c>
      <c r="R397" s="10">
        <f t="shared" si="422"/>
        <v>10195640.17</v>
      </c>
      <c r="S397" s="10">
        <f t="shared" si="4"/>
        <v>855722779</v>
      </c>
      <c r="T397" s="10">
        <f t="shared" si="5"/>
        <v>4938659.125</v>
      </c>
      <c r="U397" s="8">
        <v>46022.0</v>
      </c>
      <c r="V397" s="7">
        <v>3.0E8</v>
      </c>
      <c r="W397" s="7">
        <v>3.2182434174E8</v>
      </c>
      <c r="X397" s="7">
        <v>7.3173502506E8</v>
      </c>
      <c r="Y397" s="7">
        <v>8823498.0</v>
      </c>
      <c r="Z397" s="7">
        <v>4274008.1223</v>
      </c>
      <c r="AA397" s="6" t="s">
        <v>45</v>
      </c>
      <c r="AB397" s="11" t="str">
        <f t="shared" si="6"/>
        <v>Include</v>
      </c>
      <c r="AC397" s="1">
        <f t="shared" si="421"/>
        <v>2.301126506</v>
      </c>
    </row>
    <row r="398" ht="15.0" customHeight="1">
      <c r="B398" s="6">
        <f t="shared" si="8"/>
        <v>396</v>
      </c>
      <c r="C398" s="1" t="s">
        <v>710</v>
      </c>
      <c r="D398" s="1" t="str">
        <f t="shared" si="2"/>
        <v>Private Equity</v>
      </c>
      <c r="E398" s="1" t="s">
        <v>43</v>
      </c>
      <c r="F398" s="1" t="s">
        <v>43</v>
      </c>
      <c r="G398" s="1" t="s">
        <v>710</v>
      </c>
      <c r="H398" s="1" t="s">
        <v>627</v>
      </c>
      <c r="I398" s="1" t="s">
        <v>318</v>
      </c>
      <c r="J398" s="1" t="s">
        <v>121</v>
      </c>
      <c r="K398" s="1" t="s">
        <v>122</v>
      </c>
      <c r="L398" s="1" t="s">
        <v>123</v>
      </c>
      <c r="N398" s="6">
        <v>2008.0</v>
      </c>
      <c r="O398" s="10">
        <f t="shared" ref="O398:R398" si="423">IFERROR(V398*INDEX($AH$4:$AH$8,MATCH($AA398,$AG$4:$AG$8,0)),"")</f>
        <v>80954545</v>
      </c>
      <c r="P398" s="10">
        <f t="shared" si="423"/>
        <v>71098524.37</v>
      </c>
      <c r="Q398" s="10">
        <f t="shared" si="423"/>
        <v>156308302.5</v>
      </c>
      <c r="R398" s="10">
        <f t="shared" si="423"/>
        <v>0</v>
      </c>
      <c r="S398" s="10">
        <f t="shared" si="4"/>
        <v>156308302.5</v>
      </c>
      <c r="T398" s="10">
        <f t="shared" si="5"/>
        <v>0</v>
      </c>
      <c r="U398" s="8">
        <v>44439.0</v>
      </c>
      <c r="V398" s="7">
        <v>8.0954545E7</v>
      </c>
      <c r="W398" s="7">
        <v>7.109852437E7</v>
      </c>
      <c r="X398" s="7">
        <v>1.563083025E8</v>
      </c>
      <c r="Y398" s="7">
        <v>0.0</v>
      </c>
      <c r="Z398" s="7">
        <v>0.0</v>
      </c>
      <c r="AA398" s="6" t="s">
        <v>52</v>
      </c>
      <c r="AB398" s="11" t="str">
        <f t="shared" si="6"/>
        <v>Exclude</v>
      </c>
    </row>
    <row r="399" ht="15.0" customHeight="1">
      <c r="B399" s="6">
        <f t="shared" si="8"/>
        <v>397</v>
      </c>
      <c r="C399" s="1" t="s">
        <v>711</v>
      </c>
      <c r="D399" s="1" t="str">
        <f t="shared" si="2"/>
        <v>Private Equity</v>
      </c>
      <c r="E399" s="1" t="s">
        <v>43</v>
      </c>
      <c r="F399" s="1" t="s">
        <v>43</v>
      </c>
      <c r="G399" s="1" t="s">
        <v>711</v>
      </c>
      <c r="H399" s="1" t="s">
        <v>712</v>
      </c>
      <c r="I399" s="1" t="s">
        <v>318</v>
      </c>
      <c r="J399" s="1" t="s">
        <v>121</v>
      </c>
      <c r="K399" s="1" t="s">
        <v>122</v>
      </c>
      <c r="L399" s="1" t="s">
        <v>127</v>
      </c>
      <c r="N399" s="6">
        <v>2007.0</v>
      </c>
      <c r="O399" s="10">
        <f t="shared" ref="O399:R399" si="424">IFERROR(V399*INDEX($AH$4:$AH$8,MATCH($AA399,$AG$4:$AG$8,0)),"")</f>
        <v>173326500</v>
      </c>
      <c r="P399" s="10">
        <f t="shared" si="424"/>
        <v>158724673</v>
      </c>
      <c r="Q399" s="10">
        <f t="shared" si="424"/>
        <v>257547448.2</v>
      </c>
      <c r="R399" s="10">
        <f t="shared" si="424"/>
        <v>0</v>
      </c>
      <c r="S399" s="10">
        <f t="shared" si="4"/>
        <v>257547448.2</v>
      </c>
      <c r="T399" s="10">
        <f t="shared" si="5"/>
        <v>0.1039959</v>
      </c>
      <c r="U399" s="8">
        <v>42004.0</v>
      </c>
      <c r="V399" s="7">
        <v>1.5E8</v>
      </c>
      <c r="W399" s="7">
        <v>1.3736330539E8</v>
      </c>
      <c r="X399" s="7">
        <v>2.228863862474E8</v>
      </c>
      <c r="Y399" s="7">
        <v>0.0</v>
      </c>
      <c r="Z399" s="7">
        <v>0.09</v>
      </c>
      <c r="AA399" s="6" t="s">
        <v>45</v>
      </c>
      <c r="AB399" s="11" t="str">
        <f t="shared" si="6"/>
        <v>Exclude</v>
      </c>
    </row>
    <row r="400" ht="15.0" customHeight="1">
      <c r="B400" s="6">
        <f t="shared" si="8"/>
        <v>398</v>
      </c>
      <c r="C400" s="1" t="s">
        <v>713</v>
      </c>
      <c r="D400" s="1" t="str">
        <f t="shared" si="2"/>
        <v>Private Equity</v>
      </c>
      <c r="E400" s="1" t="s">
        <v>43</v>
      </c>
      <c r="F400" s="1" t="s">
        <v>43</v>
      </c>
      <c r="G400" s="1" t="s">
        <v>713</v>
      </c>
      <c r="H400" s="1" t="s">
        <v>413</v>
      </c>
      <c r="I400" s="1" t="s">
        <v>318</v>
      </c>
      <c r="J400" s="1" t="s">
        <v>121</v>
      </c>
      <c r="K400" s="1" t="s">
        <v>274</v>
      </c>
      <c r="L400" s="1" t="s">
        <v>275</v>
      </c>
      <c r="N400" s="6">
        <v>2008.0</v>
      </c>
      <c r="O400" s="10">
        <f t="shared" ref="O400:R400" si="425">IFERROR(V400*INDEX($AH$4:$AH$8,MATCH($AA400,$AG$4:$AG$8,0)),"")</f>
        <v>150000000</v>
      </c>
      <c r="P400" s="10">
        <f t="shared" si="425"/>
        <v>145644798.5</v>
      </c>
      <c r="Q400" s="10">
        <f t="shared" si="425"/>
        <v>192536397.9</v>
      </c>
      <c r="R400" s="10">
        <f t="shared" si="425"/>
        <v>415733.23</v>
      </c>
      <c r="S400" s="10">
        <f t="shared" si="4"/>
        <v>192952131.1</v>
      </c>
      <c r="T400" s="10">
        <f t="shared" si="5"/>
        <v>1499999.99</v>
      </c>
      <c r="U400" s="8">
        <v>46022.0</v>
      </c>
      <c r="V400" s="7">
        <v>1.5E8</v>
      </c>
      <c r="W400" s="7">
        <v>1.4564479848E8</v>
      </c>
      <c r="X400" s="7">
        <v>1.925363979E8</v>
      </c>
      <c r="Y400" s="7">
        <v>415733.23</v>
      </c>
      <c r="Z400" s="7">
        <v>1499999.99</v>
      </c>
      <c r="AA400" s="6" t="s">
        <v>52</v>
      </c>
      <c r="AB400" s="11" t="str">
        <f t="shared" si="6"/>
        <v>Include</v>
      </c>
      <c r="AC400" s="1">
        <f>S400/P400</f>
        <v>1.32481306</v>
      </c>
    </row>
    <row r="401" ht="15.0" customHeight="1">
      <c r="B401" s="6">
        <f t="shared" si="8"/>
        <v>399</v>
      </c>
      <c r="C401" s="1" t="s">
        <v>714</v>
      </c>
      <c r="D401" s="1" t="str">
        <f t="shared" si="2"/>
        <v>Private Equity</v>
      </c>
      <c r="E401" s="1" t="s">
        <v>43</v>
      </c>
      <c r="F401" s="1" t="s">
        <v>43</v>
      </c>
      <c r="G401" s="1" t="s">
        <v>714</v>
      </c>
      <c r="H401" s="1" t="s">
        <v>182</v>
      </c>
      <c r="I401" s="1" t="s">
        <v>318</v>
      </c>
      <c r="J401" s="1" t="s">
        <v>121</v>
      </c>
      <c r="K401" s="1" t="s">
        <v>122</v>
      </c>
      <c r="L401" s="1" t="s">
        <v>127</v>
      </c>
      <c r="N401" s="6">
        <v>2007.0</v>
      </c>
      <c r="O401" s="10">
        <f t="shared" ref="O401:R401" si="426">IFERROR(V401*INDEX($AH$4:$AH$8,MATCH($AA401,$AG$4:$AG$8,0)),"")</f>
        <v>200000000</v>
      </c>
      <c r="P401" s="10">
        <f t="shared" si="426"/>
        <v>250930017</v>
      </c>
      <c r="Q401" s="10">
        <f t="shared" si="426"/>
        <v>491209635.9</v>
      </c>
      <c r="R401" s="10">
        <f t="shared" si="426"/>
        <v>0</v>
      </c>
      <c r="S401" s="10">
        <f t="shared" si="4"/>
        <v>491209635.9</v>
      </c>
      <c r="T401" s="10">
        <f t="shared" si="5"/>
        <v>0</v>
      </c>
      <c r="U401" s="8">
        <v>45565.0</v>
      </c>
      <c r="V401" s="7">
        <v>2.0E8</v>
      </c>
      <c r="W401" s="7">
        <v>2.50930017E8</v>
      </c>
      <c r="X401" s="7">
        <v>4.9120963592E8</v>
      </c>
      <c r="Y401" s="7">
        <v>0.0</v>
      </c>
      <c r="Z401" s="7">
        <v>0.0</v>
      </c>
      <c r="AA401" s="6" t="s">
        <v>52</v>
      </c>
      <c r="AB401" s="11" t="str">
        <f t="shared" si="6"/>
        <v>Exclude</v>
      </c>
    </row>
    <row r="402" ht="15.0" customHeight="1">
      <c r="B402" s="6">
        <f t="shared" si="8"/>
        <v>400</v>
      </c>
      <c r="C402" s="1" t="s">
        <v>715</v>
      </c>
      <c r="D402" s="1" t="str">
        <f t="shared" si="2"/>
        <v>Private Equity</v>
      </c>
      <c r="E402" s="1" t="s">
        <v>43</v>
      </c>
      <c r="F402" s="1" t="s">
        <v>43</v>
      </c>
      <c r="G402" s="1" t="s">
        <v>715</v>
      </c>
      <c r="H402" s="1" t="s">
        <v>125</v>
      </c>
      <c r="I402" s="1" t="s">
        <v>318</v>
      </c>
      <c r="J402" s="1" t="s">
        <v>121</v>
      </c>
      <c r="K402" s="1" t="s">
        <v>122</v>
      </c>
      <c r="L402" s="1" t="s">
        <v>127</v>
      </c>
      <c r="N402" s="6">
        <v>2008.0</v>
      </c>
      <c r="O402" s="10">
        <f t="shared" ref="O402:R402" si="427">IFERROR(V402*INDEX($AH$4:$AH$8,MATCH($AA402,$AG$4:$AG$8,0)),"")</f>
        <v>346653000</v>
      </c>
      <c r="P402" s="10">
        <f t="shared" si="427"/>
        <v>319818759.8</v>
      </c>
      <c r="Q402" s="10">
        <f t="shared" si="427"/>
        <v>571400318.4</v>
      </c>
      <c r="R402" s="10">
        <f t="shared" si="427"/>
        <v>0</v>
      </c>
      <c r="S402" s="10">
        <f t="shared" si="4"/>
        <v>571400318.4</v>
      </c>
      <c r="T402" s="10">
        <f t="shared" si="5"/>
        <v>0</v>
      </c>
      <c r="U402" s="8">
        <v>45565.0</v>
      </c>
      <c r="V402" s="7">
        <v>3.0E8</v>
      </c>
      <c r="W402" s="7">
        <v>2.7677714582E8</v>
      </c>
      <c r="X402" s="7">
        <v>4.945005395E8</v>
      </c>
      <c r="Y402" s="7">
        <v>0.0</v>
      </c>
      <c r="Z402" s="7">
        <v>0.0</v>
      </c>
      <c r="AA402" s="6" t="s">
        <v>45</v>
      </c>
      <c r="AB402" s="11" t="str">
        <f t="shared" si="6"/>
        <v>Exclude</v>
      </c>
    </row>
    <row r="403" ht="15.0" customHeight="1">
      <c r="B403" s="6">
        <f t="shared" si="8"/>
        <v>401</v>
      </c>
      <c r="C403" s="1" t="s">
        <v>716</v>
      </c>
      <c r="D403" s="1" t="str">
        <f t="shared" si="2"/>
        <v>Private Equity</v>
      </c>
      <c r="E403" s="1" t="s">
        <v>43</v>
      </c>
      <c r="F403" s="1" t="s">
        <v>43</v>
      </c>
      <c r="G403" s="1" t="s">
        <v>716</v>
      </c>
      <c r="H403" s="1" t="s">
        <v>660</v>
      </c>
      <c r="I403" s="1" t="s">
        <v>318</v>
      </c>
      <c r="J403" s="1" t="s">
        <v>164</v>
      </c>
      <c r="K403" s="1" t="s">
        <v>164</v>
      </c>
      <c r="L403" s="1" t="s">
        <v>164</v>
      </c>
      <c r="N403" s="6">
        <v>2008.0</v>
      </c>
      <c r="O403" s="10">
        <f t="shared" ref="O403:R403" si="428">IFERROR(V403*INDEX($AH$4:$AH$8,MATCH($AA403,$AG$4:$AG$8,0)),"")</f>
        <v>250000000</v>
      </c>
      <c r="P403" s="10">
        <f t="shared" si="428"/>
        <v>275206947</v>
      </c>
      <c r="Q403" s="10">
        <f t="shared" si="428"/>
        <v>144646432</v>
      </c>
      <c r="R403" s="10">
        <f t="shared" si="428"/>
        <v>0</v>
      </c>
      <c r="S403" s="10">
        <f t="shared" si="4"/>
        <v>144646432</v>
      </c>
      <c r="T403" s="10">
        <f t="shared" si="5"/>
        <v>0</v>
      </c>
      <c r="U403" s="8">
        <v>45987.0</v>
      </c>
      <c r="V403" s="7">
        <v>2.5E8</v>
      </c>
      <c r="W403" s="7">
        <v>2.75206947E8</v>
      </c>
      <c r="X403" s="7">
        <v>1.44646432E8</v>
      </c>
      <c r="Y403" s="7">
        <v>0.0</v>
      </c>
      <c r="Z403" s="7">
        <v>0.0</v>
      </c>
      <c r="AA403" s="6" t="s">
        <v>52</v>
      </c>
      <c r="AB403" s="11" t="str">
        <f t="shared" si="6"/>
        <v>Exclude</v>
      </c>
    </row>
    <row r="404" ht="15.0" customHeight="1">
      <c r="B404" s="6">
        <f t="shared" si="8"/>
        <v>402</v>
      </c>
      <c r="C404" s="1" t="s">
        <v>717</v>
      </c>
      <c r="D404" s="1" t="str">
        <f t="shared" si="2"/>
        <v>VC &amp; Growth</v>
      </c>
      <c r="E404" s="1" t="s">
        <v>270</v>
      </c>
      <c r="F404" s="1" t="s">
        <v>43</v>
      </c>
      <c r="G404" s="1" t="s">
        <v>717</v>
      </c>
      <c r="H404" s="1" t="s">
        <v>606</v>
      </c>
      <c r="I404" s="1" t="s">
        <v>318</v>
      </c>
      <c r="J404" s="1" t="s">
        <v>150</v>
      </c>
      <c r="K404" s="1" t="s">
        <v>150</v>
      </c>
      <c r="L404" s="1" t="s">
        <v>470</v>
      </c>
      <c r="N404" s="6">
        <v>2008.0</v>
      </c>
      <c r="O404" s="10">
        <f t="shared" ref="O404:R404" si="429">IFERROR(V404*INDEX($AH$4:$AH$8,MATCH($AA404,$AG$4:$AG$8,0)),"")</f>
        <v>50000000</v>
      </c>
      <c r="P404" s="10">
        <f t="shared" si="429"/>
        <v>56434469</v>
      </c>
      <c r="Q404" s="10">
        <f t="shared" si="429"/>
        <v>134175445</v>
      </c>
      <c r="R404" s="10">
        <f t="shared" si="429"/>
        <v>254918</v>
      </c>
      <c r="S404" s="10">
        <f t="shared" si="4"/>
        <v>134430363</v>
      </c>
      <c r="T404" s="10">
        <f t="shared" si="5"/>
        <v>412020.02</v>
      </c>
      <c r="U404" s="8">
        <v>46112.0</v>
      </c>
      <c r="V404" s="7">
        <v>5.0E7</v>
      </c>
      <c r="W404" s="7">
        <v>5.6434469E7</v>
      </c>
      <c r="X404" s="7">
        <v>1.3417544504E8</v>
      </c>
      <c r="Y404" s="7">
        <v>254918.0</v>
      </c>
      <c r="Z404" s="7">
        <v>412020.02</v>
      </c>
      <c r="AA404" s="6" t="s">
        <v>52</v>
      </c>
      <c r="AB404" s="11" t="str">
        <f t="shared" si="6"/>
        <v>Include</v>
      </c>
      <c r="AC404" s="1">
        <f>S404/P404</f>
        <v>2.382061273</v>
      </c>
    </row>
    <row r="405" ht="15.0" customHeight="1">
      <c r="B405" s="6">
        <f t="shared" si="8"/>
        <v>403</v>
      </c>
      <c r="C405" s="1" t="s">
        <v>718</v>
      </c>
      <c r="D405" s="1" t="str">
        <f t="shared" si="2"/>
        <v>Private Equity</v>
      </c>
      <c r="E405" s="1" t="s">
        <v>43</v>
      </c>
      <c r="F405" s="1" t="s">
        <v>43</v>
      </c>
      <c r="G405" s="1" t="s">
        <v>718</v>
      </c>
      <c r="H405" s="1" t="s">
        <v>185</v>
      </c>
      <c r="I405" s="1" t="s">
        <v>318</v>
      </c>
      <c r="J405" s="1" t="s">
        <v>121</v>
      </c>
      <c r="K405" s="1" t="s">
        <v>122</v>
      </c>
      <c r="L405" s="1" t="s">
        <v>127</v>
      </c>
      <c r="N405" s="6">
        <v>2010.0</v>
      </c>
      <c r="O405" s="10">
        <f t="shared" ref="O405:R405" si="430">IFERROR(V405*INDEX($AH$4:$AH$8,MATCH($AA405,$AG$4:$AG$8,0)),"")</f>
        <v>200000000</v>
      </c>
      <c r="P405" s="10">
        <f t="shared" si="430"/>
        <v>268873424.3</v>
      </c>
      <c r="Q405" s="10">
        <f t="shared" si="430"/>
        <v>358505425.2</v>
      </c>
      <c r="R405" s="10">
        <f t="shared" si="430"/>
        <v>0</v>
      </c>
      <c r="S405" s="10">
        <f t="shared" si="4"/>
        <v>358505425.2</v>
      </c>
      <c r="T405" s="10">
        <f t="shared" si="5"/>
        <v>0.02</v>
      </c>
      <c r="U405" s="8">
        <v>44561.0</v>
      </c>
      <c r="V405" s="7">
        <v>2.0E8</v>
      </c>
      <c r="W405" s="7">
        <v>2.6887342427E8</v>
      </c>
      <c r="X405" s="7">
        <v>3.5850542515E8</v>
      </c>
      <c r="Y405" s="7">
        <v>0.0</v>
      </c>
      <c r="Z405" s="7">
        <v>0.02</v>
      </c>
      <c r="AA405" s="6" t="s">
        <v>52</v>
      </c>
      <c r="AB405" s="11" t="str">
        <f t="shared" si="6"/>
        <v>Exclude</v>
      </c>
    </row>
    <row r="406" ht="15.0" customHeight="1">
      <c r="B406" s="6">
        <f t="shared" si="8"/>
        <v>404</v>
      </c>
      <c r="C406" s="1" t="s">
        <v>719</v>
      </c>
      <c r="D406" s="1" t="str">
        <f t="shared" si="2"/>
        <v>Private Equity</v>
      </c>
      <c r="E406" s="1" t="s">
        <v>43</v>
      </c>
      <c r="F406" s="1" t="s">
        <v>43</v>
      </c>
      <c r="G406" s="1" t="s">
        <v>719</v>
      </c>
      <c r="H406" s="1" t="s">
        <v>383</v>
      </c>
      <c r="I406" s="1" t="s">
        <v>318</v>
      </c>
      <c r="J406" s="1" t="s">
        <v>164</v>
      </c>
      <c r="K406" s="1" t="s">
        <v>92</v>
      </c>
      <c r="L406" s="1" t="s">
        <v>573</v>
      </c>
      <c r="N406" s="6">
        <v>2010.0</v>
      </c>
      <c r="O406" s="10">
        <f t="shared" ref="O406:R406" si="431">IFERROR(V406*INDEX($AH$4:$AH$8,MATCH($AA406,$AG$4:$AG$8,0)),"")</f>
        <v>75000000</v>
      </c>
      <c r="P406" s="10">
        <f t="shared" si="431"/>
        <v>76892726</v>
      </c>
      <c r="Q406" s="10">
        <f t="shared" si="431"/>
        <v>77694857</v>
      </c>
      <c r="R406" s="10">
        <f t="shared" si="431"/>
        <v>2920522</v>
      </c>
      <c r="S406" s="10">
        <f t="shared" si="4"/>
        <v>80615379</v>
      </c>
      <c r="T406" s="10">
        <f t="shared" si="5"/>
        <v>0</v>
      </c>
      <c r="U406" s="8">
        <v>46112.0</v>
      </c>
      <c r="V406" s="7">
        <v>7.5E7</v>
      </c>
      <c r="W406" s="7">
        <v>7.6892726E7</v>
      </c>
      <c r="X406" s="7">
        <v>7.7694857E7</v>
      </c>
      <c r="Y406" s="7">
        <v>2920522.0</v>
      </c>
      <c r="Z406" s="7">
        <v>0.0</v>
      </c>
      <c r="AA406" s="6" t="s">
        <v>52</v>
      </c>
      <c r="AB406" s="11" t="str">
        <f t="shared" si="6"/>
        <v>Include</v>
      </c>
      <c r="AC406" s="1">
        <f>S406/P406</f>
        <v>1.048413591</v>
      </c>
    </row>
    <row r="407" ht="15.0" customHeight="1">
      <c r="B407" s="6">
        <f t="shared" si="8"/>
        <v>405</v>
      </c>
      <c r="C407" s="1" t="s">
        <v>720</v>
      </c>
      <c r="D407" s="1" t="str">
        <f t="shared" si="2"/>
        <v>Private Equity</v>
      </c>
      <c r="E407" s="1" t="s">
        <v>43</v>
      </c>
      <c r="F407" s="1" t="s">
        <v>43</v>
      </c>
      <c r="G407" s="1" t="s">
        <v>720</v>
      </c>
      <c r="H407" s="1" t="s">
        <v>37</v>
      </c>
      <c r="I407" s="1" t="s">
        <v>318</v>
      </c>
      <c r="J407" s="1" t="s">
        <v>121</v>
      </c>
      <c r="K407" s="1" t="s">
        <v>274</v>
      </c>
      <c r="L407" s="1" t="s">
        <v>173</v>
      </c>
      <c r="N407" s="6">
        <v>2011.0</v>
      </c>
      <c r="O407" s="10">
        <f t="shared" ref="O407:R407" si="432">IFERROR(V407*INDEX($AH$4:$AH$8,MATCH($AA407,$AG$4:$AG$8,0)),"")</f>
        <v>150000000</v>
      </c>
      <c r="P407" s="10">
        <f t="shared" si="432"/>
        <v>127041887.3</v>
      </c>
      <c r="Q407" s="10">
        <f t="shared" si="432"/>
        <v>208833544.6</v>
      </c>
      <c r="R407" s="10">
        <f t="shared" si="432"/>
        <v>0</v>
      </c>
      <c r="S407" s="10">
        <f t="shared" si="4"/>
        <v>208833544.6</v>
      </c>
      <c r="T407" s="10">
        <f t="shared" si="5"/>
        <v>1.36</v>
      </c>
      <c r="U407" s="8">
        <v>45653.0</v>
      </c>
      <c r="V407" s="7">
        <v>1.5E8</v>
      </c>
      <c r="W407" s="7">
        <v>1.2704188731E8</v>
      </c>
      <c r="X407" s="7">
        <v>2.0883354456E8</v>
      </c>
      <c r="Y407" s="7">
        <v>0.0</v>
      </c>
      <c r="Z407" s="7">
        <v>1.36</v>
      </c>
      <c r="AA407" s="6" t="s">
        <v>52</v>
      </c>
      <c r="AB407" s="11" t="str">
        <f t="shared" si="6"/>
        <v>Exclude</v>
      </c>
    </row>
    <row r="408" ht="15.0" customHeight="1">
      <c r="B408" s="6">
        <f t="shared" si="8"/>
        <v>406</v>
      </c>
      <c r="C408" s="1" t="s">
        <v>721</v>
      </c>
      <c r="D408" s="1" t="str">
        <f t="shared" si="2"/>
        <v>VC &amp; Growth</v>
      </c>
      <c r="E408" s="1" t="s">
        <v>270</v>
      </c>
      <c r="F408" s="1" t="s">
        <v>43</v>
      </c>
      <c r="G408" s="1" t="s">
        <v>721</v>
      </c>
      <c r="H408" s="1" t="s">
        <v>722</v>
      </c>
      <c r="I408" s="1" t="s">
        <v>318</v>
      </c>
      <c r="J408" s="1" t="s">
        <v>126</v>
      </c>
      <c r="K408" s="1" t="s">
        <v>126</v>
      </c>
      <c r="L408" s="1" t="s">
        <v>126</v>
      </c>
      <c r="N408" s="6">
        <v>2010.0</v>
      </c>
      <c r="O408" s="10">
        <f t="shared" ref="O408:R408" si="433">IFERROR(V408*INDEX($AH$4:$AH$8,MATCH($AA408,$AG$4:$AG$8,0)),"")</f>
        <v>40000000</v>
      </c>
      <c r="P408" s="10">
        <f t="shared" si="433"/>
        <v>36363231</v>
      </c>
      <c r="Q408" s="10">
        <f t="shared" si="433"/>
        <v>56684877</v>
      </c>
      <c r="R408" s="10">
        <f t="shared" si="433"/>
        <v>7788936</v>
      </c>
      <c r="S408" s="10">
        <f t="shared" si="4"/>
        <v>64473813</v>
      </c>
      <c r="T408" s="10">
        <f t="shared" si="5"/>
        <v>6333314</v>
      </c>
      <c r="U408" s="8">
        <v>46112.0</v>
      </c>
      <c r="V408" s="7">
        <v>4.0E7</v>
      </c>
      <c r="W408" s="7">
        <v>3.6363231E7</v>
      </c>
      <c r="X408" s="7">
        <v>5.6684877E7</v>
      </c>
      <c r="Y408" s="7">
        <v>7788936.0</v>
      </c>
      <c r="Z408" s="7">
        <v>6333314.0</v>
      </c>
      <c r="AA408" s="6" t="s">
        <v>52</v>
      </c>
      <c r="AB408" s="11" t="str">
        <f t="shared" si="6"/>
        <v>Include</v>
      </c>
      <c r="AC408" s="1">
        <f t="shared" ref="AC408:AC409" si="435">S408/P408</f>
        <v>1.773049623</v>
      </c>
    </row>
    <row r="409" ht="15.0" customHeight="1">
      <c r="B409" s="6">
        <f t="shared" si="8"/>
        <v>407</v>
      </c>
      <c r="C409" s="1" t="s">
        <v>723</v>
      </c>
      <c r="D409" s="1" t="str">
        <f t="shared" si="2"/>
        <v>Private Equity</v>
      </c>
      <c r="E409" s="1" t="s">
        <v>43</v>
      </c>
      <c r="F409" s="1" t="s">
        <v>43</v>
      </c>
      <c r="G409" s="1" t="s">
        <v>723</v>
      </c>
      <c r="H409" s="1" t="s">
        <v>677</v>
      </c>
      <c r="I409" s="1" t="s">
        <v>318</v>
      </c>
      <c r="J409" s="1" t="s">
        <v>121</v>
      </c>
      <c r="K409" s="1" t="s">
        <v>122</v>
      </c>
      <c r="L409" s="1" t="s">
        <v>127</v>
      </c>
      <c r="N409" s="6">
        <v>2011.0</v>
      </c>
      <c r="O409" s="10">
        <f t="shared" ref="O409:R409" si="434">IFERROR(V409*INDEX($AH$4:$AH$8,MATCH($AA409,$AG$4:$AG$8,0)),"")</f>
        <v>100000000</v>
      </c>
      <c r="P409" s="10">
        <f t="shared" si="434"/>
        <v>112943370</v>
      </c>
      <c r="Q409" s="10">
        <f t="shared" si="434"/>
        <v>104227169</v>
      </c>
      <c r="R409" s="10">
        <f t="shared" si="434"/>
        <v>2491012</v>
      </c>
      <c r="S409" s="10">
        <f t="shared" si="4"/>
        <v>106718181</v>
      </c>
      <c r="T409" s="10">
        <f t="shared" si="5"/>
        <v>9856390</v>
      </c>
      <c r="U409" s="8">
        <v>46112.0</v>
      </c>
      <c r="V409" s="7">
        <v>1.0E8</v>
      </c>
      <c r="W409" s="7">
        <v>1.1294337E8</v>
      </c>
      <c r="X409" s="7">
        <v>1.04227169E8</v>
      </c>
      <c r="Y409" s="7">
        <v>2491012.0</v>
      </c>
      <c r="Z409" s="7">
        <v>9856390.0</v>
      </c>
      <c r="AA409" s="6" t="s">
        <v>52</v>
      </c>
      <c r="AB409" s="11" t="str">
        <f t="shared" si="6"/>
        <v>Include</v>
      </c>
      <c r="AC409" s="1">
        <f t="shared" si="435"/>
        <v>0.9448822096</v>
      </c>
    </row>
    <row r="410" ht="15.0" customHeight="1">
      <c r="B410" s="6">
        <f t="shared" si="8"/>
        <v>408</v>
      </c>
      <c r="C410" s="1" t="s">
        <v>724</v>
      </c>
      <c r="D410" s="1" t="str">
        <f t="shared" si="2"/>
        <v>VC &amp; Growth</v>
      </c>
      <c r="E410" s="1" t="s">
        <v>270</v>
      </c>
      <c r="F410" s="1" t="s">
        <v>43</v>
      </c>
      <c r="G410" s="1" t="s">
        <v>725</v>
      </c>
      <c r="H410" s="1" t="s">
        <v>156</v>
      </c>
      <c r="I410" s="1" t="s">
        <v>318</v>
      </c>
      <c r="J410" s="1" t="s">
        <v>150</v>
      </c>
      <c r="K410" s="1" t="s">
        <v>150</v>
      </c>
      <c r="L410" s="1" t="s">
        <v>151</v>
      </c>
      <c r="N410" s="6">
        <v>1999.0</v>
      </c>
      <c r="O410" s="10">
        <f t="shared" ref="O410:R410" si="436">IFERROR(V410*INDEX($AH$4:$AH$8,MATCH($AA410,$AG$4:$AG$8,0)),"")</f>
        <v>67500000</v>
      </c>
      <c r="P410" s="10">
        <f t="shared" si="436"/>
        <v>65659367</v>
      </c>
      <c r="Q410" s="10">
        <f t="shared" si="436"/>
        <v>114176376</v>
      </c>
      <c r="R410" s="10">
        <f t="shared" si="436"/>
        <v>0</v>
      </c>
      <c r="S410" s="10">
        <f t="shared" si="4"/>
        <v>114176376</v>
      </c>
      <c r="T410" s="10">
        <f t="shared" si="5"/>
        <v>0</v>
      </c>
      <c r="U410" s="8">
        <v>44334.0</v>
      </c>
      <c r="V410" s="7">
        <v>6.75E7</v>
      </c>
      <c r="W410" s="7">
        <v>6.5659367E7</v>
      </c>
      <c r="X410" s="7">
        <v>1.14176376E8</v>
      </c>
      <c r="Y410" s="7">
        <v>0.0</v>
      </c>
      <c r="Z410" s="7">
        <v>0.0</v>
      </c>
      <c r="AA410" s="6" t="s">
        <v>52</v>
      </c>
      <c r="AB410" s="11" t="str">
        <f t="shared" si="6"/>
        <v>Exclude</v>
      </c>
    </row>
    <row r="411" ht="15.0" customHeight="1">
      <c r="B411" s="6">
        <f t="shared" si="8"/>
        <v>409</v>
      </c>
      <c r="C411" s="1" t="s">
        <v>726</v>
      </c>
      <c r="D411" s="1" t="str">
        <f t="shared" si="2"/>
        <v>Private Equity</v>
      </c>
      <c r="E411" s="1" t="s">
        <v>43</v>
      </c>
      <c r="F411" s="1" t="s">
        <v>43</v>
      </c>
      <c r="G411" s="1" t="s">
        <v>726</v>
      </c>
      <c r="H411" s="1" t="s">
        <v>190</v>
      </c>
      <c r="I411" s="1" t="s">
        <v>318</v>
      </c>
      <c r="J411" s="1" t="s">
        <v>121</v>
      </c>
      <c r="K411" s="1" t="s">
        <v>122</v>
      </c>
      <c r="L411" s="1" t="s">
        <v>127</v>
      </c>
      <c r="N411" s="6">
        <v>2011.0</v>
      </c>
      <c r="O411" s="10">
        <f t="shared" ref="O411:R411" si="437">IFERROR(V411*INDEX($AH$4:$AH$8,MATCH($AA411,$AG$4:$AG$8,0)),"")</f>
        <v>65000000</v>
      </c>
      <c r="P411" s="10">
        <f t="shared" si="437"/>
        <v>69138360.73</v>
      </c>
      <c r="Q411" s="10">
        <f t="shared" si="437"/>
        <v>189880529.7</v>
      </c>
      <c r="R411" s="10">
        <f t="shared" si="437"/>
        <v>0</v>
      </c>
      <c r="S411" s="10">
        <f t="shared" si="4"/>
        <v>189880529.7</v>
      </c>
      <c r="T411" s="10">
        <f t="shared" si="5"/>
        <v>0</v>
      </c>
      <c r="U411" s="8">
        <v>46126.0</v>
      </c>
      <c r="V411" s="7">
        <v>6.5E7</v>
      </c>
      <c r="W411" s="7">
        <v>6.913836073E7</v>
      </c>
      <c r="X411" s="7">
        <v>1.8988052971E8</v>
      </c>
      <c r="Y411" s="7">
        <v>0.0</v>
      </c>
      <c r="Z411" s="7">
        <v>0.0</v>
      </c>
      <c r="AA411" s="6" t="s">
        <v>52</v>
      </c>
      <c r="AB411" s="11" t="str">
        <f t="shared" si="6"/>
        <v>Exclude</v>
      </c>
    </row>
    <row r="412" ht="15.0" customHeight="1">
      <c r="B412" s="6">
        <f t="shared" si="8"/>
        <v>410</v>
      </c>
      <c r="C412" s="1" t="s">
        <v>727</v>
      </c>
      <c r="D412" s="1" t="str">
        <f t="shared" si="2"/>
        <v>Private Equity</v>
      </c>
      <c r="E412" s="1" t="s">
        <v>43</v>
      </c>
      <c r="F412" s="1" t="s">
        <v>43</v>
      </c>
      <c r="G412" s="1" t="s">
        <v>727</v>
      </c>
      <c r="H412" s="1" t="s">
        <v>143</v>
      </c>
      <c r="I412" s="1" t="s">
        <v>318</v>
      </c>
      <c r="J412" s="1" t="s">
        <v>121</v>
      </c>
      <c r="K412" s="1" t="s">
        <v>122</v>
      </c>
      <c r="L412" s="1" t="s">
        <v>123</v>
      </c>
      <c r="N412" s="6">
        <v>2011.0</v>
      </c>
      <c r="O412" s="10">
        <f t="shared" ref="O412:R412" si="438">IFERROR(V412*INDEX($AH$4:$AH$8,MATCH($AA412,$AG$4:$AG$8,0)),"")</f>
        <v>70000000</v>
      </c>
      <c r="P412" s="10">
        <f t="shared" si="438"/>
        <v>82405589</v>
      </c>
      <c r="Q412" s="10">
        <f t="shared" si="438"/>
        <v>104177745</v>
      </c>
      <c r="R412" s="10">
        <f t="shared" si="438"/>
        <v>12395588</v>
      </c>
      <c r="S412" s="10">
        <f t="shared" si="4"/>
        <v>116573333</v>
      </c>
      <c r="T412" s="10">
        <f t="shared" si="5"/>
        <v>1005144</v>
      </c>
      <c r="U412" s="8">
        <v>46112.0</v>
      </c>
      <c r="V412" s="7">
        <v>7.0E7</v>
      </c>
      <c r="W412" s="7">
        <v>8.2405589E7</v>
      </c>
      <c r="X412" s="7">
        <v>1.04177745E8</v>
      </c>
      <c r="Y412" s="7">
        <v>1.2395588E7</v>
      </c>
      <c r="Z412" s="7">
        <v>1005144.0</v>
      </c>
      <c r="AA412" s="6" t="s">
        <v>52</v>
      </c>
      <c r="AB412" s="11" t="str">
        <f t="shared" si="6"/>
        <v>Include</v>
      </c>
      <c r="AC412" s="1">
        <f t="shared" ref="AC412:AC414" si="440">S412/P412</f>
        <v>1.414628964</v>
      </c>
    </row>
    <row r="413" ht="15.0" customHeight="1">
      <c r="B413" s="6">
        <f t="shared" si="8"/>
        <v>411</v>
      </c>
      <c r="C413" s="1" t="s">
        <v>728</v>
      </c>
      <c r="D413" s="1" t="str">
        <f t="shared" si="2"/>
        <v>Private Equity</v>
      </c>
      <c r="E413" s="1" t="s">
        <v>43</v>
      </c>
      <c r="F413" s="1" t="s">
        <v>43</v>
      </c>
      <c r="G413" s="1" t="s">
        <v>728</v>
      </c>
      <c r="H413" s="1" t="s">
        <v>163</v>
      </c>
      <c r="I413" s="1" t="s">
        <v>318</v>
      </c>
      <c r="J413" s="1" t="s">
        <v>164</v>
      </c>
      <c r="K413" s="1" t="s">
        <v>661</v>
      </c>
      <c r="L413" s="1" t="s">
        <v>729</v>
      </c>
      <c r="N413" s="6">
        <v>2011.0</v>
      </c>
      <c r="O413" s="10">
        <f t="shared" ref="O413:R413" si="439">IFERROR(V413*INDEX($AH$4:$AH$8,MATCH($AA413,$AG$4:$AG$8,0)),"")</f>
        <v>100000000</v>
      </c>
      <c r="P413" s="10">
        <f t="shared" si="439"/>
        <v>105173568</v>
      </c>
      <c r="Q413" s="10">
        <f t="shared" si="439"/>
        <v>99307013</v>
      </c>
      <c r="R413" s="10">
        <f t="shared" si="439"/>
        <v>7010617</v>
      </c>
      <c r="S413" s="10">
        <f t="shared" si="4"/>
        <v>106317630</v>
      </c>
      <c r="T413" s="10">
        <f t="shared" si="5"/>
        <v>115398</v>
      </c>
      <c r="U413" s="8">
        <v>46112.0</v>
      </c>
      <c r="V413" s="7">
        <v>1.0E8</v>
      </c>
      <c r="W413" s="7">
        <v>1.05173568E8</v>
      </c>
      <c r="X413" s="7">
        <v>9.9307013E7</v>
      </c>
      <c r="Y413" s="7">
        <v>7010617.0</v>
      </c>
      <c r="Z413" s="7">
        <v>115398.0</v>
      </c>
      <c r="AA413" s="6" t="s">
        <v>52</v>
      </c>
      <c r="AB413" s="11" t="str">
        <f t="shared" si="6"/>
        <v>Include</v>
      </c>
      <c r="AC413" s="1">
        <f t="shared" si="440"/>
        <v>1.010877847</v>
      </c>
    </row>
    <row r="414" ht="15.0" customHeight="1">
      <c r="B414" s="6">
        <f t="shared" si="8"/>
        <v>412</v>
      </c>
      <c r="C414" s="1" t="s">
        <v>730</v>
      </c>
      <c r="D414" s="1" t="str">
        <f t="shared" si="2"/>
        <v>Private Equity</v>
      </c>
      <c r="E414" s="1" t="s">
        <v>43</v>
      </c>
      <c r="F414" s="1" t="s">
        <v>43</v>
      </c>
      <c r="G414" s="1" t="s">
        <v>730</v>
      </c>
      <c r="H414" s="1" t="s">
        <v>701</v>
      </c>
      <c r="I414" s="1" t="s">
        <v>318</v>
      </c>
      <c r="J414" s="1" t="s">
        <v>121</v>
      </c>
      <c r="K414" s="1" t="s">
        <v>122</v>
      </c>
      <c r="L414" s="1" t="s">
        <v>127</v>
      </c>
      <c r="N414" s="6">
        <v>2011.0</v>
      </c>
      <c r="O414" s="10">
        <f t="shared" ref="O414:R414" si="441">IFERROR(V414*INDEX($AH$4:$AH$8,MATCH($AA414,$AG$4:$AG$8,0)),"")</f>
        <v>100000000</v>
      </c>
      <c r="P414" s="10">
        <f t="shared" si="441"/>
        <v>123843925.8</v>
      </c>
      <c r="Q414" s="10">
        <f t="shared" si="441"/>
        <v>141822074.9</v>
      </c>
      <c r="R414" s="10">
        <f t="shared" si="441"/>
        <v>1402000</v>
      </c>
      <c r="S414" s="10">
        <f t="shared" si="4"/>
        <v>143224074.9</v>
      </c>
      <c r="T414" s="10">
        <f t="shared" si="5"/>
        <v>4204821.05</v>
      </c>
      <c r="U414" s="8">
        <v>46112.0</v>
      </c>
      <c r="V414" s="7">
        <v>1.0E8</v>
      </c>
      <c r="W414" s="7">
        <v>1.2384392581E8</v>
      </c>
      <c r="X414" s="7">
        <v>1.4182207493E8</v>
      </c>
      <c r="Y414" s="7">
        <v>1402000.0</v>
      </c>
      <c r="Z414" s="7">
        <v>4204821.05</v>
      </c>
      <c r="AA414" s="6" t="s">
        <v>52</v>
      </c>
      <c r="AB414" s="11" t="str">
        <f t="shared" si="6"/>
        <v>Include</v>
      </c>
      <c r="AC414" s="1">
        <f t="shared" si="440"/>
        <v>1.156488491</v>
      </c>
    </row>
    <row r="415" ht="15.0" customHeight="1">
      <c r="B415" s="6">
        <f t="shared" si="8"/>
        <v>413</v>
      </c>
      <c r="C415" s="1" t="s">
        <v>731</v>
      </c>
      <c r="D415" s="1" t="str">
        <f t="shared" si="2"/>
        <v>Private Equity</v>
      </c>
      <c r="E415" s="1" t="s">
        <v>43</v>
      </c>
      <c r="F415" s="1" t="s">
        <v>43</v>
      </c>
      <c r="G415" s="1" t="s">
        <v>731</v>
      </c>
      <c r="H415" s="1" t="s">
        <v>214</v>
      </c>
      <c r="I415" s="1" t="s">
        <v>318</v>
      </c>
      <c r="J415" s="1" t="s">
        <v>121</v>
      </c>
      <c r="K415" s="1" t="s">
        <v>122</v>
      </c>
      <c r="L415" s="1" t="s">
        <v>127</v>
      </c>
      <c r="N415" s="6">
        <v>2012.0</v>
      </c>
      <c r="O415" s="10">
        <f t="shared" ref="O415:R415" si="442">IFERROR(V415*INDEX($AH$4:$AH$8,MATCH($AA415,$AG$4:$AG$8,0)),"")</f>
        <v>200000000</v>
      </c>
      <c r="P415" s="10">
        <f t="shared" si="442"/>
        <v>171039424.9</v>
      </c>
      <c r="Q415" s="10">
        <f t="shared" si="442"/>
        <v>385759612</v>
      </c>
      <c r="R415" s="10">
        <f t="shared" si="442"/>
        <v>0</v>
      </c>
      <c r="S415" s="10">
        <f t="shared" si="4"/>
        <v>385759612</v>
      </c>
      <c r="T415" s="10">
        <f t="shared" si="5"/>
        <v>0.37</v>
      </c>
      <c r="U415" s="8">
        <v>45565.0</v>
      </c>
      <c r="V415" s="7">
        <v>2.0E8</v>
      </c>
      <c r="W415" s="7">
        <v>1.7103942487E8</v>
      </c>
      <c r="X415" s="7">
        <v>3.8575961199E8</v>
      </c>
      <c r="Y415" s="7">
        <v>0.0</v>
      </c>
      <c r="Z415" s="7">
        <v>0.37</v>
      </c>
      <c r="AA415" s="6" t="s">
        <v>52</v>
      </c>
      <c r="AB415" s="11" t="str">
        <f t="shared" si="6"/>
        <v>Exclude</v>
      </c>
    </row>
    <row r="416" ht="15.0" customHeight="1">
      <c r="B416" s="6">
        <f t="shared" si="8"/>
        <v>414</v>
      </c>
      <c r="C416" s="1" t="s">
        <v>732</v>
      </c>
      <c r="D416" s="1" t="str">
        <f t="shared" si="2"/>
        <v>VC &amp; Growth</v>
      </c>
      <c r="E416" s="1" t="s">
        <v>270</v>
      </c>
      <c r="F416" s="1" t="s">
        <v>43</v>
      </c>
      <c r="G416" s="1" t="s">
        <v>732</v>
      </c>
      <c r="H416" s="1" t="s">
        <v>245</v>
      </c>
      <c r="I416" s="1" t="s">
        <v>318</v>
      </c>
      <c r="J416" s="1" t="s">
        <v>126</v>
      </c>
      <c r="K416" s="1" t="s">
        <v>126</v>
      </c>
      <c r="L416" s="1" t="s">
        <v>126</v>
      </c>
      <c r="N416" s="6">
        <v>2012.0</v>
      </c>
      <c r="O416" s="10">
        <f t="shared" ref="O416:R416" si="443">IFERROR(V416*INDEX($AH$4:$AH$8,MATCH($AA416,$AG$4:$AG$8,0)),"")</f>
        <v>100000000</v>
      </c>
      <c r="P416" s="10">
        <f t="shared" si="443"/>
        <v>111785326</v>
      </c>
      <c r="Q416" s="10">
        <f t="shared" si="443"/>
        <v>256678622</v>
      </c>
      <c r="R416" s="10">
        <f t="shared" si="443"/>
        <v>11326583</v>
      </c>
      <c r="S416" s="10">
        <f t="shared" si="4"/>
        <v>268005205</v>
      </c>
      <c r="T416" s="10">
        <f t="shared" si="5"/>
        <v>12774672</v>
      </c>
      <c r="U416" s="8">
        <v>46112.0</v>
      </c>
      <c r="V416" s="7">
        <v>1.0E8</v>
      </c>
      <c r="W416" s="7">
        <v>1.11785326E8</v>
      </c>
      <c r="X416" s="7">
        <v>2.56678622E8</v>
      </c>
      <c r="Y416" s="7">
        <v>1.1326583E7</v>
      </c>
      <c r="Z416" s="7">
        <v>1.2774672E7</v>
      </c>
      <c r="AA416" s="6" t="s">
        <v>52</v>
      </c>
      <c r="AB416" s="11" t="str">
        <f t="shared" si="6"/>
        <v>Include</v>
      </c>
      <c r="AC416" s="1">
        <f t="shared" ref="AC416:AC417" si="445">S416/P416</f>
        <v>2.397498979</v>
      </c>
    </row>
    <row r="417" ht="15.0" customHeight="1">
      <c r="B417" s="6">
        <f t="shared" si="8"/>
        <v>415</v>
      </c>
      <c r="C417" s="1" t="s">
        <v>733</v>
      </c>
      <c r="D417" s="1" t="str">
        <f t="shared" si="2"/>
        <v>VC &amp; Growth</v>
      </c>
      <c r="E417" s="1" t="s">
        <v>270</v>
      </c>
      <c r="F417" s="1" t="s">
        <v>43</v>
      </c>
      <c r="G417" s="1" t="s">
        <v>733</v>
      </c>
      <c r="H417" s="1" t="s">
        <v>245</v>
      </c>
      <c r="I417" s="1" t="s">
        <v>318</v>
      </c>
      <c r="J417" s="1" t="s">
        <v>126</v>
      </c>
      <c r="K417" s="1" t="s">
        <v>126</v>
      </c>
      <c r="L417" s="1" t="s">
        <v>126</v>
      </c>
      <c r="N417" s="6">
        <v>2012.0</v>
      </c>
      <c r="O417" s="10">
        <f t="shared" ref="O417:R417" si="444">IFERROR(V417*INDEX($AH$4:$AH$8,MATCH($AA417,$AG$4:$AG$8,0)),"")</f>
        <v>25000000</v>
      </c>
      <c r="P417" s="10">
        <f t="shared" si="444"/>
        <v>27154730</v>
      </c>
      <c r="Q417" s="10">
        <f t="shared" si="444"/>
        <v>61892043</v>
      </c>
      <c r="R417" s="10">
        <f t="shared" si="444"/>
        <v>3312252</v>
      </c>
      <c r="S417" s="10">
        <f t="shared" si="4"/>
        <v>65204295</v>
      </c>
      <c r="T417" s="10">
        <f t="shared" si="5"/>
        <v>2568002</v>
      </c>
      <c r="U417" s="8">
        <v>46112.0</v>
      </c>
      <c r="V417" s="7">
        <v>2.5E7</v>
      </c>
      <c r="W417" s="7">
        <v>2.715473E7</v>
      </c>
      <c r="X417" s="7">
        <v>6.1892043E7</v>
      </c>
      <c r="Y417" s="7">
        <v>3312252.0</v>
      </c>
      <c r="Z417" s="7">
        <v>2568002.0</v>
      </c>
      <c r="AA417" s="6" t="s">
        <v>52</v>
      </c>
      <c r="AB417" s="11" t="str">
        <f t="shared" si="6"/>
        <v>Include</v>
      </c>
      <c r="AC417" s="1">
        <f t="shared" si="445"/>
        <v>2.401213159</v>
      </c>
    </row>
    <row r="418" ht="15.0" customHeight="1">
      <c r="B418" s="6">
        <f t="shared" si="8"/>
        <v>416</v>
      </c>
      <c r="C418" s="1" t="s">
        <v>734</v>
      </c>
      <c r="D418" s="1" t="str">
        <f t="shared" si="2"/>
        <v>Private Equity</v>
      </c>
      <c r="E418" s="1" t="s">
        <v>43</v>
      </c>
      <c r="F418" s="1" t="s">
        <v>43</v>
      </c>
      <c r="G418" s="1" t="s">
        <v>734</v>
      </c>
      <c r="H418" s="1" t="s">
        <v>160</v>
      </c>
      <c r="I418" s="1" t="s">
        <v>318</v>
      </c>
      <c r="J418" s="1" t="s">
        <v>121</v>
      </c>
      <c r="K418" s="1" t="s">
        <v>122</v>
      </c>
      <c r="L418" s="1" t="s">
        <v>123</v>
      </c>
      <c r="N418" s="6">
        <v>2012.0</v>
      </c>
      <c r="O418" s="10">
        <f t="shared" ref="O418:R418" si="446">IFERROR(V418*INDEX($AH$4:$AH$8,MATCH($AA418,$AG$4:$AG$8,0)),"")</f>
        <v>100000000</v>
      </c>
      <c r="P418" s="10">
        <f t="shared" si="446"/>
        <v>86855484.15</v>
      </c>
      <c r="Q418" s="10">
        <f t="shared" si="446"/>
        <v>110831454.5</v>
      </c>
      <c r="R418" s="10">
        <f t="shared" si="446"/>
        <v>0</v>
      </c>
      <c r="S418" s="10">
        <f t="shared" si="4"/>
        <v>110831454.5</v>
      </c>
      <c r="T418" s="10">
        <f t="shared" si="5"/>
        <v>-0.15</v>
      </c>
      <c r="U418" s="8">
        <v>43555.0</v>
      </c>
      <c r="V418" s="7">
        <v>1.0E8</v>
      </c>
      <c r="W418" s="7">
        <v>8.685548415E7</v>
      </c>
      <c r="X418" s="7">
        <v>1.1083145446E8</v>
      </c>
      <c r="Y418" s="7">
        <v>0.0</v>
      </c>
      <c r="Z418" s="7">
        <v>-0.15</v>
      </c>
      <c r="AA418" s="6" t="s">
        <v>52</v>
      </c>
      <c r="AB418" s="11" t="str">
        <f t="shared" si="6"/>
        <v>Exclude</v>
      </c>
    </row>
    <row r="419" ht="15.0" customHeight="1">
      <c r="B419" s="6">
        <f t="shared" si="8"/>
        <v>417</v>
      </c>
      <c r="C419" s="1" t="s">
        <v>735</v>
      </c>
      <c r="D419" s="1" t="str">
        <f t="shared" si="2"/>
        <v>Private Equity</v>
      </c>
      <c r="E419" s="1" t="s">
        <v>43</v>
      </c>
      <c r="F419" s="1" t="s">
        <v>43</v>
      </c>
      <c r="G419" s="1" t="s">
        <v>735</v>
      </c>
      <c r="H419" s="1" t="s">
        <v>736</v>
      </c>
      <c r="I419" s="1" t="s">
        <v>318</v>
      </c>
      <c r="J419" s="1" t="s">
        <v>164</v>
      </c>
      <c r="K419" s="1" t="s">
        <v>661</v>
      </c>
      <c r="L419" s="1" t="s">
        <v>737</v>
      </c>
      <c r="N419" s="6">
        <v>2011.0</v>
      </c>
      <c r="O419" s="10">
        <f t="shared" ref="O419:R419" si="447">IFERROR(V419*INDEX($AH$4:$AH$8,MATCH($AA419,$AG$4:$AG$8,0)),"")</f>
        <v>75000000</v>
      </c>
      <c r="P419" s="10">
        <f t="shared" si="447"/>
        <v>88759511</v>
      </c>
      <c r="Q419" s="10">
        <f t="shared" si="447"/>
        <v>49751471.93</v>
      </c>
      <c r="R419" s="10">
        <f t="shared" si="447"/>
        <v>25040080.77</v>
      </c>
      <c r="S419" s="10">
        <f t="shared" si="4"/>
        <v>74791552.7</v>
      </c>
      <c r="T419" s="10">
        <f t="shared" si="5"/>
        <v>3769388</v>
      </c>
      <c r="U419" s="8">
        <v>46112.0</v>
      </c>
      <c r="V419" s="7">
        <v>7.5E7</v>
      </c>
      <c r="W419" s="7">
        <v>8.8759511E7</v>
      </c>
      <c r="X419" s="7">
        <v>4.975147193E7</v>
      </c>
      <c r="Y419" s="7">
        <v>2.504008077E7</v>
      </c>
      <c r="Z419" s="7">
        <v>3769388.0</v>
      </c>
      <c r="AA419" s="6" t="s">
        <v>52</v>
      </c>
      <c r="AB419" s="11" t="str">
        <f t="shared" si="6"/>
        <v>Include</v>
      </c>
      <c r="AC419" s="1">
        <f t="shared" ref="AC419:AC424" si="449">S419/P419</f>
        <v>0.842631419</v>
      </c>
    </row>
    <row r="420" ht="15.0" customHeight="1">
      <c r="B420" s="6">
        <f t="shared" si="8"/>
        <v>418</v>
      </c>
      <c r="C420" s="1" t="s">
        <v>738</v>
      </c>
      <c r="D420" s="1" t="str">
        <f t="shared" si="2"/>
        <v>Private Equity</v>
      </c>
      <c r="E420" s="1" t="s">
        <v>43</v>
      </c>
      <c r="F420" s="1" t="s">
        <v>43</v>
      </c>
      <c r="G420" s="1" t="s">
        <v>738</v>
      </c>
      <c r="H420" s="1" t="s">
        <v>739</v>
      </c>
      <c r="I420" s="1" t="s">
        <v>318</v>
      </c>
      <c r="J420" s="1" t="s">
        <v>121</v>
      </c>
      <c r="K420" s="1" t="s">
        <v>274</v>
      </c>
      <c r="L420" s="1" t="s">
        <v>275</v>
      </c>
      <c r="N420" s="6">
        <v>2010.0</v>
      </c>
      <c r="O420" s="10">
        <f t="shared" ref="O420:R420" si="448">IFERROR(V420*INDEX($AH$4:$AH$8,MATCH($AA420,$AG$4:$AG$8,0)),"")</f>
        <v>100000000</v>
      </c>
      <c r="P420" s="10">
        <f t="shared" si="448"/>
        <v>70238684.8</v>
      </c>
      <c r="Q420" s="10">
        <f t="shared" si="448"/>
        <v>122125935.8</v>
      </c>
      <c r="R420" s="10">
        <f t="shared" si="448"/>
        <v>599800</v>
      </c>
      <c r="S420" s="10">
        <f t="shared" si="4"/>
        <v>122725735.8</v>
      </c>
      <c r="T420" s="10">
        <f t="shared" si="5"/>
        <v>5000000</v>
      </c>
      <c r="U420" s="8">
        <v>46112.0</v>
      </c>
      <c r="V420" s="7">
        <v>1.0E8</v>
      </c>
      <c r="W420" s="7">
        <v>7.02386848E7</v>
      </c>
      <c r="X420" s="7">
        <v>1.2212593584E8</v>
      </c>
      <c r="Y420" s="7">
        <v>599800.0</v>
      </c>
      <c r="Z420" s="7">
        <v>5000000.0</v>
      </c>
      <c r="AA420" s="6" t="s">
        <v>52</v>
      </c>
      <c r="AB420" s="11" t="str">
        <f t="shared" si="6"/>
        <v>Include</v>
      </c>
      <c r="AC420" s="1">
        <f t="shared" si="449"/>
        <v>1.747266997</v>
      </c>
    </row>
    <row r="421" ht="15.0" customHeight="1">
      <c r="B421" s="6">
        <f t="shared" si="8"/>
        <v>419</v>
      </c>
      <c r="C421" s="1" t="s">
        <v>740</v>
      </c>
      <c r="D421" s="1" t="str">
        <f t="shared" si="2"/>
        <v>Private Equity</v>
      </c>
      <c r="E421" s="1" t="s">
        <v>43</v>
      </c>
      <c r="F421" s="1" t="s">
        <v>43</v>
      </c>
      <c r="G421" s="1" t="s">
        <v>740</v>
      </c>
      <c r="H421" s="1" t="s">
        <v>120</v>
      </c>
      <c r="I421" s="1" t="s">
        <v>318</v>
      </c>
      <c r="J421" s="1" t="s">
        <v>121</v>
      </c>
      <c r="K421" s="1" t="s">
        <v>274</v>
      </c>
      <c r="L421" s="1" t="s">
        <v>275</v>
      </c>
      <c r="N421" s="6">
        <v>2011.0</v>
      </c>
      <c r="O421" s="10">
        <f t="shared" ref="O421:R421" si="450">IFERROR(V421*INDEX($AH$4:$AH$8,MATCH($AA421,$AG$4:$AG$8,0)),"")</f>
        <v>100000000</v>
      </c>
      <c r="P421" s="10">
        <f t="shared" si="450"/>
        <v>63171094.12</v>
      </c>
      <c r="Q421" s="10">
        <f t="shared" si="450"/>
        <v>111773127.7</v>
      </c>
      <c r="R421" s="10">
        <f t="shared" si="450"/>
        <v>4518502</v>
      </c>
      <c r="S421" s="10">
        <f t="shared" si="4"/>
        <v>116291629.7</v>
      </c>
      <c r="T421" s="10">
        <f t="shared" si="5"/>
        <v>9169927.16</v>
      </c>
      <c r="U421" s="8">
        <v>46112.0</v>
      </c>
      <c r="V421" s="7">
        <v>1.0E8</v>
      </c>
      <c r="W421" s="7">
        <v>6.317109412E7</v>
      </c>
      <c r="X421" s="7">
        <v>1.117731277E8</v>
      </c>
      <c r="Y421" s="7">
        <v>4518502.0</v>
      </c>
      <c r="Z421" s="7">
        <v>9169927.16</v>
      </c>
      <c r="AA421" s="6" t="s">
        <v>52</v>
      </c>
      <c r="AB421" s="11" t="str">
        <f t="shared" si="6"/>
        <v>Include</v>
      </c>
      <c r="AC421" s="1">
        <f t="shared" si="449"/>
        <v>1.840899407</v>
      </c>
    </row>
    <row r="422" ht="15.0" customHeight="1">
      <c r="B422" s="6">
        <f t="shared" si="8"/>
        <v>420</v>
      </c>
      <c r="C422" s="1" t="s">
        <v>741</v>
      </c>
      <c r="D422" s="1" t="str">
        <f t="shared" si="2"/>
        <v>Private Equity</v>
      </c>
      <c r="E422" s="1" t="s">
        <v>43</v>
      </c>
      <c r="F422" s="1" t="s">
        <v>43</v>
      </c>
      <c r="G422" s="1" t="s">
        <v>741</v>
      </c>
      <c r="H422" s="1" t="s">
        <v>223</v>
      </c>
      <c r="I422" s="1" t="s">
        <v>318</v>
      </c>
      <c r="J422" s="1" t="s">
        <v>164</v>
      </c>
      <c r="K422" s="1" t="s">
        <v>92</v>
      </c>
      <c r="L422" s="1" t="s">
        <v>93</v>
      </c>
      <c r="N422" s="6">
        <v>2012.0</v>
      </c>
      <c r="O422" s="10">
        <f t="shared" ref="O422:R422" si="451">IFERROR(V422*INDEX($AH$4:$AH$8,MATCH($AA422,$AG$4:$AG$8,0)),"")</f>
        <v>200000000</v>
      </c>
      <c r="P422" s="10">
        <f t="shared" si="451"/>
        <v>208031965.6</v>
      </c>
      <c r="Q422" s="10">
        <f t="shared" si="451"/>
        <v>342041775.2</v>
      </c>
      <c r="R422" s="10">
        <f t="shared" si="451"/>
        <v>57443672</v>
      </c>
      <c r="S422" s="10">
        <f t="shared" si="4"/>
        <v>399485447.2</v>
      </c>
      <c r="T422" s="10">
        <f t="shared" si="5"/>
        <v>7658947.24</v>
      </c>
      <c r="U422" s="8">
        <v>46112.0</v>
      </c>
      <c r="V422" s="7">
        <v>2.0E8</v>
      </c>
      <c r="W422" s="7">
        <v>2.0803196557E8</v>
      </c>
      <c r="X422" s="7">
        <v>3.4204177517E8</v>
      </c>
      <c r="Y422" s="7">
        <v>5.7443672E7</v>
      </c>
      <c r="Z422" s="7">
        <v>7658947.24</v>
      </c>
      <c r="AA422" s="6" t="s">
        <v>52</v>
      </c>
      <c r="AB422" s="11" t="str">
        <f t="shared" si="6"/>
        <v>Include</v>
      </c>
      <c r="AC422" s="1">
        <f t="shared" si="449"/>
        <v>1.920307997</v>
      </c>
    </row>
    <row r="423" ht="15.0" customHeight="1">
      <c r="B423" s="6">
        <f t="shared" si="8"/>
        <v>421</v>
      </c>
      <c r="C423" s="1" t="s">
        <v>742</v>
      </c>
      <c r="D423" s="1" t="str">
        <f t="shared" si="2"/>
        <v>Private Equity</v>
      </c>
      <c r="E423" s="1" t="s">
        <v>43</v>
      </c>
      <c r="F423" s="1" t="s">
        <v>43</v>
      </c>
      <c r="G423" s="1" t="s">
        <v>742</v>
      </c>
      <c r="H423" s="1" t="s">
        <v>232</v>
      </c>
      <c r="I423" s="1" t="s">
        <v>318</v>
      </c>
      <c r="J423" s="1" t="s">
        <v>121</v>
      </c>
      <c r="K423" s="1" t="s">
        <v>122</v>
      </c>
      <c r="L423" s="1" t="s">
        <v>127</v>
      </c>
      <c r="N423" s="6">
        <v>2012.0</v>
      </c>
      <c r="O423" s="10">
        <f t="shared" ref="O423:R423" si="452">IFERROR(V423*INDEX($AH$4:$AH$8,MATCH($AA423,$AG$4:$AG$8,0)),"")</f>
        <v>100000000</v>
      </c>
      <c r="P423" s="10">
        <f t="shared" si="452"/>
        <v>103000000</v>
      </c>
      <c r="Q423" s="10">
        <f t="shared" si="452"/>
        <v>186846209</v>
      </c>
      <c r="R423" s="10">
        <f t="shared" si="452"/>
        <v>8749348</v>
      </c>
      <c r="S423" s="10">
        <f t="shared" si="4"/>
        <v>195595557</v>
      </c>
      <c r="T423" s="10">
        <f t="shared" si="5"/>
        <v>14946136</v>
      </c>
      <c r="U423" s="8">
        <v>46112.0</v>
      </c>
      <c r="V423" s="7">
        <v>1.0E8</v>
      </c>
      <c r="W423" s="7">
        <v>1.03E8</v>
      </c>
      <c r="X423" s="7">
        <v>1.86846209E8</v>
      </c>
      <c r="Y423" s="7">
        <v>8749348.0</v>
      </c>
      <c r="Z423" s="7">
        <v>1.4946136E7</v>
      </c>
      <c r="AA423" s="6" t="s">
        <v>52</v>
      </c>
      <c r="AB423" s="11" t="str">
        <f t="shared" si="6"/>
        <v>Include</v>
      </c>
      <c r="AC423" s="1">
        <f t="shared" si="449"/>
        <v>1.89898599</v>
      </c>
    </row>
    <row r="424" ht="15.0" customHeight="1">
      <c r="B424" s="6">
        <f t="shared" si="8"/>
        <v>422</v>
      </c>
      <c r="C424" s="1" t="s">
        <v>743</v>
      </c>
      <c r="D424" s="1" t="str">
        <f t="shared" si="2"/>
        <v>VC &amp; Growth</v>
      </c>
      <c r="E424" s="1" t="s">
        <v>270</v>
      </c>
      <c r="F424" s="1" t="s">
        <v>43</v>
      </c>
      <c r="G424" s="1" t="s">
        <v>743</v>
      </c>
      <c r="H424" s="1" t="s">
        <v>618</v>
      </c>
      <c r="I424" s="1" t="s">
        <v>318</v>
      </c>
      <c r="J424" s="1" t="s">
        <v>150</v>
      </c>
      <c r="K424" s="1" t="s">
        <v>150</v>
      </c>
      <c r="L424" s="1" t="s">
        <v>470</v>
      </c>
      <c r="N424" s="6">
        <v>2012.0</v>
      </c>
      <c r="O424" s="10">
        <f t="shared" ref="O424:R424" si="453">IFERROR(V424*INDEX($AH$4:$AH$8,MATCH($AA424,$AG$4:$AG$8,0)),"")</f>
        <v>50000000</v>
      </c>
      <c r="P424" s="10">
        <f t="shared" si="453"/>
        <v>48803701.54</v>
      </c>
      <c r="Q424" s="10">
        <f t="shared" si="453"/>
        <v>25905251.9</v>
      </c>
      <c r="R424" s="10">
        <f t="shared" si="453"/>
        <v>23488796</v>
      </c>
      <c r="S424" s="10">
        <f t="shared" si="4"/>
        <v>49394047.9</v>
      </c>
      <c r="T424" s="10">
        <f t="shared" si="5"/>
        <v>1196298.46</v>
      </c>
      <c r="U424" s="8">
        <v>46112.0</v>
      </c>
      <c r="V424" s="7">
        <v>5.0E7</v>
      </c>
      <c r="W424" s="7">
        <v>4.880370154E7</v>
      </c>
      <c r="X424" s="7">
        <v>2.59052519E7</v>
      </c>
      <c r="Y424" s="7">
        <v>2.3488796E7</v>
      </c>
      <c r="Z424" s="7">
        <v>1196298.46</v>
      </c>
      <c r="AA424" s="6" t="s">
        <v>52</v>
      </c>
      <c r="AB424" s="11" t="str">
        <f t="shared" si="6"/>
        <v>Include</v>
      </c>
      <c r="AC424" s="1">
        <f t="shared" si="449"/>
        <v>1.012096344</v>
      </c>
    </row>
    <row r="425" ht="15.0" customHeight="1">
      <c r="B425" s="6">
        <f t="shared" si="8"/>
        <v>423</v>
      </c>
      <c r="C425" s="1" t="s">
        <v>744</v>
      </c>
      <c r="D425" s="1" t="str">
        <f t="shared" si="2"/>
        <v>Private Equity</v>
      </c>
      <c r="E425" s="1" t="s">
        <v>43</v>
      </c>
      <c r="F425" s="1" t="s">
        <v>43</v>
      </c>
      <c r="G425" s="1" t="s">
        <v>745</v>
      </c>
      <c r="H425" s="1" t="s">
        <v>129</v>
      </c>
      <c r="I425" s="1" t="s">
        <v>318</v>
      </c>
      <c r="J425" s="1" t="s">
        <v>121</v>
      </c>
      <c r="K425" s="1" t="s">
        <v>122</v>
      </c>
      <c r="L425" s="1" t="s">
        <v>127</v>
      </c>
      <c r="N425" s="6">
        <v>2012.0</v>
      </c>
      <c r="O425" s="10">
        <f t="shared" ref="O425:R425" si="454">IFERROR(V425*INDEX($AH$4:$AH$8,MATCH($AA425,$AG$4:$AG$8,0)),"")</f>
        <v>115551000</v>
      </c>
      <c r="P425" s="10">
        <f t="shared" si="454"/>
        <v>124871470.4</v>
      </c>
      <c r="Q425" s="10">
        <f t="shared" si="454"/>
        <v>208442878.4</v>
      </c>
      <c r="R425" s="10">
        <f t="shared" si="454"/>
        <v>0</v>
      </c>
      <c r="S425" s="10">
        <f t="shared" si="4"/>
        <v>208442878.4</v>
      </c>
      <c r="T425" s="10">
        <f t="shared" si="5"/>
        <v>0.0346653</v>
      </c>
      <c r="U425" s="8">
        <v>44139.0</v>
      </c>
      <c r="V425" s="7">
        <v>1.0E8</v>
      </c>
      <c r="W425" s="7">
        <v>1.0806610964E8</v>
      </c>
      <c r="X425" s="7">
        <v>1.803903717E8</v>
      </c>
      <c r="Y425" s="7">
        <v>0.0</v>
      </c>
      <c r="Z425" s="7">
        <v>0.03</v>
      </c>
      <c r="AA425" s="6" t="s">
        <v>45</v>
      </c>
      <c r="AB425" s="11" t="str">
        <f t="shared" si="6"/>
        <v>Exclude</v>
      </c>
    </row>
    <row r="426" ht="15.0" customHeight="1">
      <c r="B426" s="6">
        <f t="shared" si="8"/>
        <v>424</v>
      </c>
      <c r="C426" s="1" t="s">
        <v>746</v>
      </c>
      <c r="D426" s="1" t="str">
        <f t="shared" si="2"/>
        <v>Private Equity</v>
      </c>
      <c r="E426" s="1" t="s">
        <v>43</v>
      </c>
      <c r="F426" s="1" t="s">
        <v>43</v>
      </c>
      <c r="G426" s="1" t="s">
        <v>746</v>
      </c>
      <c r="H426" s="1" t="s">
        <v>234</v>
      </c>
      <c r="I426" s="1" t="s">
        <v>318</v>
      </c>
      <c r="J426" s="1" t="s">
        <v>121</v>
      </c>
      <c r="K426" s="1" t="s">
        <v>122</v>
      </c>
      <c r="L426" s="1" t="s">
        <v>127</v>
      </c>
      <c r="N426" s="6">
        <v>2012.0</v>
      </c>
      <c r="O426" s="10">
        <f t="shared" ref="O426:R426" si="455">IFERROR(V426*INDEX($AH$4:$AH$8,MATCH($AA426,$AG$4:$AG$8,0)),"")</f>
        <v>100000000</v>
      </c>
      <c r="P426" s="10">
        <f t="shared" si="455"/>
        <v>111031729.6</v>
      </c>
      <c r="Q426" s="10">
        <f t="shared" si="455"/>
        <v>178397346.2</v>
      </c>
      <c r="R426" s="10">
        <f t="shared" si="455"/>
        <v>0</v>
      </c>
      <c r="S426" s="10">
        <f t="shared" si="4"/>
        <v>178397346.2</v>
      </c>
      <c r="T426" s="10">
        <f t="shared" si="5"/>
        <v>-0.45</v>
      </c>
      <c r="U426" s="8">
        <v>45565.0</v>
      </c>
      <c r="V426" s="7">
        <v>1.0E8</v>
      </c>
      <c r="W426" s="7">
        <v>1.1103172962E8</v>
      </c>
      <c r="X426" s="7">
        <v>1.7839734617E8</v>
      </c>
      <c r="Y426" s="7">
        <v>0.0</v>
      </c>
      <c r="Z426" s="7">
        <v>-0.45</v>
      </c>
      <c r="AA426" s="6" t="s">
        <v>52</v>
      </c>
      <c r="AB426" s="11" t="str">
        <f t="shared" si="6"/>
        <v>Exclude</v>
      </c>
    </row>
    <row r="427" ht="15.0" customHeight="1">
      <c r="B427" s="6">
        <f t="shared" si="8"/>
        <v>425</v>
      </c>
      <c r="C427" s="1" t="s">
        <v>747</v>
      </c>
      <c r="D427" s="1" t="str">
        <f t="shared" si="2"/>
        <v>VC &amp; Growth</v>
      </c>
      <c r="E427" s="1" t="s">
        <v>270</v>
      </c>
      <c r="F427" s="1" t="s">
        <v>43</v>
      </c>
      <c r="G427" s="1" t="s">
        <v>747</v>
      </c>
      <c r="H427" s="1" t="s">
        <v>167</v>
      </c>
      <c r="I427" s="1" t="s">
        <v>318</v>
      </c>
      <c r="J427" s="1" t="s">
        <v>126</v>
      </c>
      <c r="K427" s="1" t="s">
        <v>126</v>
      </c>
      <c r="L427" s="1" t="s">
        <v>126</v>
      </c>
      <c r="N427" s="6">
        <v>2012.0</v>
      </c>
      <c r="O427" s="10">
        <f t="shared" ref="O427:R427" si="456">IFERROR(V427*INDEX($AH$4:$AH$8,MATCH($AA427,$AG$4:$AG$8,0)),"")</f>
        <v>200000000</v>
      </c>
      <c r="P427" s="10">
        <f t="shared" si="456"/>
        <v>183999999.8</v>
      </c>
      <c r="Q427" s="10">
        <f t="shared" si="456"/>
        <v>454840263.8</v>
      </c>
      <c r="R427" s="10">
        <f t="shared" si="456"/>
        <v>67070440</v>
      </c>
      <c r="S427" s="10">
        <f t="shared" si="4"/>
        <v>521910703.8</v>
      </c>
      <c r="T427" s="10">
        <f t="shared" si="5"/>
        <v>8000000.19</v>
      </c>
      <c r="U427" s="8">
        <v>46112.0</v>
      </c>
      <c r="V427" s="7">
        <v>2.0E8</v>
      </c>
      <c r="W427" s="7">
        <v>1.8399999981E8</v>
      </c>
      <c r="X427" s="7">
        <v>4.5484026375E8</v>
      </c>
      <c r="Y427" s="7">
        <v>6.707044E7</v>
      </c>
      <c r="Z427" s="7">
        <v>8000000.19</v>
      </c>
      <c r="AA427" s="6" t="s">
        <v>52</v>
      </c>
      <c r="AB427" s="11" t="str">
        <f t="shared" si="6"/>
        <v>Include</v>
      </c>
      <c r="AC427" s="1">
        <f t="shared" ref="AC427:AC428" si="458">S427/P427</f>
        <v>2.836471219</v>
      </c>
    </row>
    <row r="428" ht="15.0" customHeight="1">
      <c r="B428" s="6">
        <f t="shared" si="8"/>
        <v>426</v>
      </c>
      <c r="C428" s="1" t="s">
        <v>748</v>
      </c>
      <c r="D428" s="1" t="str">
        <f t="shared" si="2"/>
        <v>Private Equity</v>
      </c>
      <c r="E428" s="1" t="s">
        <v>43</v>
      </c>
      <c r="F428" s="1" t="s">
        <v>43</v>
      </c>
      <c r="G428" s="1" t="s">
        <v>748</v>
      </c>
      <c r="H428" s="1" t="s">
        <v>154</v>
      </c>
      <c r="I428" s="1" t="s">
        <v>318</v>
      </c>
      <c r="J428" s="1" t="s">
        <v>164</v>
      </c>
      <c r="K428" s="1" t="s">
        <v>92</v>
      </c>
      <c r="L428" s="1" t="s">
        <v>93</v>
      </c>
      <c r="N428" s="6">
        <v>2015.0</v>
      </c>
      <c r="O428" s="10">
        <f t="shared" ref="O428:R428" si="457">IFERROR(V428*INDEX($AH$4:$AH$8,MATCH($AA428,$AG$4:$AG$8,0)),"")</f>
        <v>150000000</v>
      </c>
      <c r="P428" s="10">
        <f t="shared" si="457"/>
        <v>150000000</v>
      </c>
      <c r="Q428" s="10">
        <f t="shared" si="457"/>
        <v>6503054.8</v>
      </c>
      <c r="R428" s="10">
        <f t="shared" si="457"/>
        <v>44549454.61</v>
      </c>
      <c r="S428" s="10">
        <f t="shared" si="4"/>
        <v>51052509.41</v>
      </c>
      <c r="T428" s="10">
        <f t="shared" si="5"/>
        <v>0</v>
      </c>
      <c r="U428" s="8">
        <v>46112.0</v>
      </c>
      <c r="V428" s="7">
        <v>1.5E8</v>
      </c>
      <c r="W428" s="7">
        <v>1.5E8</v>
      </c>
      <c r="X428" s="7">
        <v>6503054.8</v>
      </c>
      <c r="Y428" s="7">
        <v>4.454945461E7</v>
      </c>
      <c r="Z428" s="7">
        <v>0.0</v>
      </c>
      <c r="AA428" s="6" t="s">
        <v>52</v>
      </c>
      <c r="AB428" s="11" t="str">
        <f t="shared" si="6"/>
        <v>Include</v>
      </c>
      <c r="AC428" s="1">
        <f t="shared" si="458"/>
        <v>0.3403500627</v>
      </c>
    </row>
    <row r="429" ht="15.0" customHeight="1">
      <c r="B429" s="6">
        <f t="shared" si="8"/>
        <v>427</v>
      </c>
      <c r="C429" s="1" t="s">
        <v>749</v>
      </c>
      <c r="D429" s="1" t="str">
        <f t="shared" si="2"/>
        <v>Private Equity</v>
      </c>
      <c r="E429" s="1" t="s">
        <v>43</v>
      </c>
      <c r="F429" s="1" t="s">
        <v>43</v>
      </c>
      <c r="G429" s="1" t="s">
        <v>749</v>
      </c>
      <c r="H429" s="1" t="s">
        <v>146</v>
      </c>
      <c r="I429" s="1" t="s">
        <v>318</v>
      </c>
      <c r="J429" s="1" t="s">
        <v>121</v>
      </c>
      <c r="K429" s="1" t="s">
        <v>122</v>
      </c>
      <c r="L429" s="1" t="s">
        <v>123</v>
      </c>
      <c r="N429" s="6">
        <v>2013.0</v>
      </c>
      <c r="O429" s="10">
        <f t="shared" ref="O429:R429" si="459">IFERROR(V429*INDEX($AH$4:$AH$8,MATCH($AA429,$AG$4:$AG$8,0)),"")</f>
        <v>60000000</v>
      </c>
      <c r="P429" s="10">
        <f t="shared" si="459"/>
        <v>62549602.81</v>
      </c>
      <c r="Q429" s="10">
        <f t="shared" si="459"/>
        <v>102543981.8</v>
      </c>
      <c r="R429" s="10">
        <f t="shared" si="459"/>
        <v>0</v>
      </c>
      <c r="S429" s="10">
        <f t="shared" si="4"/>
        <v>102543981.8</v>
      </c>
      <c r="T429" s="10">
        <f t="shared" si="5"/>
        <v>0</v>
      </c>
      <c r="U429" s="8">
        <v>45747.0</v>
      </c>
      <c r="V429" s="7">
        <v>6.0E7</v>
      </c>
      <c r="W429" s="7">
        <v>6.254960281E7</v>
      </c>
      <c r="X429" s="7">
        <v>1.0254398181E8</v>
      </c>
      <c r="Y429" s="7">
        <v>0.0</v>
      </c>
      <c r="Z429" s="7">
        <v>0.0</v>
      </c>
      <c r="AA429" s="6" t="s">
        <v>52</v>
      </c>
      <c r="AB429" s="11" t="str">
        <f t="shared" si="6"/>
        <v>Exclude</v>
      </c>
    </row>
    <row r="430" ht="15.0" customHeight="1">
      <c r="B430" s="6">
        <f t="shared" si="8"/>
        <v>428</v>
      </c>
      <c r="C430" s="1" t="s">
        <v>750</v>
      </c>
      <c r="D430" s="1" t="str">
        <f t="shared" si="2"/>
        <v>Private Equity</v>
      </c>
      <c r="E430" s="1" t="s">
        <v>43</v>
      </c>
      <c r="F430" s="1" t="s">
        <v>43</v>
      </c>
      <c r="G430" s="1" t="s">
        <v>750</v>
      </c>
      <c r="H430" s="1" t="s">
        <v>131</v>
      </c>
      <c r="I430" s="1" t="s">
        <v>318</v>
      </c>
      <c r="J430" s="1" t="s">
        <v>121</v>
      </c>
      <c r="K430" s="1" t="s">
        <v>122</v>
      </c>
      <c r="L430" s="1" t="s">
        <v>127</v>
      </c>
      <c r="N430" s="6">
        <v>2012.0</v>
      </c>
      <c r="O430" s="10">
        <f t="shared" ref="O430:R430" si="460">IFERROR(V430*INDEX($AH$4:$AH$8,MATCH($AA430,$AG$4:$AG$8,0)),"")</f>
        <v>100000000</v>
      </c>
      <c r="P430" s="10">
        <f t="shared" si="460"/>
        <v>126048478</v>
      </c>
      <c r="Q430" s="10">
        <f t="shared" si="460"/>
        <v>159742386</v>
      </c>
      <c r="R430" s="10">
        <f t="shared" si="460"/>
        <v>38772423</v>
      </c>
      <c r="S430" s="10">
        <f t="shared" si="4"/>
        <v>198514809</v>
      </c>
      <c r="T430" s="10">
        <f t="shared" si="5"/>
        <v>13840189</v>
      </c>
      <c r="U430" s="8">
        <v>46112.0</v>
      </c>
      <c r="V430" s="7">
        <v>1.0E8</v>
      </c>
      <c r="W430" s="7">
        <v>1.26048478E8</v>
      </c>
      <c r="X430" s="7">
        <v>1.59742386E8</v>
      </c>
      <c r="Y430" s="7">
        <v>3.8772423E7</v>
      </c>
      <c r="Z430" s="7">
        <v>1.3840189E7</v>
      </c>
      <c r="AA430" s="6" t="s">
        <v>52</v>
      </c>
      <c r="AB430" s="11" t="str">
        <f t="shared" si="6"/>
        <v>Include</v>
      </c>
      <c r="AC430" s="1">
        <f>S430/P430</f>
        <v>1.574908417</v>
      </c>
    </row>
    <row r="431" ht="15.0" customHeight="1">
      <c r="B431" s="6">
        <f t="shared" si="8"/>
        <v>429</v>
      </c>
      <c r="C431" s="1" t="s">
        <v>751</v>
      </c>
      <c r="D431" s="1" t="str">
        <f t="shared" si="2"/>
        <v>Private Equity</v>
      </c>
      <c r="E431" s="1" t="s">
        <v>43</v>
      </c>
      <c r="F431" s="1" t="s">
        <v>43</v>
      </c>
      <c r="G431" s="1" t="s">
        <v>751</v>
      </c>
      <c r="H431" s="1" t="s">
        <v>140</v>
      </c>
      <c r="I431" s="1" t="s">
        <v>318</v>
      </c>
      <c r="J431" s="1" t="s">
        <v>121</v>
      </c>
      <c r="K431" s="1" t="s">
        <v>122</v>
      </c>
      <c r="L431" s="1" t="s">
        <v>127</v>
      </c>
      <c r="N431" s="6">
        <v>2014.0</v>
      </c>
      <c r="O431" s="10">
        <f t="shared" ref="O431:R431" si="461">IFERROR(V431*INDEX($AH$4:$AH$8,MATCH($AA431,$AG$4:$AG$8,0)),"")</f>
        <v>115551000</v>
      </c>
      <c r="P431" s="10">
        <f t="shared" si="461"/>
        <v>109346812.8</v>
      </c>
      <c r="Q431" s="10">
        <f t="shared" si="461"/>
        <v>191468046.6</v>
      </c>
      <c r="R431" s="10">
        <f t="shared" si="461"/>
        <v>0</v>
      </c>
      <c r="S431" s="10">
        <f t="shared" si="4"/>
        <v>191468046.6</v>
      </c>
      <c r="T431" s="10">
        <f t="shared" si="5"/>
        <v>0</v>
      </c>
      <c r="U431" s="8">
        <v>45747.0</v>
      </c>
      <c r="V431" s="7">
        <v>1.0E8</v>
      </c>
      <c r="W431" s="7">
        <v>9.463078021E7</v>
      </c>
      <c r="X431" s="7">
        <v>1.6570003425E8</v>
      </c>
      <c r="Y431" s="7">
        <v>0.0</v>
      </c>
      <c r="Z431" s="7">
        <v>0.0</v>
      </c>
      <c r="AA431" s="6" t="s">
        <v>45</v>
      </c>
      <c r="AB431" s="11" t="str">
        <f t="shared" si="6"/>
        <v>Exclude</v>
      </c>
    </row>
    <row r="432" ht="15.0" customHeight="1">
      <c r="B432" s="6">
        <f t="shared" si="8"/>
        <v>430</v>
      </c>
      <c r="C432" s="1" t="s">
        <v>752</v>
      </c>
      <c r="D432" s="1" t="str">
        <f t="shared" si="2"/>
        <v>Private Equity</v>
      </c>
      <c r="E432" s="1" t="s">
        <v>43</v>
      </c>
      <c r="F432" s="1" t="s">
        <v>43</v>
      </c>
      <c r="G432" s="1" t="s">
        <v>752</v>
      </c>
      <c r="H432" s="1" t="s">
        <v>179</v>
      </c>
      <c r="I432" s="1" t="s">
        <v>318</v>
      </c>
      <c r="J432" s="1" t="s">
        <v>121</v>
      </c>
      <c r="K432" s="1" t="s">
        <v>122</v>
      </c>
      <c r="L432" s="1" t="s">
        <v>127</v>
      </c>
      <c r="N432" s="6">
        <v>2013.0</v>
      </c>
      <c r="O432" s="10">
        <f t="shared" ref="O432:R432" si="462">IFERROR(V432*INDEX($AH$4:$AH$8,MATCH($AA432,$AG$4:$AG$8,0)),"")</f>
        <v>84324095.86</v>
      </c>
      <c r="P432" s="10">
        <f t="shared" si="462"/>
        <v>83835366.57</v>
      </c>
      <c r="Q432" s="10">
        <f t="shared" si="462"/>
        <v>215259103.3</v>
      </c>
      <c r="R432" s="10">
        <f t="shared" si="462"/>
        <v>0</v>
      </c>
      <c r="S432" s="10">
        <f t="shared" si="4"/>
        <v>215259103.3</v>
      </c>
      <c r="T432" s="10">
        <f t="shared" si="5"/>
        <v>0</v>
      </c>
      <c r="U432" s="8">
        <v>45565.0</v>
      </c>
      <c r="V432" s="7">
        <v>6.3752936E7</v>
      </c>
      <c r="W432" s="7">
        <v>6.338343394E7</v>
      </c>
      <c r="X432" s="7">
        <v>1.6274588773E8</v>
      </c>
      <c r="Y432" s="7">
        <v>0.0</v>
      </c>
      <c r="Z432" s="7">
        <v>0.0</v>
      </c>
      <c r="AA432" s="6" t="s">
        <v>106</v>
      </c>
      <c r="AB432" s="11" t="str">
        <f t="shared" si="6"/>
        <v>Exclude</v>
      </c>
    </row>
    <row r="433" ht="15.0" customHeight="1">
      <c r="B433" s="6">
        <f t="shared" si="8"/>
        <v>431</v>
      </c>
      <c r="C433" s="1" t="s">
        <v>753</v>
      </c>
      <c r="D433" s="1" t="str">
        <f t="shared" si="2"/>
        <v>Private Equity</v>
      </c>
      <c r="E433" s="1" t="s">
        <v>43</v>
      </c>
      <c r="F433" s="1" t="s">
        <v>43</v>
      </c>
      <c r="G433" s="1" t="s">
        <v>753</v>
      </c>
      <c r="H433" s="1" t="s">
        <v>542</v>
      </c>
      <c r="I433" s="1" t="s">
        <v>318</v>
      </c>
      <c r="J433" s="1" t="s">
        <v>121</v>
      </c>
      <c r="K433" s="1" t="s">
        <v>122</v>
      </c>
      <c r="L433" s="1" t="s">
        <v>127</v>
      </c>
      <c r="N433" s="6">
        <v>2013.0</v>
      </c>
      <c r="O433" s="10">
        <f t="shared" ref="O433:R433" si="463">IFERROR(V433*INDEX($AH$4:$AH$8,MATCH($AA433,$AG$4:$AG$8,0)),"")</f>
        <v>100000000</v>
      </c>
      <c r="P433" s="10">
        <f t="shared" si="463"/>
        <v>125058295</v>
      </c>
      <c r="Q433" s="10">
        <f t="shared" si="463"/>
        <v>103464446</v>
      </c>
      <c r="R433" s="10">
        <f t="shared" si="463"/>
        <v>30357758</v>
      </c>
      <c r="S433" s="10">
        <f t="shared" si="4"/>
        <v>133822204</v>
      </c>
      <c r="T433" s="10">
        <f t="shared" si="5"/>
        <v>8397323</v>
      </c>
      <c r="U433" s="8">
        <v>46112.0</v>
      </c>
      <c r="V433" s="7">
        <v>1.0E8</v>
      </c>
      <c r="W433" s="7">
        <v>1.25058295E8</v>
      </c>
      <c r="X433" s="7">
        <v>1.03464446E8</v>
      </c>
      <c r="Y433" s="7">
        <v>3.0357758E7</v>
      </c>
      <c r="Z433" s="7">
        <v>8397323.0</v>
      </c>
      <c r="AA433" s="6" t="s">
        <v>52</v>
      </c>
      <c r="AB433" s="11" t="str">
        <f t="shared" si="6"/>
        <v>Include</v>
      </c>
      <c r="AC433" s="1">
        <f>S433/P433</f>
        <v>1.07007859</v>
      </c>
    </row>
    <row r="434" ht="15.0" customHeight="1">
      <c r="B434" s="6">
        <f t="shared" si="8"/>
        <v>432</v>
      </c>
      <c r="C434" s="1" t="s">
        <v>754</v>
      </c>
      <c r="D434" s="1" t="str">
        <f t="shared" si="2"/>
        <v>Private Equity</v>
      </c>
      <c r="E434" s="1" t="s">
        <v>43</v>
      </c>
      <c r="F434" s="1" t="s">
        <v>43</v>
      </c>
      <c r="G434" s="1" t="s">
        <v>754</v>
      </c>
      <c r="H434" s="1" t="s">
        <v>137</v>
      </c>
      <c r="I434" s="1" t="s">
        <v>318</v>
      </c>
      <c r="J434" s="1" t="s">
        <v>121</v>
      </c>
      <c r="K434" s="1" t="s">
        <v>122</v>
      </c>
      <c r="L434" s="1" t="s">
        <v>127</v>
      </c>
      <c r="N434" s="6">
        <v>2013.0</v>
      </c>
      <c r="O434" s="10">
        <f t="shared" ref="O434:R434" si="464">IFERROR(V434*INDEX($AH$4:$AH$8,MATCH($AA434,$AG$4:$AG$8,0)),"")</f>
        <v>99285238</v>
      </c>
      <c r="P434" s="10">
        <f t="shared" si="464"/>
        <v>98214642</v>
      </c>
      <c r="Q434" s="10">
        <f t="shared" si="464"/>
        <v>191554669</v>
      </c>
      <c r="R434" s="10">
        <f t="shared" si="464"/>
        <v>0</v>
      </c>
      <c r="S434" s="10">
        <f t="shared" si="4"/>
        <v>191554669</v>
      </c>
      <c r="T434" s="10">
        <f t="shared" si="5"/>
        <v>0</v>
      </c>
      <c r="U434" s="8">
        <v>45565.0</v>
      </c>
      <c r="V434" s="7">
        <v>9.9285238E7</v>
      </c>
      <c r="W434" s="7">
        <v>9.8214642E7</v>
      </c>
      <c r="X434" s="7">
        <v>1.9155466895E8</v>
      </c>
      <c r="Y434" s="7">
        <v>0.0</v>
      </c>
      <c r="Z434" s="7">
        <v>0.0</v>
      </c>
      <c r="AA434" s="6" t="s">
        <v>52</v>
      </c>
      <c r="AB434" s="11" t="str">
        <f t="shared" si="6"/>
        <v>Exclude</v>
      </c>
    </row>
    <row r="435" ht="15.0" customHeight="1">
      <c r="B435" s="6">
        <f t="shared" si="8"/>
        <v>433</v>
      </c>
      <c r="C435" s="1" t="s">
        <v>755</v>
      </c>
      <c r="D435" s="1" t="str">
        <f t="shared" si="2"/>
        <v>Private Equity</v>
      </c>
      <c r="E435" s="1" t="s">
        <v>43</v>
      </c>
      <c r="F435" s="1" t="s">
        <v>43</v>
      </c>
      <c r="G435" s="1" t="s">
        <v>755</v>
      </c>
      <c r="H435" s="1" t="s">
        <v>232</v>
      </c>
      <c r="I435" s="1" t="s">
        <v>318</v>
      </c>
      <c r="J435" s="1" t="s">
        <v>121</v>
      </c>
      <c r="K435" s="1" t="s">
        <v>122</v>
      </c>
      <c r="L435" s="1" t="s">
        <v>127</v>
      </c>
      <c r="N435" s="6">
        <v>2014.0</v>
      </c>
      <c r="O435" s="10">
        <f t="shared" ref="O435:R435" si="465">IFERROR(V435*INDEX($AH$4:$AH$8,MATCH($AA435,$AG$4:$AG$8,0)),"")</f>
        <v>100000000</v>
      </c>
      <c r="P435" s="10">
        <f t="shared" si="465"/>
        <v>112250000</v>
      </c>
      <c r="Q435" s="10">
        <f t="shared" si="465"/>
        <v>213807830.3</v>
      </c>
      <c r="R435" s="10">
        <f t="shared" si="465"/>
        <v>0</v>
      </c>
      <c r="S435" s="10">
        <f t="shared" si="4"/>
        <v>213807830.3</v>
      </c>
      <c r="T435" s="10">
        <f t="shared" si="5"/>
        <v>0</v>
      </c>
      <c r="U435" s="8">
        <v>45747.0</v>
      </c>
      <c r="V435" s="7">
        <v>1.0E8</v>
      </c>
      <c r="W435" s="7">
        <v>1.1225E8</v>
      </c>
      <c r="X435" s="7">
        <v>2.1380783031E8</v>
      </c>
      <c r="Y435" s="7">
        <v>0.0</v>
      </c>
      <c r="Z435" s="7">
        <v>0.0</v>
      </c>
      <c r="AA435" s="6" t="s">
        <v>52</v>
      </c>
      <c r="AB435" s="11" t="str">
        <f t="shared" si="6"/>
        <v>Exclude</v>
      </c>
    </row>
    <row r="436" ht="15.0" customHeight="1">
      <c r="B436" s="6">
        <f t="shared" si="8"/>
        <v>434</v>
      </c>
      <c r="C436" s="1" t="s">
        <v>756</v>
      </c>
      <c r="D436" s="1" t="str">
        <f t="shared" si="2"/>
        <v>Private Equity</v>
      </c>
      <c r="E436" s="1" t="s">
        <v>43</v>
      </c>
      <c r="F436" s="1" t="s">
        <v>43</v>
      </c>
      <c r="G436" s="1" t="s">
        <v>756</v>
      </c>
      <c r="H436" s="1" t="s">
        <v>176</v>
      </c>
      <c r="I436" s="1" t="s">
        <v>318</v>
      </c>
      <c r="J436" s="1" t="s">
        <v>121</v>
      </c>
      <c r="K436" s="1" t="s">
        <v>122</v>
      </c>
      <c r="L436" s="1" t="s">
        <v>555</v>
      </c>
      <c r="N436" s="6">
        <v>2012.0</v>
      </c>
      <c r="O436" s="10">
        <f t="shared" ref="O436:R436" si="466">IFERROR(V436*INDEX($AH$4:$AH$8,MATCH($AA436,$AG$4:$AG$8,0)),"")</f>
        <v>50000000</v>
      </c>
      <c r="P436" s="10">
        <f t="shared" si="466"/>
        <v>59085655.08</v>
      </c>
      <c r="Q436" s="10">
        <f t="shared" si="466"/>
        <v>115929166.9</v>
      </c>
      <c r="R436" s="10">
        <f t="shared" si="466"/>
        <v>0</v>
      </c>
      <c r="S436" s="10">
        <f t="shared" si="4"/>
        <v>115929166.9</v>
      </c>
      <c r="T436" s="10">
        <f t="shared" si="5"/>
        <v>0.05</v>
      </c>
      <c r="U436" s="8">
        <v>45709.0</v>
      </c>
      <c r="V436" s="7">
        <v>5.0E7</v>
      </c>
      <c r="W436" s="7">
        <v>5.908565508E7</v>
      </c>
      <c r="X436" s="7">
        <v>1.1592916694E8</v>
      </c>
      <c r="Y436" s="7">
        <v>0.0</v>
      </c>
      <c r="Z436" s="7">
        <v>0.05</v>
      </c>
      <c r="AA436" s="6" t="s">
        <v>52</v>
      </c>
      <c r="AB436" s="11" t="str">
        <f t="shared" si="6"/>
        <v>Exclude</v>
      </c>
    </row>
    <row r="437" ht="15.0" customHeight="1">
      <c r="B437" s="6">
        <f t="shared" si="8"/>
        <v>435</v>
      </c>
      <c r="C437" s="1" t="s">
        <v>757</v>
      </c>
      <c r="D437" s="1" t="str">
        <f t="shared" si="2"/>
        <v>VC &amp; Growth</v>
      </c>
      <c r="E437" s="1" t="s">
        <v>270</v>
      </c>
      <c r="F437" s="1" t="s">
        <v>43</v>
      </c>
      <c r="G437" s="1" t="s">
        <v>757</v>
      </c>
      <c r="H437" s="1" t="s">
        <v>131</v>
      </c>
      <c r="I437" s="1" t="s">
        <v>318</v>
      </c>
      <c r="J437" s="1" t="s">
        <v>126</v>
      </c>
      <c r="K437" s="1" t="s">
        <v>126</v>
      </c>
      <c r="L437" s="1" t="s">
        <v>126</v>
      </c>
      <c r="N437" s="6">
        <v>2013.0</v>
      </c>
      <c r="O437" s="10">
        <f t="shared" ref="O437:R437" si="467">IFERROR(V437*INDEX($AH$4:$AH$8,MATCH($AA437,$AG$4:$AG$8,0)),"")</f>
        <v>75000000</v>
      </c>
      <c r="P437" s="10">
        <f t="shared" si="467"/>
        <v>79660995</v>
      </c>
      <c r="Q437" s="10">
        <f t="shared" si="467"/>
        <v>24613664</v>
      </c>
      <c r="R437" s="10">
        <f t="shared" si="467"/>
        <v>38020807</v>
      </c>
      <c r="S437" s="10">
        <f t="shared" si="4"/>
        <v>62634471</v>
      </c>
      <c r="T437" s="10">
        <f t="shared" si="5"/>
        <v>-6</v>
      </c>
      <c r="U437" s="8">
        <v>46112.0</v>
      </c>
      <c r="V437" s="7">
        <v>7.5E7</v>
      </c>
      <c r="W437" s="7">
        <v>7.9660995E7</v>
      </c>
      <c r="X437" s="7">
        <v>2.4613664E7</v>
      </c>
      <c r="Y437" s="7">
        <v>3.8020807E7</v>
      </c>
      <c r="Z437" s="7">
        <v>-6.0</v>
      </c>
      <c r="AA437" s="6" t="s">
        <v>52</v>
      </c>
      <c r="AB437" s="11" t="str">
        <f t="shared" si="6"/>
        <v>Include</v>
      </c>
      <c r="AC437" s="1">
        <f>S437/P437</f>
        <v>0.7862627249</v>
      </c>
    </row>
    <row r="438" ht="15.0" customHeight="1">
      <c r="B438" s="6">
        <f t="shared" si="8"/>
        <v>436</v>
      </c>
      <c r="C438" s="1" t="s">
        <v>758</v>
      </c>
      <c r="D438" s="1" t="str">
        <f t="shared" si="2"/>
        <v>Private Equity</v>
      </c>
      <c r="E438" s="1" t="s">
        <v>43</v>
      </c>
      <c r="F438" s="1" t="s">
        <v>43</v>
      </c>
      <c r="G438" s="1" t="s">
        <v>758</v>
      </c>
      <c r="H438" s="1" t="s">
        <v>736</v>
      </c>
      <c r="I438" s="1" t="s">
        <v>318</v>
      </c>
      <c r="J438" s="1" t="s">
        <v>121</v>
      </c>
      <c r="K438" s="1" t="s">
        <v>661</v>
      </c>
      <c r="L438" s="1" t="s">
        <v>165</v>
      </c>
      <c r="N438" s="6">
        <v>2013.0</v>
      </c>
      <c r="O438" s="10">
        <f t="shared" ref="O438:R438" si="468">IFERROR(V438*INDEX($AH$4:$AH$8,MATCH($AA438,$AG$4:$AG$8,0)),"")</f>
        <v>25000000</v>
      </c>
      <c r="P438" s="10">
        <f t="shared" si="468"/>
        <v>21218942</v>
      </c>
      <c r="Q438" s="10">
        <f t="shared" si="468"/>
        <v>34161713.58</v>
      </c>
      <c r="R438" s="10">
        <f t="shared" si="468"/>
        <v>0</v>
      </c>
      <c r="S438" s="10">
        <f t="shared" si="4"/>
        <v>34161713.58</v>
      </c>
      <c r="T438" s="10">
        <f t="shared" si="5"/>
        <v>0</v>
      </c>
      <c r="U438" s="8">
        <v>45646.0</v>
      </c>
      <c r="V438" s="7">
        <v>2.5E7</v>
      </c>
      <c r="W438" s="7">
        <v>2.1218942E7</v>
      </c>
      <c r="X438" s="7">
        <v>3.416171358E7</v>
      </c>
      <c r="Y438" s="7">
        <v>0.0</v>
      </c>
      <c r="Z438" s="7">
        <v>0.0</v>
      </c>
      <c r="AA438" s="6" t="s">
        <v>52</v>
      </c>
      <c r="AB438" s="11" t="str">
        <f t="shared" si="6"/>
        <v>Exclude</v>
      </c>
    </row>
    <row r="439" ht="15.0" customHeight="1">
      <c r="B439" s="6">
        <f t="shared" si="8"/>
        <v>437</v>
      </c>
      <c r="C439" s="1" t="s">
        <v>759</v>
      </c>
      <c r="D439" s="1" t="str">
        <f t="shared" si="2"/>
        <v>Private Equity</v>
      </c>
      <c r="E439" s="1" t="s">
        <v>43</v>
      </c>
      <c r="F439" s="1" t="s">
        <v>43</v>
      </c>
      <c r="G439" s="1" t="s">
        <v>759</v>
      </c>
      <c r="H439" s="1" t="s">
        <v>91</v>
      </c>
      <c r="I439" s="1" t="s">
        <v>318</v>
      </c>
      <c r="J439" s="1" t="s">
        <v>121</v>
      </c>
      <c r="K439" s="1" t="s">
        <v>122</v>
      </c>
      <c r="L439" s="1" t="s">
        <v>180</v>
      </c>
      <c r="N439" s="6">
        <v>2013.0</v>
      </c>
      <c r="O439" s="10">
        <f t="shared" ref="O439:R439" si="469">IFERROR(V439*INDEX($AH$4:$AH$8,MATCH($AA439,$AG$4:$AG$8,0)),"")</f>
        <v>220000000</v>
      </c>
      <c r="P439" s="10">
        <f t="shared" si="469"/>
        <v>218263382.9</v>
      </c>
      <c r="Q439" s="10">
        <f t="shared" si="469"/>
        <v>303437661</v>
      </c>
      <c r="R439" s="10">
        <f t="shared" si="469"/>
        <v>0</v>
      </c>
      <c r="S439" s="10">
        <f t="shared" si="4"/>
        <v>303437661</v>
      </c>
      <c r="T439" s="10">
        <f t="shared" si="5"/>
        <v>0.03</v>
      </c>
      <c r="U439" s="8">
        <v>45565.0</v>
      </c>
      <c r="V439" s="7">
        <v>2.2E8</v>
      </c>
      <c r="W439" s="7">
        <v>2.1826338285E8</v>
      </c>
      <c r="X439" s="7">
        <v>3.0343766098E8</v>
      </c>
      <c r="Y439" s="7">
        <v>0.0</v>
      </c>
      <c r="Z439" s="7">
        <v>0.03</v>
      </c>
      <c r="AA439" s="6" t="s">
        <v>52</v>
      </c>
      <c r="AB439" s="11" t="str">
        <f t="shared" si="6"/>
        <v>Exclude</v>
      </c>
    </row>
    <row r="440" ht="15.0" customHeight="1">
      <c r="B440" s="6">
        <f t="shared" si="8"/>
        <v>438</v>
      </c>
      <c r="C440" s="1" t="s">
        <v>760</v>
      </c>
      <c r="D440" s="1" t="str">
        <f t="shared" si="2"/>
        <v>Private Equity</v>
      </c>
      <c r="E440" s="1" t="s">
        <v>43</v>
      </c>
      <c r="F440" s="1" t="s">
        <v>43</v>
      </c>
      <c r="G440" s="1" t="s">
        <v>760</v>
      </c>
      <c r="H440" s="1" t="s">
        <v>182</v>
      </c>
      <c r="I440" s="1" t="s">
        <v>318</v>
      </c>
      <c r="J440" s="1" t="s">
        <v>121</v>
      </c>
      <c r="K440" s="1" t="s">
        <v>122</v>
      </c>
      <c r="L440" s="1" t="s">
        <v>127</v>
      </c>
      <c r="N440" s="6">
        <v>2013.0</v>
      </c>
      <c r="O440" s="10">
        <f t="shared" ref="O440:R440" si="470">IFERROR(V440*INDEX($AH$4:$AH$8,MATCH($AA440,$AG$4:$AG$8,0)),"")</f>
        <v>150000000</v>
      </c>
      <c r="P440" s="10">
        <f t="shared" si="470"/>
        <v>194491259</v>
      </c>
      <c r="Q440" s="10">
        <f t="shared" si="470"/>
        <v>158017265</v>
      </c>
      <c r="R440" s="10">
        <f t="shared" si="470"/>
        <v>47259337</v>
      </c>
      <c r="S440" s="10">
        <f t="shared" si="4"/>
        <v>205276602</v>
      </c>
      <c r="T440" s="10">
        <f t="shared" si="5"/>
        <v>5716339</v>
      </c>
      <c r="U440" s="8">
        <v>46112.0</v>
      </c>
      <c r="V440" s="7">
        <v>1.5E8</v>
      </c>
      <c r="W440" s="7">
        <v>1.94491259E8</v>
      </c>
      <c r="X440" s="7">
        <v>1.58017265E8</v>
      </c>
      <c r="Y440" s="7">
        <v>4.7259337E7</v>
      </c>
      <c r="Z440" s="7">
        <v>5716339.0</v>
      </c>
      <c r="AA440" s="6" t="s">
        <v>52</v>
      </c>
      <c r="AB440" s="11" t="str">
        <f t="shared" si="6"/>
        <v>Include</v>
      </c>
      <c r="AC440" s="1">
        <f>S440/P440</f>
        <v>1.055454127</v>
      </c>
    </row>
    <row r="441" ht="15.0" customHeight="1">
      <c r="B441" s="6">
        <f t="shared" si="8"/>
        <v>439</v>
      </c>
      <c r="C441" s="1" t="s">
        <v>761</v>
      </c>
      <c r="D441" s="1" t="str">
        <f t="shared" si="2"/>
        <v>Private Equity</v>
      </c>
      <c r="E441" s="1" t="s">
        <v>43</v>
      </c>
      <c r="F441" s="1" t="s">
        <v>43</v>
      </c>
      <c r="G441" s="1" t="s">
        <v>761</v>
      </c>
      <c r="H441" s="1" t="s">
        <v>762</v>
      </c>
      <c r="I441" s="1" t="s">
        <v>318</v>
      </c>
      <c r="J441" s="1" t="s">
        <v>121</v>
      </c>
      <c r="K441" s="1" t="s">
        <v>122</v>
      </c>
      <c r="L441" s="1" t="s">
        <v>127</v>
      </c>
      <c r="N441" s="6">
        <v>2013.0</v>
      </c>
      <c r="O441" s="10">
        <f t="shared" ref="O441:R441" si="471">IFERROR(V441*INDEX($AH$4:$AH$8,MATCH($AA441,$AG$4:$AG$8,0)),"")</f>
        <v>100000000</v>
      </c>
      <c r="P441" s="10">
        <f t="shared" si="471"/>
        <v>103168428</v>
      </c>
      <c r="Q441" s="10">
        <f t="shared" si="471"/>
        <v>134434454.6</v>
      </c>
      <c r="R441" s="10">
        <f t="shared" si="471"/>
        <v>0</v>
      </c>
      <c r="S441" s="10">
        <f t="shared" si="4"/>
        <v>134434454.6</v>
      </c>
      <c r="T441" s="10">
        <f t="shared" si="5"/>
        <v>0</v>
      </c>
      <c r="U441" s="8">
        <v>45747.0</v>
      </c>
      <c r="V441" s="7">
        <v>1.0E8</v>
      </c>
      <c r="W441" s="7">
        <v>1.0316842796E8</v>
      </c>
      <c r="X441" s="7">
        <v>1.344344546E8</v>
      </c>
      <c r="Y441" s="7">
        <v>0.0</v>
      </c>
      <c r="Z441" s="7">
        <v>0.0</v>
      </c>
      <c r="AA441" s="6" t="s">
        <v>52</v>
      </c>
      <c r="AB441" s="11" t="str">
        <f t="shared" si="6"/>
        <v>Exclude</v>
      </c>
    </row>
    <row r="442" ht="15.0" customHeight="1">
      <c r="B442" s="6">
        <f t="shared" si="8"/>
        <v>440</v>
      </c>
      <c r="C442" s="1" t="s">
        <v>763</v>
      </c>
      <c r="D442" s="1" t="str">
        <f t="shared" si="2"/>
        <v>Private Equity</v>
      </c>
      <c r="E442" s="1" t="s">
        <v>43</v>
      </c>
      <c r="F442" s="1" t="s">
        <v>43</v>
      </c>
      <c r="G442" s="1" t="s">
        <v>763</v>
      </c>
      <c r="H442" s="1" t="s">
        <v>562</v>
      </c>
      <c r="I442" s="1" t="s">
        <v>318</v>
      </c>
      <c r="J442" s="1" t="s">
        <v>121</v>
      </c>
      <c r="K442" s="1" t="s">
        <v>122</v>
      </c>
      <c r="L442" s="1" t="s">
        <v>127</v>
      </c>
      <c r="N442" s="6">
        <v>2012.0</v>
      </c>
      <c r="O442" s="10">
        <f t="shared" ref="O442:R442" si="472">IFERROR(V442*INDEX($AH$4:$AH$8,MATCH($AA442,$AG$4:$AG$8,0)),"")</f>
        <v>75000000</v>
      </c>
      <c r="P442" s="10">
        <f t="shared" si="472"/>
        <v>82751933.69</v>
      </c>
      <c r="Q442" s="10">
        <f t="shared" si="472"/>
        <v>149563911.8</v>
      </c>
      <c r="R442" s="10">
        <f t="shared" si="472"/>
        <v>0</v>
      </c>
      <c r="S442" s="10">
        <f t="shared" si="4"/>
        <v>149563911.8</v>
      </c>
      <c r="T442" s="10">
        <f t="shared" si="5"/>
        <v>0</v>
      </c>
      <c r="U442" s="8">
        <v>45747.0</v>
      </c>
      <c r="V442" s="7">
        <v>7.5E7</v>
      </c>
      <c r="W442" s="7">
        <v>8.275193369E7</v>
      </c>
      <c r="X442" s="7">
        <v>1.4956391178E8</v>
      </c>
      <c r="Y442" s="7">
        <v>0.0</v>
      </c>
      <c r="Z442" s="7">
        <v>0.0</v>
      </c>
      <c r="AA442" s="6" t="s">
        <v>52</v>
      </c>
      <c r="AB442" s="11" t="str">
        <f t="shared" si="6"/>
        <v>Exclude</v>
      </c>
    </row>
    <row r="443" ht="15.0" customHeight="1">
      <c r="B443" s="6">
        <f t="shared" si="8"/>
        <v>441</v>
      </c>
      <c r="C443" s="1" t="s">
        <v>764</v>
      </c>
      <c r="D443" s="1" t="str">
        <f t="shared" si="2"/>
        <v>Private Equity</v>
      </c>
      <c r="E443" s="1" t="s">
        <v>43</v>
      </c>
      <c r="F443" s="1" t="s">
        <v>43</v>
      </c>
      <c r="G443" s="1" t="s">
        <v>765</v>
      </c>
      <c r="H443" s="1" t="s">
        <v>766</v>
      </c>
      <c r="I443" s="1" t="s">
        <v>318</v>
      </c>
      <c r="J443" s="1" t="s">
        <v>164</v>
      </c>
      <c r="K443" s="1" t="s">
        <v>661</v>
      </c>
      <c r="L443" s="1" t="s">
        <v>729</v>
      </c>
      <c r="N443" s="6">
        <v>2013.0</v>
      </c>
      <c r="O443" s="10">
        <f t="shared" ref="O443:R443" si="473">IFERROR(V443*INDEX($AH$4:$AH$8,MATCH($AA443,$AG$4:$AG$8,0)),"")</f>
        <v>100000000</v>
      </c>
      <c r="P443" s="10">
        <f t="shared" si="473"/>
        <v>101313056</v>
      </c>
      <c r="Q443" s="10">
        <f t="shared" si="473"/>
        <v>22378294</v>
      </c>
      <c r="R443" s="10">
        <f t="shared" si="473"/>
        <v>37556904</v>
      </c>
      <c r="S443" s="10">
        <f t="shared" si="4"/>
        <v>59935198</v>
      </c>
      <c r="T443" s="10">
        <f t="shared" si="5"/>
        <v>19788</v>
      </c>
      <c r="U443" s="8">
        <v>46112.0</v>
      </c>
      <c r="V443" s="7">
        <v>1.0E8</v>
      </c>
      <c r="W443" s="7">
        <v>1.01313056E8</v>
      </c>
      <c r="X443" s="7">
        <v>2.2378294E7</v>
      </c>
      <c r="Y443" s="7">
        <v>3.7556904E7</v>
      </c>
      <c r="Z443" s="7">
        <v>19788.0</v>
      </c>
      <c r="AA443" s="6" t="s">
        <v>52</v>
      </c>
      <c r="AB443" s="11" t="str">
        <f t="shared" si="6"/>
        <v>Include</v>
      </c>
      <c r="AC443" s="1">
        <f t="shared" ref="AC443:AC446" si="475">S443/P443</f>
        <v>0.5915841488</v>
      </c>
    </row>
    <row r="444" ht="15.0" customHeight="1">
      <c r="B444" s="6">
        <f t="shared" si="8"/>
        <v>442</v>
      </c>
      <c r="C444" s="1" t="s">
        <v>767</v>
      </c>
      <c r="D444" s="1" t="str">
        <f t="shared" si="2"/>
        <v>Private Equity</v>
      </c>
      <c r="E444" s="1" t="s">
        <v>43</v>
      </c>
      <c r="F444" s="1" t="s">
        <v>43</v>
      </c>
      <c r="G444" s="1" t="s">
        <v>767</v>
      </c>
      <c r="H444" s="1" t="s">
        <v>163</v>
      </c>
      <c r="I444" s="1" t="s">
        <v>318</v>
      </c>
      <c r="J444" s="1" t="s">
        <v>164</v>
      </c>
      <c r="K444" s="1" t="s">
        <v>661</v>
      </c>
      <c r="L444" s="1" t="s">
        <v>729</v>
      </c>
      <c r="N444" s="6">
        <v>2014.0</v>
      </c>
      <c r="O444" s="10">
        <f t="shared" ref="O444:R444" si="474">IFERROR(V444*INDEX($AH$4:$AH$8,MATCH($AA444,$AG$4:$AG$8,0)),"")</f>
        <v>100000000</v>
      </c>
      <c r="P444" s="10">
        <f t="shared" si="474"/>
        <v>101614891</v>
      </c>
      <c r="Q444" s="10">
        <f t="shared" si="474"/>
        <v>147453454</v>
      </c>
      <c r="R444" s="10">
        <f t="shared" si="474"/>
        <v>22276761</v>
      </c>
      <c r="S444" s="10">
        <f t="shared" si="4"/>
        <v>169730215</v>
      </c>
      <c r="T444" s="10">
        <f t="shared" si="5"/>
        <v>3157967</v>
      </c>
      <c r="U444" s="8">
        <v>46112.0</v>
      </c>
      <c r="V444" s="7">
        <v>1.0E8</v>
      </c>
      <c r="W444" s="7">
        <v>1.01614891E8</v>
      </c>
      <c r="X444" s="7">
        <v>1.47453454E8</v>
      </c>
      <c r="Y444" s="7">
        <v>2.2276761E7</v>
      </c>
      <c r="Z444" s="7">
        <v>3157967.0</v>
      </c>
      <c r="AA444" s="6" t="s">
        <v>52</v>
      </c>
      <c r="AB444" s="11" t="str">
        <f t="shared" si="6"/>
        <v>Include</v>
      </c>
      <c r="AC444" s="1">
        <f t="shared" si="475"/>
        <v>1.670328171</v>
      </c>
    </row>
    <row r="445" ht="15.0" customHeight="1">
      <c r="B445" s="6">
        <f t="shared" si="8"/>
        <v>443</v>
      </c>
      <c r="C445" s="1" t="s">
        <v>768</v>
      </c>
      <c r="D445" s="1" t="str">
        <f t="shared" si="2"/>
        <v>Private Equity</v>
      </c>
      <c r="E445" s="1" t="s">
        <v>43</v>
      </c>
      <c r="F445" s="1" t="s">
        <v>43</v>
      </c>
      <c r="G445" s="1" t="s">
        <v>768</v>
      </c>
      <c r="H445" s="1" t="s">
        <v>37</v>
      </c>
      <c r="I445" s="1" t="s">
        <v>318</v>
      </c>
      <c r="J445" s="1" t="s">
        <v>121</v>
      </c>
      <c r="K445" s="1" t="s">
        <v>274</v>
      </c>
      <c r="L445" s="1" t="s">
        <v>204</v>
      </c>
      <c r="N445" s="6">
        <v>2014.0</v>
      </c>
      <c r="O445" s="10">
        <f t="shared" ref="O445:R445" si="476">IFERROR(V445*INDEX($AH$4:$AH$8,MATCH($AA445,$AG$4:$AG$8,0)),"")</f>
        <v>150000000</v>
      </c>
      <c r="P445" s="10">
        <f t="shared" si="476"/>
        <v>113379270.2</v>
      </c>
      <c r="Q445" s="10">
        <f t="shared" si="476"/>
        <v>154660527.4</v>
      </c>
      <c r="R445" s="10">
        <f t="shared" si="476"/>
        <v>12663836</v>
      </c>
      <c r="S445" s="10">
        <f t="shared" si="4"/>
        <v>167324363.4</v>
      </c>
      <c r="T445" s="10">
        <f t="shared" si="5"/>
        <v>14360370.46</v>
      </c>
      <c r="U445" s="8">
        <v>46112.0</v>
      </c>
      <c r="V445" s="7">
        <v>1.5E8</v>
      </c>
      <c r="W445" s="7">
        <v>1.1337927023E8</v>
      </c>
      <c r="X445" s="7">
        <v>1.5466052736E8</v>
      </c>
      <c r="Y445" s="7">
        <v>1.2663836E7</v>
      </c>
      <c r="Z445" s="7">
        <v>1.436037046E7</v>
      </c>
      <c r="AA445" s="6" t="s">
        <v>52</v>
      </c>
      <c r="AB445" s="11" t="str">
        <f t="shared" si="6"/>
        <v>Include</v>
      </c>
      <c r="AC445" s="1">
        <f t="shared" si="475"/>
        <v>1.475793265</v>
      </c>
    </row>
    <row r="446" ht="15.0" customHeight="1">
      <c r="B446" s="6">
        <f t="shared" si="8"/>
        <v>444</v>
      </c>
      <c r="C446" s="1" t="s">
        <v>769</v>
      </c>
      <c r="D446" s="1" t="str">
        <f t="shared" si="2"/>
        <v>VC &amp; Growth</v>
      </c>
      <c r="E446" s="1" t="s">
        <v>270</v>
      </c>
      <c r="F446" s="1" t="s">
        <v>43</v>
      </c>
      <c r="G446" s="1" t="s">
        <v>769</v>
      </c>
      <c r="H446" s="1" t="s">
        <v>722</v>
      </c>
      <c r="I446" s="1" t="s">
        <v>318</v>
      </c>
      <c r="J446" s="1" t="s">
        <v>126</v>
      </c>
      <c r="K446" s="1" t="s">
        <v>126</v>
      </c>
      <c r="L446" s="1" t="s">
        <v>126</v>
      </c>
      <c r="N446" s="6">
        <v>2014.0</v>
      </c>
      <c r="O446" s="10">
        <f t="shared" ref="O446:R446" si="477">IFERROR(V446*INDEX($AH$4:$AH$8,MATCH($AA446,$AG$4:$AG$8,0)),"")</f>
        <v>75000000</v>
      </c>
      <c r="P446" s="10">
        <f t="shared" si="477"/>
        <v>79956137</v>
      </c>
      <c r="Q446" s="10">
        <f t="shared" si="477"/>
        <v>44016916</v>
      </c>
      <c r="R446" s="10">
        <f t="shared" si="477"/>
        <v>33012231</v>
      </c>
      <c r="S446" s="10">
        <f t="shared" si="4"/>
        <v>77029147</v>
      </c>
      <c r="T446" s="10">
        <f t="shared" si="5"/>
        <v>1524715</v>
      </c>
      <c r="U446" s="8">
        <v>46112.0</v>
      </c>
      <c r="V446" s="7">
        <v>7.5E7</v>
      </c>
      <c r="W446" s="7">
        <v>7.9956137E7</v>
      </c>
      <c r="X446" s="7">
        <v>4.4016916E7</v>
      </c>
      <c r="Y446" s="7">
        <v>3.3012231E7</v>
      </c>
      <c r="Z446" s="7">
        <v>1524715.0</v>
      </c>
      <c r="AA446" s="6" t="s">
        <v>52</v>
      </c>
      <c r="AB446" s="11" t="str">
        <f t="shared" si="6"/>
        <v>Include</v>
      </c>
      <c r="AC446" s="1">
        <f t="shared" si="475"/>
        <v>0.9633925536</v>
      </c>
    </row>
    <row r="447" ht="15.0" customHeight="1">
      <c r="B447" s="6">
        <f t="shared" si="8"/>
        <v>445</v>
      </c>
      <c r="C447" s="1" t="s">
        <v>770</v>
      </c>
      <c r="D447" s="1" t="str">
        <f t="shared" si="2"/>
        <v>Private Equity</v>
      </c>
      <c r="E447" s="1" t="s">
        <v>43</v>
      </c>
      <c r="F447" s="1" t="s">
        <v>43</v>
      </c>
      <c r="G447" s="1" t="s">
        <v>770</v>
      </c>
      <c r="H447" s="1" t="s">
        <v>185</v>
      </c>
      <c r="I447" s="1" t="s">
        <v>318</v>
      </c>
      <c r="J447" s="1" t="s">
        <v>121</v>
      </c>
      <c r="K447" s="1" t="s">
        <v>122</v>
      </c>
      <c r="L447" s="1" t="s">
        <v>127</v>
      </c>
      <c r="N447" s="6">
        <v>2015.0</v>
      </c>
      <c r="O447" s="10">
        <f t="shared" ref="O447:R447" si="478">IFERROR(V447*INDEX($AH$4:$AH$8,MATCH($AA447,$AG$4:$AG$8,0)),"")</f>
        <v>100000000</v>
      </c>
      <c r="P447" s="10">
        <f t="shared" si="478"/>
        <v>110566987.4</v>
      </c>
      <c r="Q447" s="10">
        <f t="shared" si="478"/>
        <v>186726043.8</v>
      </c>
      <c r="R447" s="10">
        <f t="shared" si="478"/>
        <v>0</v>
      </c>
      <c r="S447" s="10">
        <f t="shared" si="4"/>
        <v>186726043.8</v>
      </c>
      <c r="T447" s="10">
        <f t="shared" si="5"/>
        <v>-0.01</v>
      </c>
      <c r="U447" s="8">
        <v>44561.0</v>
      </c>
      <c r="V447" s="7">
        <v>1.0E8</v>
      </c>
      <c r="W447" s="7">
        <v>1.105669874E8</v>
      </c>
      <c r="X447" s="7">
        <v>1.8672604379E8</v>
      </c>
      <c r="Y447" s="7">
        <v>0.0</v>
      </c>
      <c r="Z447" s="7">
        <v>-0.01</v>
      </c>
      <c r="AA447" s="6" t="s">
        <v>52</v>
      </c>
      <c r="AB447" s="11" t="str">
        <f t="shared" si="6"/>
        <v>Exclude</v>
      </c>
    </row>
    <row r="448" ht="15.0" customHeight="1">
      <c r="B448" s="6">
        <f t="shared" si="8"/>
        <v>446</v>
      </c>
      <c r="C448" s="1" t="s">
        <v>771</v>
      </c>
      <c r="D448" s="1" t="str">
        <f t="shared" si="2"/>
        <v>Private Equity</v>
      </c>
      <c r="E448" s="1" t="s">
        <v>43</v>
      </c>
      <c r="F448" s="1" t="s">
        <v>43</v>
      </c>
      <c r="G448" s="1" t="s">
        <v>771</v>
      </c>
      <c r="H448" s="1" t="s">
        <v>125</v>
      </c>
      <c r="I448" s="1" t="s">
        <v>318</v>
      </c>
      <c r="J448" s="1" t="s">
        <v>121</v>
      </c>
      <c r="K448" s="1" t="s">
        <v>122</v>
      </c>
      <c r="L448" s="1" t="s">
        <v>127</v>
      </c>
      <c r="N448" s="6">
        <v>2014.0</v>
      </c>
      <c r="O448" s="10">
        <f t="shared" ref="O448:R448" si="479">IFERROR(V448*INDEX($AH$4:$AH$8,MATCH($AA448,$AG$4:$AG$8,0)),"")</f>
        <v>173326500</v>
      </c>
      <c r="P448" s="10">
        <f t="shared" si="479"/>
        <v>160320347.2</v>
      </c>
      <c r="Q448" s="10">
        <f t="shared" si="479"/>
        <v>300628470.9</v>
      </c>
      <c r="R448" s="10">
        <f t="shared" si="479"/>
        <v>0</v>
      </c>
      <c r="S448" s="10">
        <f t="shared" si="4"/>
        <v>300628470.9</v>
      </c>
      <c r="T448" s="10">
        <f t="shared" si="5"/>
        <v>-0.0115551</v>
      </c>
      <c r="U448" s="8">
        <v>45747.0</v>
      </c>
      <c r="V448" s="7">
        <v>1.5E8</v>
      </c>
      <c r="W448" s="7">
        <v>1.3874423176E8</v>
      </c>
      <c r="X448" s="7">
        <v>2.6016951034E8</v>
      </c>
      <c r="Y448" s="7">
        <v>0.0</v>
      </c>
      <c r="Z448" s="7">
        <v>-0.01</v>
      </c>
      <c r="AA448" s="6" t="s">
        <v>45</v>
      </c>
      <c r="AB448" s="11" t="str">
        <f t="shared" si="6"/>
        <v>Exclude</v>
      </c>
    </row>
    <row r="449" ht="15.0" customHeight="1">
      <c r="B449" s="6">
        <f t="shared" si="8"/>
        <v>447</v>
      </c>
      <c r="C449" s="1" t="s">
        <v>772</v>
      </c>
      <c r="D449" s="1" t="str">
        <f t="shared" si="2"/>
        <v>VC &amp; Growth</v>
      </c>
      <c r="E449" s="1" t="s">
        <v>270</v>
      </c>
      <c r="F449" s="1" t="s">
        <v>43</v>
      </c>
      <c r="G449" s="1" t="s">
        <v>772</v>
      </c>
      <c r="H449" s="1" t="s">
        <v>618</v>
      </c>
      <c r="I449" s="1" t="s">
        <v>318</v>
      </c>
      <c r="J449" s="1" t="s">
        <v>150</v>
      </c>
      <c r="K449" s="1" t="s">
        <v>150</v>
      </c>
      <c r="L449" s="1" t="s">
        <v>470</v>
      </c>
      <c r="N449" s="6">
        <v>2015.0</v>
      </c>
      <c r="O449" s="10">
        <f t="shared" ref="O449:R449" si="480">IFERROR(V449*INDEX($AH$4:$AH$8,MATCH($AA449,$AG$4:$AG$8,0)),"")</f>
        <v>100000000</v>
      </c>
      <c r="P449" s="10">
        <f t="shared" si="480"/>
        <v>88380620.65</v>
      </c>
      <c r="Q449" s="10">
        <f t="shared" si="480"/>
        <v>39970288.91</v>
      </c>
      <c r="R449" s="10">
        <f t="shared" si="480"/>
        <v>165385439</v>
      </c>
      <c r="S449" s="10">
        <f t="shared" si="4"/>
        <v>205355727.9</v>
      </c>
      <c r="T449" s="10">
        <f t="shared" si="5"/>
        <v>11619379.35</v>
      </c>
      <c r="U449" s="8">
        <v>46112.0</v>
      </c>
      <c r="V449" s="7">
        <v>1.0E8</v>
      </c>
      <c r="W449" s="7">
        <v>8.838062065E7</v>
      </c>
      <c r="X449" s="7">
        <v>3.997028891E7</v>
      </c>
      <c r="Y449" s="7">
        <v>1.65385439E8</v>
      </c>
      <c r="Z449" s="7">
        <v>1.161937935E7</v>
      </c>
      <c r="AA449" s="6" t="s">
        <v>52</v>
      </c>
      <c r="AB449" s="11" t="str">
        <f t="shared" si="6"/>
        <v>Include</v>
      </c>
      <c r="AC449" s="1">
        <f t="shared" ref="AC449:AC468" si="482">S449/P449</f>
        <v>2.32353797</v>
      </c>
    </row>
    <row r="450" ht="15.0" customHeight="1">
      <c r="B450" s="6">
        <f t="shared" si="8"/>
        <v>448</v>
      </c>
      <c r="C450" s="1" t="s">
        <v>773</v>
      </c>
      <c r="D450" s="1" t="str">
        <f t="shared" si="2"/>
        <v>Private Equity</v>
      </c>
      <c r="E450" s="1" t="s">
        <v>43</v>
      </c>
      <c r="F450" s="1" t="s">
        <v>43</v>
      </c>
      <c r="G450" s="1" t="s">
        <v>773</v>
      </c>
      <c r="H450" s="1" t="s">
        <v>774</v>
      </c>
      <c r="I450" s="1" t="s">
        <v>318</v>
      </c>
      <c r="J450" s="1" t="s">
        <v>164</v>
      </c>
      <c r="K450" s="1" t="s">
        <v>92</v>
      </c>
      <c r="L450" s="1" t="s">
        <v>573</v>
      </c>
      <c r="N450" s="6">
        <v>2015.0</v>
      </c>
      <c r="O450" s="10">
        <f t="shared" ref="O450:R450" si="481">IFERROR(V450*INDEX($AH$4:$AH$8,MATCH($AA450,$AG$4:$AG$8,0)),"")</f>
        <v>100000000</v>
      </c>
      <c r="P450" s="10">
        <f t="shared" si="481"/>
        <v>99998572.28</v>
      </c>
      <c r="Q450" s="10">
        <f t="shared" si="481"/>
        <v>103815784.7</v>
      </c>
      <c r="R450" s="10">
        <f t="shared" si="481"/>
        <v>17214207</v>
      </c>
      <c r="S450" s="10">
        <f t="shared" si="4"/>
        <v>121029991.7</v>
      </c>
      <c r="T450" s="10">
        <f t="shared" si="5"/>
        <v>0</v>
      </c>
      <c r="U450" s="8">
        <v>46112.0</v>
      </c>
      <c r="V450" s="7">
        <v>1.0E8</v>
      </c>
      <c r="W450" s="7">
        <v>9.999857228E7</v>
      </c>
      <c r="X450" s="7">
        <v>1.0381578466E8</v>
      </c>
      <c r="Y450" s="7">
        <v>1.7214207E7</v>
      </c>
      <c r="Z450" s="7">
        <v>0.0</v>
      </c>
      <c r="AA450" s="6" t="s">
        <v>52</v>
      </c>
      <c r="AB450" s="11" t="str">
        <f t="shared" si="6"/>
        <v>Include</v>
      </c>
      <c r="AC450" s="1">
        <f t="shared" si="482"/>
        <v>1.210317197</v>
      </c>
    </row>
    <row r="451" ht="15.0" customHeight="1">
      <c r="B451" s="6">
        <f t="shared" si="8"/>
        <v>449</v>
      </c>
      <c r="C451" s="1" t="s">
        <v>775</v>
      </c>
      <c r="D451" s="1" t="str">
        <f t="shared" si="2"/>
        <v>Private Equity</v>
      </c>
      <c r="E451" s="1" t="s">
        <v>43</v>
      </c>
      <c r="F451" s="1" t="s">
        <v>43</v>
      </c>
      <c r="G451" s="1" t="s">
        <v>775</v>
      </c>
      <c r="H451" s="1" t="s">
        <v>776</v>
      </c>
      <c r="I451" s="1" t="s">
        <v>318</v>
      </c>
      <c r="J451" s="1" t="s">
        <v>121</v>
      </c>
      <c r="K451" s="1" t="s">
        <v>122</v>
      </c>
      <c r="L451" s="1" t="s">
        <v>127</v>
      </c>
      <c r="N451" s="6">
        <v>2014.0</v>
      </c>
      <c r="O451" s="10">
        <f t="shared" ref="O451:R451" si="483">IFERROR(V451*INDEX($AH$4:$AH$8,MATCH($AA451,$AG$4:$AG$8,0)),"")</f>
        <v>100000000</v>
      </c>
      <c r="P451" s="10">
        <f t="shared" si="483"/>
        <v>103374739.6</v>
      </c>
      <c r="Q451" s="10">
        <f t="shared" si="483"/>
        <v>123813662.7</v>
      </c>
      <c r="R451" s="10">
        <f t="shared" si="483"/>
        <v>53608073</v>
      </c>
      <c r="S451" s="10">
        <f t="shared" si="4"/>
        <v>177421735.7</v>
      </c>
      <c r="T451" s="10">
        <f t="shared" si="5"/>
        <v>3944657.34</v>
      </c>
      <c r="U451" s="8">
        <v>46112.0</v>
      </c>
      <c r="V451" s="7">
        <v>1.0E8</v>
      </c>
      <c r="W451" s="7">
        <v>1.0337473958E8</v>
      </c>
      <c r="X451" s="7">
        <v>1.2381366271E8</v>
      </c>
      <c r="Y451" s="7">
        <v>5.3608073E7</v>
      </c>
      <c r="Z451" s="7">
        <v>3944657.34</v>
      </c>
      <c r="AA451" s="6" t="s">
        <v>52</v>
      </c>
      <c r="AB451" s="11" t="str">
        <f t="shared" si="6"/>
        <v>Include</v>
      </c>
      <c r="AC451" s="1">
        <f t="shared" si="482"/>
        <v>1.716296809</v>
      </c>
    </row>
    <row r="452" ht="15.0" customHeight="1">
      <c r="B452" s="6">
        <f t="shared" si="8"/>
        <v>450</v>
      </c>
      <c r="C452" s="1" t="s">
        <v>777</v>
      </c>
      <c r="D452" s="1" t="str">
        <f t="shared" si="2"/>
        <v>Private Equity</v>
      </c>
      <c r="E452" s="1" t="s">
        <v>43</v>
      </c>
      <c r="F452" s="1" t="s">
        <v>43</v>
      </c>
      <c r="G452" s="1" t="s">
        <v>777</v>
      </c>
      <c r="H452" s="1" t="s">
        <v>120</v>
      </c>
      <c r="I452" s="1" t="s">
        <v>318</v>
      </c>
      <c r="J452" s="1" t="s">
        <v>121</v>
      </c>
      <c r="K452" s="1" t="s">
        <v>274</v>
      </c>
      <c r="L452" s="1" t="s">
        <v>275</v>
      </c>
      <c r="N452" s="6">
        <v>2015.0</v>
      </c>
      <c r="O452" s="10">
        <f t="shared" ref="O452:R452" si="484">IFERROR(V452*INDEX($AH$4:$AH$8,MATCH($AA452,$AG$4:$AG$8,0)),"")</f>
        <v>100000000</v>
      </c>
      <c r="P452" s="10">
        <f t="shared" si="484"/>
        <v>58293710.55</v>
      </c>
      <c r="Q452" s="10">
        <f t="shared" si="484"/>
        <v>63396635.75</v>
      </c>
      <c r="R452" s="10">
        <f t="shared" si="484"/>
        <v>42925595</v>
      </c>
      <c r="S452" s="10">
        <f t="shared" si="4"/>
        <v>106322230.8</v>
      </c>
      <c r="T452" s="10">
        <f t="shared" si="5"/>
        <v>21706210.02</v>
      </c>
      <c r="U452" s="8">
        <v>46112.0</v>
      </c>
      <c r="V452" s="7">
        <v>1.0E8</v>
      </c>
      <c r="W452" s="7">
        <v>5.829371055E7</v>
      </c>
      <c r="X452" s="7">
        <v>6.339663575E7</v>
      </c>
      <c r="Y452" s="7">
        <v>4.2925595E7</v>
      </c>
      <c r="Z452" s="7">
        <v>2.170621002E7</v>
      </c>
      <c r="AA452" s="6" t="s">
        <v>52</v>
      </c>
      <c r="AB452" s="11" t="str">
        <f t="shared" si="6"/>
        <v>Include</v>
      </c>
      <c r="AC452" s="1">
        <f t="shared" si="482"/>
        <v>1.823905697</v>
      </c>
    </row>
    <row r="453" ht="15.0" customHeight="1">
      <c r="B453" s="6">
        <f t="shared" si="8"/>
        <v>451</v>
      </c>
      <c r="C453" s="1" t="s">
        <v>778</v>
      </c>
      <c r="D453" s="1" t="str">
        <f t="shared" si="2"/>
        <v>Private Equity</v>
      </c>
      <c r="E453" s="1" t="s">
        <v>43</v>
      </c>
      <c r="F453" s="1" t="s">
        <v>43</v>
      </c>
      <c r="G453" s="1" t="s">
        <v>778</v>
      </c>
      <c r="H453" s="1" t="s">
        <v>779</v>
      </c>
      <c r="I453" s="1" t="s">
        <v>318</v>
      </c>
      <c r="J453" s="1" t="s">
        <v>121</v>
      </c>
      <c r="K453" s="1" t="s">
        <v>122</v>
      </c>
      <c r="L453" s="1" t="s">
        <v>127</v>
      </c>
      <c r="N453" s="6">
        <v>2015.0</v>
      </c>
      <c r="O453" s="10">
        <f t="shared" ref="O453:R453" si="485">IFERROR(V453*INDEX($AH$4:$AH$8,MATCH($AA453,$AG$4:$AG$8,0)),"")</f>
        <v>75108150</v>
      </c>
      <c r="P453" s="10">
        <f t="shared" si="485"/>
        <v>79330385.82</v>
      </c>
      <c r="Q453" s="10">
        <f t="shared" si="485"/>
        <v>100717631.1</v>
      </c>
      <c r="R453" s="10">
        <f t="shared" si="485"/>
        <v>9226747.35</v>
      </c>
      <c r="S453" s="10">
        <f t="shared" si="4"/>
        <v>109944378.4</v>
      </c>
      <c r="T453" s="10">
        <f t="shared" si="5"/>
        <v>3834170.771</v>
      </c>
      <c r="U453" s="8">
        <v>46112.0</v>
      </c>
      <c r="V453" s="7">
        <v>6.5E7</v>
      </c>
      <c r="W453" s="7">
        <v>6.865400197E7</v>
      </c>
      <c r="X453" s="7">
        <v>8.716292468E7</v>
      </c>
      <c r="Y453" s="7">
        <v>7985000.0</v>
      </c>
      <c r="Z453" s="7">
        <v>3318163.21</v>
      </c>
      <c r="AA453" s="6" t="s">
        <v>45</v>
      </c>
      <c r="AB453" s="11" t="str">
        <f t="shared" si="6"/>
        <v>Include</v>
      </c>
      <c r="AC453" s="1">
        <f t="shared" si="482"/>
        <v>1.385905001</v>
      </c>
    </row>
    <row r="454" ht="15.0" customHeight="1">
      <c r="B454" s="6">
        <f t="shared" si="8"/>
        <v>452</v>
      </c>
      <c r="C454" s="1" t="s">
        <v>780</v>
      </c>
      <c r="D454" s="1" t="str">
        <f t="shared" si="2"/>
        <v>Private Equity</v>
      </c>
      <c r="E454" s="1" t="s">
        <v>43</v>
      </c>
      <c r="F454" s="1" t="s">
        <v>43</v>
      </c>
      <c r="G454" s="1" t="s">
        <v>780</v>
      </c>
      <c r="H454" s="1" t="s">
        <v>88</v>
      </c>
      <c r="I454" s="1" t="s">
        <v>318</v>
      </c>
      <c r="J454" s="1" t="s">
        <v>164</v>
      </c>
      <c r="K454" s="1" t="s">
        <v>164</v>
      </c>
      <c r="L454" s="1" t="s">
        <v>164</v>
      </c>
      <c r="N454" s="6">
        <v>2015.0</v>
      </c>
      <c r="O454" s="10">
        <f t="shared" ref="O454:R454" si="486">IFERROR(V454*INDEX($AH$4:$AH$8,MATCH($AA454,$AG$4:$AG$8,0)),"")</f>
        <v>57500000</v>
      </c>
      <c r="P454" s="10">
        <f t="shared" si="486"/>
        <v>90742125.23</v>
      </c>
      <c r="Q454" s="10">
        <f t="shared" si="486"/>
        <v>150768725</v>
      </c>
      <c r="R454" s="10">
        <f t="shared" si="486"/>
        <v>24804828</v>
      </c>
      <c r="S454" s="10">
        <f t="shared" si="4"/>
        <v>175573553</v>
      </c>
      <c r="T454" s="10">
        <f t="shared" si="5"/>
        <v>3393853.38</v>
      </c>
      <c r="U454" s="8">
        <v>46112.0</v>
      </c>
      <c r="V454" s="7">
        <v>5.75E7</v>
      </c>
      <c r="W454" s="7">
        <v>9.074212523E7</v>
      </c>
      <c r="X454" s="7">
        <v>1.5076872497E8</v>
      </c>
      <c r="Y454" s="7">
        <v>2.4804828E7</v>
      </c>
      <c r="Z454" s="7">
        <v>3393853.38</v>
      </c>
      <c r="AA454" s="6" t="s">
        <v>52</v>
      </c>
      <c r="AB454" s="11" t="str">
        <f t="shared" si="6"/>
        <v>Include</v>
      </c>
      <c r="AC454" s="1">
        <f t="shared" si="482"/>
        <v>1.934862695</v>
      </c>
    </row>
    <row r="455" ht="15.0" customHeight="1">
      <c r="B455" s="6">
        <f t="shared" si="8"/>
        <v>453</v>
      </c>
      <c r="C455" s="1" t="s">
        <v>781</v>
      </c>
      <c r="D455" s="1" t="str">
        <f t="shared" si="2"/>
        <v>Private Equity</v>
      </c>
      <c r="E455" s="1" t="s">
        <v>43</v>
      </c>
      <c r="F455" s="1" t="s">
        <v>43</v>
      </c>
      <c r="G455" s="1" t="s">
        <v>781</v>
      </c>
      <c r="H455" s="1" t="s">
        <v>739</v>
      </c>
      <c r="I455" s="1" t="s">
        <v>318</v>
      </c>
      <c r="J455" s="1" t="s">
        <v>121</v>
      </c>
      <c r="K455" s="1" t="s">
        <v>274</v>
      </c>
      <c r="L455" s="1" t="s">
        <v>275</v>
      </c>
      <c r="N455" s="6">
        <v>2014.0</v>
      </c>
      <c r="O455" s="10">
        <f t="shared" ref="O455:R455" si="487">IFERROR(V455*INDEX($AH$4:$AH$8,MATCH($AA455,$AG$4:$AG$8,0)),"")</f>
        <v>100000000</v>
      </c>
      <c r="P455" s="10">
        <f t="shared" si="487"/>
        <v>77899621.02</v>
      </c>
      <c r="Q455" s="10">
        <f t="shared" si="487"/>
        <v>100197695.5</v>
      </c>
      <c r="R455" s="10">
        <f t="shared" si="487"/>
        <v>29674653</v>
      </c>
      <c r="S455" s="10">
        <f t="shared" si="4"/>
        <v>129872348.5</v>
      </c>
      <c r="T455" s="10">
        <f t="shared" si="5"/>
        <v>30580847.44</v>
      </c>
      <c r="U455" s="8">
        <v>46112.0</v>
      </c>
      <c r="V455" s="7">
        <v>1.0E8</v>
      </c>
      <c r="W455" s="7">
        <v>7.789962102E7</v>
      </c>
      <c r="X455" s="7">
        <v>1.0019769551E8</v>
      </c>
      <c r="Y455" s="7">
        <v>2.9674653E7</v>
      </c>
      <c r="Z455" s="7">
        <v>3.058084744E7</v>
      </c>
      <c r="AA455" s="6" t="s">
        <v>52</v>
      </c>
      <c r="AB455" s="11" t="str">
        <f t="shared" si="6"/>
        <v>Include</v>
      </c>
      <c r="AC455" s="1">
        <f t="shared" si="482"/>
        <v>1.667175614</v>
      </c>
    </row>
    <row r="456" ht="15.0" customHeight="1">
      <c r="B456" s="6">
        <f t="shared" si="8"/>
        <v>454</v>
      </c>
      <c r="C456" s="1" t="s">
        <v>782</v>
      </c>
      <c r="D456" s="1" t="str">
        <f t="shared" si="2"/>
        <v>VC &amp; Growth</v>
      </c>
      <c r="E456" s="1" t="s">
        <v>270</v>
      </c>
      <c r="F456" s="1" t="s">
        <v>43</v>
      </c>
      <c r="G456" s="1" t="s">
        <v>782</v>
      </c>
      <c r="H456" s="1" t="s">
        <v>245</v>
      </c>
      <c r="I456" s="1" t="s">
        <v>318</v>
      </c>
      <c r="J456" s="1" t="s">
        <v>126</v>
      </c>
      <c r="K456" s="1" t="s">
        <v>126</v>
      </c>
      <c r="L456" s="1" t="s">
        <v>126</v>
      </c>
      <c r="N456" s="6">
        <v>2016.0</v>
      </c>
      <c r="O456" s="10">
        <f t="shared" ref="O456:R456" si="488">IFERROR(V456*INDEX($AH$4:$AH$8,MATCH($AA456,$AG$4:$AG$8,0)),"")</f>
        <v>100000000</v>
      </c>
      <c r="P456" s="10">
        <f t="shared" si="488"/>
        <v>117390000</v>
      </c>
      <c r="Q456" s="10">
        <f t="shared" si="488"/>
        <v>171815666</v>
      </c>
      <c r="R456" s="10">
        <f t="shared" si="488"/>
        <v>78454195</v>
      </c>
      <c r="S456" s="10">
        <f t="shared" si="4"/>
        <v>250269861</v>
      </c>
      <c r="T456" s="10">
        <f t="shared" si="5"/>
        <v>32610001</v>
      </c>
      <c r="U456" s="8">
        <v>46112.0</v>
      </c>
      <c r="V456" s="7">
        <v>1.0E8</v>
      </c>
      <c r="W456" s="7">
        <v>1.1739E8</v>
      </c>
      <c r="X456" s="7">
        <v>1.71815666E8</v>
      </c>
      <c r="Y456" s="7">
        <v>7.8454195E7</v>
      </c>
      <c r="Z456" s="7">
        <v>3.2610001E7</v>
      </c>
      <c r="AA456" s="6" t="s">
        <v>52</v>
      </c>
      <c r="AB456" s="11" t="str">
        <f t="shared" si="6"/>
        <v>Include</v>
      </c>
      <c r="AC456" s="1">
        <f t="shared" si="482"/>
        <v>2.131952134</v>
      </c>
    </row>
    <row r="457" ht="15.0" customHeight="1">
      <c r="B457" s="6">
        <f t="shared" si="8"/>
        <v>455</v>
      </c>
      <c r="C457" s="1" t="s">
        <v>783</v>
      </c>
      <c r="D457" s="1" t="str">
        <f t="shared" si="2"/>
        <v>VC &amp; Growth</v>
      </c>
      <c r="E457" s="1" t="s">
        <v>270</v>
      </c>
      <c r="F457" s="1" t="s">
        <v>43</v>
      </c>
      <c r="G457" s="1" t="s">
        <v>783</v>
      </c>
      <c r="H457" s="1" t="s">
        <v>245</v>
      </c>
      <c r="I457" s="1" t="s">
        <v>318</v>
      </c>
      <c r="J457" s="1" t="s">
        <v>126</v>
      </c>
      <c r="K457" s="1" t="s">
        <v>126</v>
      </c>
      <c r="L457" s="1" t="s">
        <v>126</v>
      </c>
      <c r="N457" s="6">
        <v>2015.0</v>
      </c>
      <c r="O457" s="10">
        <f t="shared" ref="O457:R457" si="489">IFERROR(V457*INDEX($AH$4:$AH$8,MATCH($AA457,$AG$4:$AG$8,0)),"")</f>
        <v>50000000</v>
      </c>
      <c r="P457" s="10">
        <f t="shared" si="489"/>
        <v>60041575</v>
      </c>
      <c r="Q457" s="10">
        <f t="shared" si="489"/>
        <v>104204886</v>
      </c>
      <c r="R457" s="10">
        <f t="shared" si="489"/>
        <v>68771678</v>
      </c>
      <c r="S457" s="10">
        <f t="shared" si="4"/>
        <v>172976564</v>
      </c>
      <c r="T457" s="10">
        <f t="shared" si="5"/>
        <v>14958425</v>
      </c>
      <c r="U457" s="8">
        <v>46112.0</v>
      </c>
      <c r="V457" s="7">
        <v>5.0E7</v>
      </c>
      <c r="W457" s="7">
        <v>6.0041575E7</v>
      </c>
      <c r="X457" s="7">
        <v>1.04204886E8</v>
      </c>
      <c r="Y457" s="7">
        <v>6.8771678E7</v>
      </c>
      <c r="Z457" s="7">
        <v>1.4958425E7</v>
      </c>
      <c r="AA457" s="6" t="s">
        <v>52</v>
      </c>
      <c r="AB457" s="11" t="str">
        <f t="shared" si="6"/>
        <v>Include</v>
      </c>
      <c r="AC457" s="1">
        <f t="shared" si="482"/>
        <v>2.880946478</v>
      </c>
    </row>
    <row r="458" ht="15.0" customHeight="1">
      <c r="B458" s="6">
        <f t="shared" si="8"/>
        <v>456</v>
      </c>
      <c r="C458" s="1" t="s">
        <v>784</v>
      </c>
      <c r="D458" s="1" t="str">
        <f t="shared" si="2"/>
        <v>Private Equity</v>
      </c>
      <c r="E458" s="1" t="s">
        <v>43</v>
      </c>
      <c r="F458" s="1" t="s">
        <v>43</v>
      </c>
      <c r="G458" s="1" t="s">
        <v>784</v>
      </c>
      <c r="H458" s="1" t="s">
        <v>223</v>
      </c>
      <c r="I458" s="1" t="s">
        <v>318</v>
      </c>
      <c r="J458" s="1" t="s">
        <v>164</v>
      </c>
      <c r="K458" s="1" t="s">
        <v>92</v>
      </c>
      <c r="L458" s="1" t="s">
        <v>93</v>
      </c>
      <c r="N458" s="6">
        <v>2015.0</v>
      </c>
      <c r="O458" s="10">
        <f t="shared" ref="O458:R458" si="490">IFERROR(V458*INDEX($AH$4:$AH$8,MATCH($AA458,$AG$4:$AG$8,0)),"")</f>
        <v>200000000</v>
      </c>
      <c r="P458" s="10">
        <f t="shared" si="490"/>
        <v>207441764.8</v>
      </c>
      <c r="Q458" s="10">
        <f t="shared" si="490"/>
        <v>359521617.9</v>
      </c>
      <c r="R458" s="10">
        <f t="shared" si="490"/>
        <v>167365249</v>
      </c>
      <c r="S458" s="10">
        <f t="shared" si="4"/>
        <v>526886866.9</v>
      </c>
      <c r="T458" s="10">
        <f t="shared" si="5"/>
        <v>25971066.84</v>
      </c>
      <c r="U458" s="8">
        <v>46112.0</v>
      </c>
      <c r="V458" s="7">
        <v>2.0E8</v>
      </c>
      <c r="W458" s="7">
        <v>2.0744176481E8</v>
      </c>
      <c r="X458" s="7">
        <v>3.595216179E8</v>
      </c>
      <c r="Y458" s="7">
        <v>1.67365249E8</v>
      </c>
      <c r="Z458" s="7">
        <v>2.597106684E7</v>
      </c>
      <c r="AA458" s="6" t="s">
        <v>52</v>
      </c>
      <c r="AB458" s="11" t="str">
        <f t="shared" si="6"/>
        <v>Include</v>
      </c>
      <c r="AC458" s="1">
        <f t="shared" si="482"/>
        <v>2.539926651</v>
      </c>
    </row>
    <row r="459" ht="15.0" customHeight="1">
      <c r="B459" s="6">
        <f t="shared" si="8"/>
        <v>457</v>
      </c>
      <c r="C459" s="1" t="s">
        <v>785</v>
      </c>
      <c r="D459" s="1" t="str">
        <f t="shared" si="2"/>
        <v>Private Equity</v>
      </c>
      <c r="E459" s="1" t="s">
        <v>43</v>
      </c>
      <c r="F459" s="1" t="s">
        <v>43</v>
      </c>
      <c r="G459" s="1" t="s">
        <v>785</v>
      </c>
      <c r="H459" s="1" t="s">
        <v>211</v>
      </c>
      <c r="I459" s="1" t="s">
        <v>318</v>
      </c>
      <c r="J459" s="1" t="s">
        <v>164</v>
      </c>
      <c r="K459" s="1" t="s">
        <v>164</v>
      </c>
      <c r="L459" s="1" t="s">
        <v>164</v>
      </c>
      <c r="N459" s="6">
        <v>2015.0</v>
      </c>
      <c r="O459" s="10">
        <f t="shared" ref="O459:R459" si="491">IFERROR(V459*INDEX($AH$4:$AH$8,MATCH($AA459,$AG$4:$AG$8,0)),"")</f>
        <v>74000000</v>
      </c>
      <c r="P459" s="10">
        <f t="shared" si="491"/>
        <v>88217900</v>
      </c>
      <c r="Q459" s="10">
        <f t="shared" si="491"/>
        <v>135381611</v>
      </c>
      <c r="R459" s="10">
        <f t="shared" si="491"/>
        <v>24352372</v>
      </c>
      <c r="S459" s="10">
        <f t="shared" si="4"/>
        <v>159733983</v>
      </c>
      <c r="T459" s="10">
        <f t="shared" si="5"/>
        <v>3731342</v>
      </c>
      <c r="U459" s="8">
        <v>46112.0</v>
      </c>
      <c r="V459" s="7">
        <v>7.4E7</v>
      </c>
      <c r="W459" s="7">
        <v>8.82179E7</v>
      </c>
      <c r="X459" s="7">
        <v>1.35381611E8</v>
      </c>
      <c r="Y459" s="7">
        <v>2.4352372E7</v>
      </c>
      <c r="Z459" s="7">
        <v>3731342.0</v>
      </c>
      <c r="AA459" s="6" t="s">
        <v>52</v>
      </c>
      <c r="AB459" s="11" t="str">
        <f t="shared" si="6"/>
        <v>Include</v>
      </c>
      <c r="AC459" s="1">
        <f t="shared" si="482"/>
        <v>1.810675418</v>
      </c>
    </row>
    <row r="460" ht="15.0" customHeight="1">
      <c r="B460" s="6">
        <f t="shared" si="8"/>
        <v>458</v>
      </c>
      <c r="C460" s="1" t="s">
        <v>786</v>
      </c>
      <c r="D460" s="1" t="str">
        <f t="shared" si="2"/>
        <v>Private Equity</v>
      </c>
      <c r="E460" s="1" t="s">
        <v>43</v>
      </c>
      <c r="F460" s="1" t="s">
        <v>43</v>
      </c>
      <c r="G460" s="1" t="s">
        <v>786</v>
      </c>
      <c r="H460" s="1" t="s">
        <v>232</v>
      </c>
      <c r="I460" s="1" t="s">
        <v>318</v>
      </c>
      <c r="J460" s="1" t="s">
        <v>121</v>
      </c>
      <c r="K460" s="1" t="s">
        <v>122</v>
      </c>
      <c r="L460" s="1" t="s">
        <v>127</v>
      </c>
      <c r="N460" s="6">
        <v>2016.0</v>
      </c>
      <c r="O460" s="10">
        <f t="shared" ref="O460:R460" si="492">IFERROR(V460*INDEX($AH$4:$AH$8,MATCH($AA460,$AG$4:$AG$8,0)),"")</f>
        <v>130000000</v>
      </c>
      <c r="P460" s="10">
        <f t="shared" si="492"/>
        <v>140088068</v>
      </c>
      <c r="Q460" s="10">
        <f t="shared" si="492"/>
        <v>376573698</v>
      </c>
      <c r="R460" s="10">
        <f t="shared" si="492"/>
        <v>88648298</v>
      </c>
      <c r="S460" s="10">
        <f t="shared" si="4"/>
        <v>465221996</v>
      </c>
      <c r="T460" s="10">
        <f t="shared" si="5"/>
        <v>19764310</v>
      </c>
      <c r="U460" s="8">
        <v>46112.0</v>
      </c>
      <c r="V460" s="7">
        <v>1.3E8</v>
      </c>
      <c r="W460" s="7">
        <v>1.40088068E8</v>
      </c>
      <c r="X460" s="7">
        <v>3.76573698E8</v>
      </c>
      <c r="Y460" s="7">
        <v>8.8648298E7</v>
      </c>
      <c r="Z460" s="7">
        <v>1.976431E7</v>
      </c>
      <c r="AA460" s="6" t="s">
        <v>52</v>
      </c>
      <c r="AB460" s="11" t="str">
        <f t="shared" si="6"/>
        <v>Include</v>
      </c>
      <c r="AC460" s="1">
        <f t="shared" si="482"/>
        <v>3.320925205</v>
      </c>
    </row>
    <row r="461" ht="15.0" customHeight="1">
      <c r="B461" s="6">
        <f t="shared" si="8"/>
        <v>459</v>
      </c>
      <c r="C461" s="1" t="s">
        <v>787</v>
      </c>
      <c r="D461" s="1" t="str">
        <f t="shared" si="2"/>
        <v>VC &amp; Growth</v>
      </c>
      <c r="E461" s="1" t="s">
        <v>270</v>
      </c>
      <c r="F461" s="1" t="s">
        <v>43</v>
      </c>
      <c r="G461" s="1" t="s">
        <v>787</v>
      </c>
      <c r="H461" s="1" t="s">
        <v>606</v>
      </c>
      <c r="I461" s="1" t="s">
        <v>318</v>
      </c>
      <c r="J461" s="1" t="s">
        <v>150</v>
      </c>
      <c r="K461" s="1" t="s">
        <v>150</v>
      </c>
      <c r="L461" s="1" t="s">
        <v>470</v>
      </c>
      <c r="N461" s="6">
        <v>2015.0</v>
      </c>
      <c r="O461" s="10">
        <f t="shared" ref="O461:R461" si="493">IFERROR(V461*INDEX($AH$4:$AH$8,MATCH($AA461,$AG$4:$AG$8,0)),"")</f>
        <v>100000000</v>
      </c>
      <c r="P461" s="10">
        <f t="shared" si="493"/>
        <v>132170890</v>
      </c>
      <c r="Q461" s="10">
        <f t="shared" si="493"/>
        <v>153230349</v>
      </c>
      <c r="R461" s="10">
        <f t="shared" si="493"/>
        <v>128708830</v>
      </c>
      <c r="S461" s="10">
        <f t="shared" si="4"/>
        <v>281939179</v>
      </c>
      <c r="T461" s="10">
        <f t="shared" si="5"/>
        <v>549777</v>
      </c>
      <c r="U461" s="8">
        <v>46112.0</v>
      </c>
      <c r="V461" s="7">
        <v>1.0E8</v>
      </c>
      <c r="W461" s="7">
        <v>1.3217089E8</v>
      </c>
      <c r="X461" s="7">
        <v>1.53230349E8</v>
      </c>
      <c r="Y461" s="7">
        <v>1.2870883E8</v>
      </c>
      <c r="Z461" s="7">
        <v>549777.0</v>
      </c>
      <c r="AA461" s="6" t="s">
        <v>52</v>
      </c>
      <c r="AB461" s="11" t="str">
        <f t="shared" si="6"/>
        <v>Include</v>
      </c>
      <c r="AC461" s="1">
        <f t="shared" si="482"/>
        <v>2.133141261</v>
      </c>
    </row>
    <row r="462" ht="15.0" customHeight="1">
      <c r="B462" s="6">
        <f t="shared" si="8"/>
        <v>460</v>
      </c>
      <c r="C462" s="1" t="s">
        <v>788</v>
      </c>
      <c r="D462" s="1" t="str">
        <f t="shared" si="2"/>
        <v>VC &amp; Growth</v>
      </c>
      <c r="E462" s="1" t="s">
        <v>270</v>
      </c>
      <c r="F462" s="1" t="s">
        <v>43</v>
      </c>
      <c r="G462" s="1" t="s">
        <v>789</v>
      </c>
      <c r="H462" s="1" t="s">
        <v>131</v>
      </c>
      <c r="I462" s="1" t="s">
        <v>318</v>
      </c>
      <c r="J462" s="1" t="s">
        <v>126</v>
      </c>
      <c r="K462" s="1" t="s">
        <v>126</v>
      </c>
      <c r="L462" s="1" t="s">
        <v>126</v>
      </c>
      <c r="N462" s="6">
        <v>2016.0</v>
      </c>
      <c r="O462" s="10">
        <f t="shared" ref="O462:R462" si="494">IFERROR(V462*INDEX($AH$4:$AH$8,MATCH($AA462,$AG$4:$AG$8,0)),"")</f>
        <v>100000000</v>
      </c>
      <c r="P462" s="10">
        <f t="shared" si="494"/>
        <v>115019781</v>
      </c>
      <c r="Q462" s="10">
        <f t="shared" si="494"/>
        <v>210947995</v>
      </c>
      <c r="R462" s="10">
        <f t="shared" si="494"/>
        <v>113966957</v>
      </c>
      <c r="S462" s="10">
        <f t="shared" si="4"/>
        <v>324914952</v>
      </c>
      <c r="T462" s="10">
        <f t="shared" si="5"/>
        <v>16056624</v>
      </c>
      <c r="U462" s="8">
        <v>46112.0</v>
      </c>
      <c r="V462" s="7">
        <v>1.0E8</v>
      </c>
      <c r="W462" s="7">
        <v>1.15019781E8</v>
      </c>
      <c r="X462" s="7">
        <v>2.10947995E8</v>
      </c>
      <c r="Y462" s="7">
        <v>1.13966957E8</v>
      </c>
      <c r="Z462" s="7">
        <v>1.6056624E7</v>
      </c>
      <c r="AA462" s="6" t="s">
        <v>52</v>
      </c>
      <c r="AB462" s="11" t="str">
        <f t="shared" si="6"/>
        <v>Include</v>
      </c>
      <c r="AC462" s="1">
        <f t="shared" si="482"/>
        <v>2.824861508</v>
      </c>
    </row>
    <row r="463" ht="15.0" customHeight="1">
      <c r="B463" s="6">
        <f t="shared" si="8"/>
        <v>461</v>
      </c>
      <c r="C463" s="1" t="s">
        <v>790</v>
      </c>
      <c r="D463" s="1" t="str">
        <f t="shared" si="2"/>
        <v>Private Equity</v>
      </c>
      <c r="E463" s="1" t="s">
        <v>43</v>
      </c>
      <c r="F463" s="1" t="s">
        <v>43</v>
      </c>
      <c r="G463" s="1" t="s">
        <v>790</v>
      </c>
      <c r="H463" s="1" t="s">
        <v>131</v>
      </c>
      <c r="I463" s="1" t="s">
        <v>318</v>
      </c>
      <c r="J463" s="1" t="s">
        <v>121</v>
      </c>
      <c r="K463" s="1" t="s">
        <v>122</v>
      </c>
      <c r="L463" s="1" t="s">
        <v>127</v>
      </c>
      <c r="N463" s="6">
        <v>2016.0</v>
      </c>
      <c r="O463" s="10">
        <f t="shared" ref="O463:R463" si="495">IFERROR(V463*INDEX($AH$4:$AH$8,MATCH($AA463,$AG$4:$AG$8,0)),"")</f>
        <v>100000000</v>
      </c>
      <c r="P463" s="10">
        <f t="shared" si="495"/>
        <v>118409961</v>
      </c>
      <c r="Q463" s="10">
        <f t="shared" si="495"/>
        <v>92648673</v>
      </c>
      <c r="R463" s="10">
        <f t="shared" si="495"/>
        <v>80741022</v>
      </c>
      <c r="S463" s="10">
        <f t="shared" si="4"/>
        <v>173389695</v>
      </c>
      <c r="T463" s="10">
        <f t="shared" si="5"/>
        <v>9296745</v>
      </c>
      <c r="U463" s="8">
        <v>46112.0</v>
      </c>
      <c r="V463" s="7">
        <v>1.0E8</v>
      </c>
      <c r="W463" s="7">
        <v>1.18409961E8</v>
      </c>
      <c r="X463" s="7">
        <v>9.2648673E7</v>
      </c>
      <c r="Y463" s="7">
        <v>8.0741022E7</v>
      </c>
      <c r="Z463" s="7">
        <v>9296745.0</v>
      </c>
      <c r="AA463" s="6" t="s">
        <v>52</v>
      </c>
      <c r="AB463" s="11" t="str">
        <f t="shared" si="6"/>
        <v>Include</v>
      </c>
      <c r="AC463" s="1">
        <f t="shared" si="482"/>
        <v>1.464316798</v>
      </c>
    </row>
    <row r="464" ht="15.0" customHeight="1">
      <c r="B464" s="6">
        <f t="shared" si="8"/>
        <v>462</v>
      </c>
      <c r="C464" s="1" t="s">
        <v>791</v>
      </c>
      <c r="D464" s="1" t="str">
        <f t="shared" si="2"/>
        <v>Private Equity</v>
      </c>
      <c r="E464" s="1" t="s">
        <v>43</v>
      </c>
      <c r="F464" s="1" t="s">
        <v>43</v>
      </c>
      <c r="G464" s="1" t="s">
        <v>791</v>
      </c>
      <c r="H464" s="1" t="s">
        <v>37</v>
      </c>
      <c r="I464" s="1" t="s">
        <v>318</v>
      </c>
      <c r="J464" s="1" t="s">
        <v>121</v>
      </c>
      <c r="K464" s="1" t="s">
        <v>274</v>
      </c>
      <c r="L464" s="1" t="s">
        <v>204</v>
      </c>
      <c r="N464" s="6">
        <v>2016.0</v>
      </c>
      <c r="O464" s="10">
        <f t="shared" ref="O464:R464" si="496">IFERROR(V464*INDEX($AH$4:$AH$8,MATCH($AA464,$AG$4:$AG$8,0)),"")</f>
        <v>250000000</v>
      </c>
      <c r="P464" s="10">
        <f t="shared" si="496"/>
        <v>197152445.7</v>
      </c>
      <c r="Q464" s="10">
        <f t="shared" si="496"/>
        <v>278568549.2</v>
      </c>
      <c r="R464" s="10">
        <f t="shared" si="496"/>
        <v>71810925</v>
      </c>
      <c r="S464" s="10">
        <f t="shared" si="4"/>
        <v>350379474.2</v>
      </c>
      <c r="T464" s="10">
        <f t="shared" si="5"/>
        <v>73029387.7</v>
      </c>
      <c r="U464" s="8">
        <v>46022.0</v>
      </c>
      <c r="V464" s="7">
        <v>2.5E8</v>
      </c>
      <c r="W464" s="7">
        <v>1.9715244572E8</v>
      </c>
      <c r="X464" s="7">
        <v>2.785685492E8</v>
      </c>
      <c r="Y464" s="7">
        <v>7.1810925E7</v>
      </c>
      <c r="Z464" s="7">
        <v>7.30293877E7</v>
      </c>
      <c r="AA464" s="6" t="s">
        <v>52</v>
      </c>
      <c r="AB464" s="11" t="str">
        <f t="shared" si="6"/>
        <v>Include</v>
      </c>
      <c r="AC464" s="1">
        <f t="shared" si="482"/>
        <v>1.777200749</v>
      </c>
    </row>
    <row r="465" ht="15.0" customHeight="1">
      <c r="B465" s="6">
        <f t="shared" si="8"/>
        <v>463</v>
      </c>
      <c r="C465" s="1" t="s">
        <v>792</v>
      </c>
      <c r="D465" s="1" t="str">
        <f t="shared" si="2"/>
        <v>Private Equity</v>
      </c>
      <c r="E465" s="1" t="s">
        <v>43</v>
      </c>
      <c r="F465" s="1" t="s">
        <v>43</v>
      </c>
      <c r="G465" s="1" t="s">
        <v>792</v>
      </c>
      <c r="H465" s="1" t="s">
        <v>776</v>
      </c>
      <c r="I465" s="1" t="s">
        <v>318</v>
      </c>
      <c r="J465" s="1" t="s">
        <v>121</v>
      </c>
      <c r="K465" s="1" t="s">
        <v>122</v>
      </c>
      <c r="L465" s="1" t="s">
        <v>127</v>
      </c>
      <c r="N465" s="6">
        <v>2017.0</v>
      </c>
      <c r="O465" s="10">
        <f t="shared" ref="O465:R465" si="497">IFERROR(V465*INDEX($AH$4:$AH$8,MATCH($AA465,$AG$4:$AG$8,0)),"")</f>
        <v>125000000</v>
      </c>
      <c r="P465" s="10">
        <f t="shared" si="497"/>
        <v>127713406.8</v>
      </c>
      <c r="Q465" s="10">
        <f t="shared" si="497"/>
        <v>232052723.7</v>
      </c>
      <c r="R465" s="10">
        <f t="shared" si="497"/>
        <v>67520043</v>
      </c>
      <c r="S465" s="10">
        <f t="shared" si="4"/>
        <v>299572766.7</v>
      </c>
      <c r="T465" s="10">
        <f t="shared" si="5"/>
        <v>6084379.04</v>
      </c>
      <c r="U465" s="8">
        <v>46112.0</v>
      </c>
      <c r="V465" s="7">
        <v>1.25E8</v>
      </c>
      <c r="W465" s="7">
        <v>1.2771340681E8</v>
      </c>
      <c r="X465" s="7">
        <v>2.320527237E8</v>
      </c>
      <c r="Y465" s="7">
        <v>6.7520043E7</v>
      </c>
      <c r="Z465" s="7">
        <v>6084379.04</v>
      </c>
      <c r="AA465" s="6" t="s">
        <v>52</v>
      </c>
      <c r="AB465" s="11" t="str">
        <f t="shared" si="6"/>
        <v>Include</v>
      </c>
      <c r="AC465" s="1">
        <f t="shared" si="482"/>
        <v>2.345664204</v>
      </c>
    </row>
    <row r="466" ht="15.0" customHeight="1">
      <c r="B466" s="6">
        <f t="shared" si="8"/>
        <v>464</v>
      </c>
      <c r="C466" s="1" t="s">
        <v>793</v>
      </c>
      <c r="D466" s="1" t="str">
        <f t="shared" si="2"/>
        <v>Private Equity</v>
      </c>
      <c r="E466" s="1" t="s">
        <v>43</v>
      </c>
      <c r="F466" s="1" t="s">
        <v>43</v>
      </c>
      <c r="G466" s="1" t="s">
        <v>794</v>
      </c>
      <c r="H466" s="1" t="s">
        <v>190</v>
      </c>
      <c r="I466" s="1" t="s">
        <v>318</v>
      </c>
      <c r="J466" s="1" t="s">
        <v>121</v>
      </c>
      <c r="K466" s="1" t="s">
        <v>122</v>
      </c>
      <c r="L466" s="1" t="s">
        <v>127</v>
      </c>
      <c r="N466" s="6">
        <v>2017.0</v>
      </c>
      <c r="O466" s="10">
        <f t="shared" ref="O466:R466" si="498">IFERROR(V466*INDEX($AH$4:$AH$8,MATCH($AA466,$AG$4:$AG$8,0)),"")</f>
        <v>90000000</v>
      </c>
      <c r="P466" s="10">
        <f t="shared" si="498"/>
        <v>97926975.68</v>
      </c>
      <c r="Q466" s="10">
        <f t="shared" si="498"/>
        <v>158550799.1</v>
      </c>
      <c r="R466" s="10">
        <f t="shared" si="498"/>
        <v>24314170</v>
      </c>
      <c r="S466" s="10">
        <f t="shared" si="4"/>
        <v>182864969.1</v>
      </c>
      <c r="T466" s="10">
        <f t="shared" si="5"/>
        <v>6776544.44</v>
      </c>
      <c r="U466" s="8">
        <v>46112.0</v>
      </c>
      <c r="V466" s="7">
        <v>9.0E7</v>
      </c>
      <c r="W466" s="7">
        <v>9.792697568E7</v>
      </c>
      <c r="X466" s="7">
        <v>1.5855079907E8</v>
      </c>
      <c r="Y466" s="7">
        <v>2.431417E7</v>
      </c>
      <c r="Z466" s="7">
        <v>6776544.44</v>
      </c>
      <c r="AA466" s="6" t="s">
        <v>52</v>
      </c>
      <c r="AB466" s="11" t="str">
        <f t="shared" si="6"/>
        <v>Include</v>
      </c>
      <c r="AC466" s="1">
        <f t="shared" si="482"/>
        <v>1.867360529</v>
      </c>
    </row>
    <row r="467" ht="15.0" customHeight="1">
      <c r="B467" s="6">
        <f t="shared" si="8"/>
        <v>465</v>
      </c>
      <c r="C467" s="1" t="s">
        <v>795</v>
      </c>
      <c r="D467" s="1" t="str">
        <f t="shared" si="2"/>
        <v>Private Equity</v>
      </c>
      <c r="E467" s="1" t="s">
        <v>43</v>
      </c>
      <c r="F467" s="1" t="s">
        <v>43</v>
      </c>
      <c r="G467" s="1" t="s">
        <v>795</v>
      </c>
      <c r="H467" s="1" t="s">
        <v>179</v>
      </c>
      <c r="I467" s="1" t="s">
        <v>318</v>
      </c>
      <c r="J467" s="1" t="s">
        <v>121</v>
      </c>
      <c r="K467" s="1" t="s">
        <v>122</v>
      </c>
      <c r="L467" s="1" t="s">
        <v>127</v>
      </c>
      <c r="N467" s="6">
        <v>2017.0</v>
      </c>
      <c r="O467" s="10">
        <f t="shared" ref="O467:R467" si="499">IFERROR(V467*INDEX($AH$4:$AH$8,MATCH($AA467,$AG$4:$AG$8,0)),"")</f>
        <v>125653650</v>
      </c>
      <c r="P467" s="10">
        <f t="shared" si="499"/>
        <v>111145486.1</v>
      </c>
      <c r="Q467" s="10">
        <f t="shared" si="499"/>
        <v>212960390</v>
      </c>
      <c r="R467" s="10">
        <f t="shared" si="499"/>
        <v>79810115.46</v>
      </c>
      <c r="S467" s="10">
        <f t="shared" si="4"/>
        <v>292770505.5</v>
      </c>
      <c r="T467" s="10">
        <f t="shared" si="5"/>
        <v>985518.6658</v>
      </c>
      <c r="U467" s="8">
        <v>46112.0</v>
      </c>
      <c r="V467" s="7">
        <v>9.5E7</v>
      </c>
      <c r="W467" s="7">
        <v>8.403115371E7</v>
      </c>
      <c r="X467" s="7">
        <v>1.6100795362E8</v>
      </c>
      <c r="Y467" s="7">
        <v>6.0340157E7</v>
      </c>
      <c r="Z467" s="7">
        <v>745097.92</v>
      </c>
      <c r="AA467" s="6" t="s">
        <v>106</v>
      </c>
      <c r="AB467" s="11" t="str">
        <f t="shared" si="6"/>
        <v>Include</v>
      </c>
      <c r="AC467" s="1">
        <f t="shared" si="482"/>
        <v>2.634119619</v>
      </c>
    </row>
    <row r="468" ht="15.0" customHeight="1">
      <c r="B468" s="6">
        <f t="shared" si="8"/>
        <v>466</v>
      </c>
      <c r="C468" s="1" t="s">
        <v>796</v>
      </c>
      <c r="D468" s="1" t="str">
        <f t="shared" si="2"/>
        <v>Private Equity</v>
      </c>
      <c r="E468" s="1" t="s">
        <v>43</v>
      </c>
      <c r="F468" s="1" t="s">
        <v>43</v>
      </c>
      <c r="G468" s="1" t="s">
        <v>796</v>
      </c>
      <c r="H468" s="1" t="s">
        <v>214</v>
      </c>
      <c r="I468" s="1" t="s">
        <v>318</v>
      </c>
      <c r="J468" s="1" t="s">
        <v>121</v>
      </c>
      <c r="K468" s="1" t="s">
        <v>122</v>
      </c>
      <c r="L468" s="1" t="s">
        <v>180</v>
      </c>
      <c r="N468" s="6">
        <v>2016.0</v>
      </c>
      <c r="O468" s="10">
        <f t="shared" ref="O468:R468" si="500">IFERROR(V468*INDEX($AH$4:$AH$8,MATCH($AA468,$AG$4:$AG$8,0)),"")</f>
        <v>300000000</v>
      </c>
      <c r="P468" s="10">
        <f t="shared" si="500"/>
        <v>313741806</v>
      </c>
      <c r="Q468" s="10">
        <f t="shared" si="500"/>
        <v>440926821.6</v>
      </c>
      <c r="R468" s="10">
        <f t="shared" si="500"/>
        <v>161239015</v>
      </c>
      <c r="S468" s="10">
        <f t="shared" si="4"/>
        <v>602165836.6</v>
      </c>
      <c r="T468" s="10">
        <f t="shared" si="5"/>
        <v>11765832.75</v>
      </c>
      <c r="U468" s="8">
        <v>46112.0</v>
      </c>
      <c r="V468" s="7">
        <v>3.0E8</v>
      </c>
      <c r="W468" s="7">
        <v>3.13741806E8</v>
      </c>
      <c r="X468" s="7">
        <v>4.4092682159E8</v>
      </c>
      <c r="Y468" s="7">
        <v>1.61239015E8</v>
      </c>
      <c r="Z468" s="7">
        <v>1.176583275E7</v>
      </c>
      <c r="AA468" s="6" t="s">
        <v>52</v>
      </c>
      <c r="AB468" s="11" t="str">
        <f t="shared" si="6"/>
        <v>Include</v>
      </c>
      <c r="AC468" s="1">
        <f t="shared" si="482"/>
        <v>1.919303788</v>
      </c>
    </row>
    <row r="469" ht="15.0" customHeight="1">
      <c r="B469" s="6">
        <f t="shared" si="8"/>
        <v>467</v>
      </c>
      <c r="C469" s="1" t="s">
        <v>797</v>
      </c>
      <c r="D469" s="1" t="str">
        <f t="shared" si="2"/>
        <v>Private Equity</v>
      </c>
      <c r="E469" s="1" t="s">
        <v>43</v>
      </c>
      <c r="F469" s="1" t="s">
        <v>43</v>
      </c>
      <c r="G469" s="1" t="s">
        <v>798</v>
      </c>
      <c r="H469" s="1" t="s">
        <v>129</v>
      </c>
      <c r="I469" s="1" t="s">
        <v>318</v>
      </c>
      <c r="J469" s="1" t="s">
        <v>121</v>
      </c>
      <c r="K469" s="1" t="s">
        <v>122</v>
      </c>
      <c r="L469" s="1" t="s">
        <v>180</v>
      </c>
      <c r="N469" s="6">
        <v>2016.0</v>
      </c>
      <c r="O469" s="10">
        <f t="shared" ref="O469:R469" si="501">IFERROR(V469*INDEX($AH$4:$AH$8,MATCH($AA469,$AG$4:$AG$8,0)),"")</f>
        <v>103995900</v>
      </c>
      <c r="P469" s="10">
        <f t="shared" si="501"/>
        <v>108440959.3</v>
      </c>
      <c r="Q469" s="10">
        <f t="shared" si="501"/>
        <v>116211049.1</v>
      </c>
      <c r="R469" s="10">
        <f t="shared" si="501"/>
        <v>0</v>
      </c>
      <c r="S469" s="10">
        <f t="shared" si="4"/>
        <v>116211049.1</v>
      </c>
      <c r="T469" s="10">
        <f t="shared" si="5"/>
        <v>0.2195469</v>
      </c>
      <c r="U469" s="8">
        <v>44139.0</v>
      </c>
      <c r="V469" s="7">
        <v>9.0E7</v>
      </c>
      <c r="W469" s="7">
        <v>9.384683761E7</v>
      </c>
      <c r="X469" s="7">
        <v>1.0057121889E8</v>
      </c>
      <c r="Y469" s="7">
        <v>0.0</v>
      </c>
      <c r="Z469" s="7">
        <v>0.19</v>
      </c>
      <c r="AA469" s="6" t="s">
        <v>45</v>
      </c>
      <c r="AB469" s="11" t="str">
        <f t="shared" si="6"/>
        <v>Exclude</v>
      </c>
    </row>
    <row r="470" ht="15.0" customHeight="1">
      <c r="B470" s="6">
        <f t="shared" si="8"/>
        <v>468</v>
      </c>
      <c r="C470" s="1" t="s">
        <v>799</v>
      </c>
      <c r="D470" s="1" t="str">
        <f t="shared" si="2"/>
        <v>Private Equity</v>
      </c>
      <c r="E470" s="1" t="s">
        <v>43</v>
      </c>
      <c r="F470" s="1" t="s">
        <v>43</v>
      </c>
      <c r="G470" s="1" t="s">
        <v>799</v>
      </c>
      <c r="H470" s="1" t="s">
        <v>125</v>
      </c>
      <c r="I470" s="1" t="s">
        <v>318</v>
      </c>
      <c r="J470" s="1" t="s">
        <v>121</v>
      </c>
      <c r="K470" s="1" t="s">
        <v>122</v>
      </c>
      <c r="L470" s="1" t="s">
        <v>123</v>
      </c>
      <c r="N470" s="6">
        <v>2016.0</v>
      </c>
      <c r="O470" s="10">
        <f t="shared" ref="O470:R470" si="502">IFERROR(V470*INDEX($AH$4:$AH$8,MATCH($AA470,$AG$4:$AG$8,0)),"")</f>
        <v>99200250</v>
      </c>
      <c r="P470" s="10">
        <f t="shared" si="502"/>
        <v>88976596.87</v>
      </c>
      <c r="Q470" s="10">
        <f t="shared" si="502"/>
        <v>304390453.7</v>
      </c>
      <c r="R470" s="10">
        <f t="shared" si="502"/>
        <v>0</v>
      </c>
      <c r="S470" s="10">
        <f t="shared" si="4"/>
        <v>304390453.7</v>
      </c>
      <c r="T470" s="10">
        <f t="shared" si="5"/>
        <v>0</v>
      </c>
      <c r="U470" s="8">
        <v>45747.0</v>
      </c>
      <c r="V470" s="7">
        <v>7.5E7</v>
      </c>
      <c r="W470" s="7">
        <v>6.727044302E7</v>
      </c>
      <c r="X470" s="7">
        <v>2.301333316E8</v>
      </c>
      <c r="Y470" s="7">
        <v>0.0</v>
      </c>
      <c r="Z470" s="7">
        <v>0.0</v>
      </c>
      <c r="AA470" s="6" t="s">
        <v>106</v>
      </c>
      <c r="AB470" s="11" t="str">
        <f t="shared" si="6"/>
        <v>Exclude</v>
      </c>
    </row>
    <row r="471" ht="15.0" customHeight="1">
      <c r="B471" s="6">
        <f t="shared" si="8"/>
        <v>469</v>
      </c>
      <c r="C471" s="1" t="s">
        <v>800</v>
      </c>
      <c r="D471" s="1" t="str">
        <f t="shared" si="2"/>
        <v>VC &amp; Growth</v>
      </c>
      <c r="E471" s="1" t="s">
        <v>270</v>
      </c>
      <c r="F471" s="1" t="s">
        <v>43</v>
      </c>
      <c r="G471" s="1" t="s">
        <v>800</v>
      </c>
      <c r="H471" s="1" t="s">
        <v>167</v>
      </c>
      <c r="I471" s="1" t="s">
        <v>318</v>
      </c>
      <c r="J471" s="1" t="s">
        <v>126</v>
      </c>
      <c r="K471" s="1" t="s">
        <v>126</v>
      </c>
      <c r="L471" s="1" t="s">
        <v>126</v>
      </c>
      <c r="N471" s="6">
        <v>2017.0</v>
      </c>
      <c r="O471" s="10">
        <f t="shared" ref="O471:R471" si="503">IFERROR(V471*INDEX($AH$4:$AH$8,MATCH($AA471,$AG$4:$AG$8,0)),"")</f>
        <v>200000000</v>
      </c>
      <c r="P471" s="10">
        <f t="shared" si="503"/>
        <v>197926973.7</v>
      </c>
      <c r="Q471" s="10">
        <f t="shared" si="503"/>
        <v>204043887.3</v>
      </c>
      <c r="R471" s="10">
        <f t="shared" si="503"/>
        <v>289271484</v>
      </c>
      <c r="S471" s="10">
        <f t="shared" si="4"/>
        <v>493315371.3</v>
      </c>
      <c r="T471" s="10">
        <f t="shared" si="5"/>
        <v>30641213.4</v>
      </c>
      <c r="U471" s="8">
        <v>46112.0</v>
      </c>
      <c r="V471" s="7">
        <v>2.0E8</v>
      </c>
      <c r="W471" s="7">
        <v>1.9792697373E8</v>
      </c>
      <c r="X471" s="7">
        <v>2.0404388733E8</v>
      </c>
      <c r="Y471" s="7">
        <v>2.89271484E8</v>
      </c>
      <c r="Z471" s="7">
        <v>3.06412134E7</v>
      </c>
      <c r="AA471" s="6" t="s">
        <v>52</v>
      </c>
      <c r="AB471" s="11" t="str">
        <f t="shared" si="6"/>
        <v>Include</v>
      </c>
      <c r="AC471" s="1">
        <f>S471/P471</f>
        <v>2.492411024</v>
      </c>
    </row>
    <row r="472" ht="15.0" customHeight="1">
      <c r="B472" s="6">
        <f t="shared" si="8"/>
        <v>470</v>
      </c>
      <c r="C472" s="1" t="s">
        <v>801</v>
      </c>
      <c r="D472" s="1" t="str">
        <f t="shared" si="2"/>
        <v>Private Equity</v>
      </c>
      <c r="E472" s="1" t="s">
        <v>43</v>
      </c>
      <c r="F472" s="1" t="s">
        <v>43</v>
      </c>
      <c r="G472" s="1" t="s">
        <v>801</v>
      </c>
      <c r="H472" s="1" t="s">
        <v>137</v>
      </c>
      <c r="I472" s="1" t="s">
        <v>318</v>
      </c>
      <c r="J472" s="1" t="s">
        <v>121</v>
      </c>
      <c r="K472" s="1" t="s">
        <v>122</v>
      </c>
      <c r="L472" s="1" t="s">
        <v>127</v>
      </c>
      <c r="N472" s="6">
        <v>2017.0</v>
      </c>
      <c r="O472" s="10">
        <f t="shared" ref="O472:R472" si="504">IFERROR(V472*INDEX($AH$4:$AH$8,MATCH($AA472,$AG$4:$AG$8,0)),"")</f>
        <v>200000000</v>
      </c>
      <c r="P472" s="10">
        <f t="shared" si="504"/>
        <v>204551722</v>
      </c>
      <c r="Q472" s="10">
        <f t="shared" si="504"/>
        <v>489571246.2</v>
      </c>
      <c r="R472" s="10">
        <f t="shared" si="504"/>
        <v>0</v>
      </c>
      <c r="S472" s="10">
        <f t="shared" si="4"/>
        <v>489571246.2</v>
      </c>
      <c r="T472" s="10">
        <f t="shared" si="5"/>
        <v>0.3053</v>
      </c>
      <c r="U472" s="8">
        <v>46024.0</v>
      </c>
      <c r="V472" s="7">
        <v>2.0E8</v>
      </c>
      <c r="W472" s="7">
        <v>2.04551722E8</v>
      </c>
      <c r="X472" s="7">
        <v>4.8957124619E8</v>
      </c>
      <c r="Y472" s="7">
        <v>0.0</v>
      </c>
      <c r="Z472" s="7">
        <v>0.3053</v>
      </c>
      <c r="AA472" s="6" t="s">
        <v>52</v>
      </c>
      <c r="AB472" s="11" t="str">
        <f t="shared" si="6"/>
        <v>Exclude</v>
      </c>
    </row>
    <row r="473" ht="15.0" customHeight="1">
      <c r="B473" s="6">
        <f t="shared" si="8"/>
        <v>471</v>
      </c>
      <c r="C473" s="1" t="s">
        <v>802</v>
      </c>
      <c r="D473" s="1" t="str">
        <f t="shared" si="2"/>
        <v>Private Equity</v>
      </c>
      <c r="E473" s="1" t="s">
        <v>43</v>
      </c>
      <c r="F473" s="1" t="s">
        <v>43</v>
      </c>
      <c r="G473" s="1" t="s">
        <v>802</v>
      </c>
      <c r="H473" s="1" t="s">
        <v>91</v>
      </c>
      <c r="I473" s="1" t="s">
        <v>318</v>
      </c>
      <c r="J473" s="1" t="s">
        <v>121</v>
      </c>
      <c r="K473" s="1" t="s">
        <v>122</v>
      </c>
      <c r="L473" s="1" t="s">
        <v>180</v>
      </c>
      <c r="N473" s="6">
        <v>2018.0</v>
      </c>
      <c r="O473" s="10">
        <f t="shared" ref="O473:R473" si="505">IFERROR(V473*INDEX($AH$4:$AH$8,MATCH($AA473,$AG$4:$AG$8,0)),"")</f>
        <v>225000000</v>
      </c>
      <c r="P473" s="10">
        <f t="shared" si="505"/>
        <v>239382264.3</v>
      </c>
      <c r="Q473" s="10">
        <f t="shared" si="505"/>
        <v>171829566.1</v>
      </c>
      <c r="R473" s="10">
        <f t="shared" si="505"/>
        <v>187658881</v>
      </c>
      <c r="S473" s="10">
        <f t="shared" si="4"/>
        <v>359488447.1</v>
      </c>
      <c r="T473" s="10">
        <f t="shared" si="5"/>
        <v>41001387.45</v>
      </c>
      <c r="U473" s="8">
        <v>46112.0</v>
      </c>
      <c r="V473" s="7">
        <v>2.25E8</v>
      </c>
      <c r="W473" s="7">
        <v>2.393822643E8</v>
      </c>
      <c r="X473" s="7">
        <v>1.7182956614E8</v>
      </c>
      <c r="Y473" s="7">
        <v>1.87658881E8</v>
      </c>
      <c r="Z473" s="7">
        <v>4.100138745E7</v>
      </c>
      <c r="AA473" s="6" t="s">
        <v>52</v>
      </c>
      <c r="AB473" s="11" t="str">
        <f t="shared" si="6"/>
        <v>Include</v>
      </c>
      <c r="AC473" s="1">
        <f t="shared" ref="AC473:AC480" si="507">S473/P473</f>
        <v>1.501733841</v>
      </c>
    </row>
    <row r="474" ht="15.0" customHeight="1">
      <c r="B474" s="6">
        <f t="shared" si="8"/>
        <v>472</v>
      </c>
      <c r="C474" s="1" t="s">
        <v>803</v>
      </c>
      <c r="D474" s="1" t="str">
        <f t="shared" si="2"/>
        <v>Private Equity</v>
      </c>
      <c r="E474" s="1" t="s">
        <v>43</v>
      </c>
      <c r="F474" s="1" t="s">
        <v>43</v>
      </c>
      <c r="G474" s="1" t="s">
        <v>803</v>
      </c>
      <c r="H474" s="1" t="s">
        <v>232</v>
      </c>
      <c r="I474" s="1" t="s">
        <v>318</v>
      </c>
      <c r="J474" s="1" t="s">
        <v>121</v>
      </c>
      <c r="K474" s="1" t="s">
        <v>122</v>
      </c>
      <c r="L474" s="1" t="s">
        <v>180</v>
      </c>
      <c r="N474" s="6">
        <v>2017.0</v>
      </c>
      <c r="O474" s="10">
        <f t="shared" ref="O474:R474" si="506">IFERROR(V474*INDEX($AH$4:$AH$8,MATCH($AA474,$AG$4:$AG$8,0)),"")</f>
        <v>125000000</v>
      </c>
      <c r="P474" s="10">
        <f t="shared" si="506"/>
        <v>146451943</v>
      </c>
      <c r="Q474" s="10">
        <f t="shared" si="506"/>
        <v>281843588.8</v>
      </c>
      <c r="R474" s="10">
        <f t="shared" si="506"/>
        <v>52237302</v>
      </c>
      <c r="S474" s="10">
        <f t="shared" si="4"/>
        <v>334080890.8</v>
      </c>
      <c r="T474" s="10">
        <f t="shared" si="5"/>
        <v>7719656.481</v>
      </c>
      <c r="U474" s="8">
        <v>46112.0</v>
      </c>
      <c r="V474" s="7">
        <v>1.25E8</v>
      </c>
      <c r="W474" s="7">
        <v>1.4645194301E8</v>
      </c>
      <c r="X474" s="7">
        <v>2.818435887868E8</v>
      </c>
      <c r="Y474" s="7">
        <v>5.2237302E7</v>
      </c>
      <c r="Z474" s="7">
        <v>7719656.4806</v>
      </c>
      <c r="AA474" s="6" t="s">
        <v>52</v>
      </c>
      <c r="AB474" s="11" t="str">
        <f t="shared" si="6"/>
        <v>Include</v>
      </c>
      <c r="AC474" s="1">
        <f t="shared" si="507"/>
        <v>2.281163936</v>
      </c>
    </row>
    <row r="475" ht="15.0" customHeight="1">
      <c r="B475" s="6">
        <f t="shared" si="8"/>
        <v>473</v>
      </c>
      <c r="C475" s="1" t="s">
        <v>804</v>
      </c>
      <c r="D475" s="1" t="str">
        <f t="shared" si="2"/>
        <v>VC &amp; Growth</v>
      </c>
      <c r="E475" s="1" t="s">
        <v>270</v>
      </c>
      <c r="F475" s="1" t="s">
        <v>43</v>
      </c>
      <c r="G475" s="1" t="s">
        <v>804</v>
      </c>
      <c r="H475" s="1" t="s">
        <v>208</v>
      </c>
      <c r="I475" s="1" t="s">
        <v>318</v>
      </c>
      <c r="J475" s="1" t="s">
        <v>126</v>
      </c>
      <c r="K475" s="1" t="s">
        <v>126</v>
      </c>
      <c r="L475" s="1" t="s">
        <v>126</v>
      </c>
      <c r="N475" s="6">
        <v>2017.0</v>
      </c>
      <c r="O475" s="10">
        <f t="shared" ref="O475:R475" si="508">IFERROR(V475*INDEX($AH$4:$AH$8,MATCH($AA475,$AG$4:$AG$8,0)),"")</f>
        <v>100000000</v>
      </c>
      <c r="P475" s="10">
        <f t="shared" si="508"/>
        <v>100000000</v>
      </c>
      <c r="Q475" s="10">
        <f t="shared" si="508"/>
        <v>68560298.01</v>
      </c>
      <c r="R475" s="10">
        <f t="shared" si="508"/>
        <v>131024609</v>
      </c>
      <c r="S475" s="10">
        <f t="shared" si="4"/>
        <v>199584907</v>
      </c>
      <c r="T475" s="10">
        <f t="shared" si="5"/>
        <v>14446794.84</v>
      </c>
      <c r="U475" s="8">
        <v>46112.0</v>
      </c>
      <c r="V475" s="7">
        <v>1.0E8</v>
      </c>
      <c r="W475" s="7">
        <v>1.0000000001E8</v>
      </c>
      <c r="X475" s="7">
        <v>6.856029801E7</v>
      </c>
      <c r="Y475" s="7">
        <v>1.31024609E8</v>
      </c>
      <c r="Z475" s="7">
        <v>1.444679484E7</v>
      </c>
      <c r="AA475" s="6" t="s">
        <v>52</v>
      </c>
      <c r="AB475" s="11" t="str">
        <f t="shared" si="6"/>
        <v>Include</v>
      </c>
      <c r="AC475" s="1">
        <f t="shared" si="507"/>
        <v>1.99584907</v>
      </c>
    </row>
    <row r="476" ht="15.0" customHeight="1">
      <c r="B476" s="6">
        <f t="shared" si="8"/>
        <v>474</v>
      </c>
      <c r="C476" s="1" t="s">
        <v>805</v>
      </c>
      <c r="D476" s="1" t="str">
        <f t="shared" si="2"/>
        <v>Private Equity</v>
      </c>
      <c r="E476" s="1" t="s">
        <v>43</v>
      </c>
      <c r="F476" s="1" t="s">
        <v>43</v>
      </c>
      <c r="G476" s="1" t="s">
        <v>805</v>
      </c>
      <c r="H476" s="1" t="s">
        <v>88</v>
      </c>
      <c r="I476" s="1" t="s">
        <v>318</v>
      </c>
      <c r="J476" s="1" t="s">
        <v>164</v>
      </c>
      <c r="K476" s="1" t="s">
        <v>164</v>
      </c>
      <c r="L476" s="1" t="s">
        <v>164</v>
      </c>
      <c r="N476" s="6">
        <v>2017.0</v>
      </c>
      <c r="O476" s="10">
        <f t="shared" ref="O476:R476" si="509">IFERROR(V476*INDEX($AH$4:$AH$8,MATCH($AA476,$AG$4:$AG$8,0)),"")</f>
        <v>100000000</v>
      </c>
      <c r="P476" s="10">
        <f t="shared" si="509"/>
        <v>153172823.2</v>
      </c>
      <c r="Q476" s="10">
        <f t="shared" si="509"/>
        <v>214056983.6</v>
      </c>
      <c r="R476" s="10">
        <f t="shared" si="509"/>
        <v>70977297</v>
      </c>
      <c r="S476" s="10">
        <f t="shared" si="4"/>
        <v>285034280.6</v>
      </c>
      <c r="T476" s="10">
        <f t="shared" si="5"/>
        <v>12751094.26</v>
      </c>
      <c r="U476" s="8">
        <v>46112.0</v>
      </c>
      <c r="V476" s="7">
        <v>1.0E8</v>
      </c>
      <c r="W476" s="7">
        <v>1.5317282317E8</v>
      </c>
      <c r="X476" s="7">
        <v>2.1405698358E8</v>
      </c>
      <c r="Y476" s="7">
        <v>7.0977297E7</v>
      </c>
      <c r="Z476" s="7">
        <v>1.275109426E7</v>
      </c>
      <c r="AA476" s="6" t="s">
        <v>52</v>
      </c>
      <c r="AB476" s="11" t="str">
        <f t="shared" si="6"/>
        <v>Include</v>
      </c>
      <c r="AC476" s="1">
        <f t="shared" si="507"/>
        <v>1.860867187</v>
      </c>
    </row>
    <row r="477" ht="15.0" customHeight="1">
      <c r="B477" s="6">
        <f t="shared" si="8"/>
        <v>475</v>
      </c>
      <c r="C477" s="1" t="s">
        <v>806</v>
      </c>
      <c r="D477" s="1" t="str">
        <f t="shared" si="2"/>
        <v>Private Equity</v>
      </c>
      <c r="E477" s="1" t="s">
        <v>43</v>
      </c>
      <c r="F477" s="1" t="s">
        <v>43</v>
      </c>
      <c r="G477" s="1" t="s">
        <v>806</v>
      </c>
      <c r="H477" s="1" t="s">
        <v>807</v>
      </c>
      <c r="I477" s="1" t="s">
        <v>318</v>
      </c>
      <c r="J477" s="1" t="s">
        <v>121</v>
      </c>
      <c r="K477" s="1" t="s">
        <v>274</v>
      </c>
      <c r="L477" s="1" t="s">
        <v>204</v>
      </c>
      <c r="N477" s="6">
        <v>2015.0</v>
      </c>
      <c r="O477" s="10">
        <f t="shared" ref="O477:R477" si="510">IFERROR(V477*INDEX($AH$4:$AH$8,MATCH($AA477,$AG$4:$AG$8,0)),"")</f>
        <v>125000000</v>
      </c>
      <c r="P477" s="10">
        <f t="shared" si="510"/>
        <v>113696755</v>
      </c>
      <c r="Q477" s="10">
        <f t="shared" si="510"/>
        <v>119053108</v>
      </c>
      <c r="R477" s="10">
        <f t="shared" si="510"/>
        <v>83233132</v>
      </c>
      <c r="S477" s="10">
        <f t="shared" si="4"/>
        <v>202286240</v>
      </c>
      <c r="T477" s="10">
        <f t="shared" si="5"/>
        <v>12119073</v>
      </c>
      <c r="U477" s="8">
        <v>46112.0</v>
      </c>
      <c r="V477" s="7">
        <v>1.25E8</v>
      </c>
      <c r="W477" s="7">
        <v>1.13696755E8</v>
      </c>
      <c r="X477" s="7">
        <v>1.19053108E8</v>
      </c>
      <c r="Y477" s="7">
        <v>8.3233132E7</v>
      </c>
      <c r="Z477" s="7">
        <v>1.2119073E7</v>
      </c>
      <c r="AA477" s="6" t="s">
        <v>52</v>
      </c>
      <c r="AB477" s="11" t="str">
        <f t="shared" si="6"/>
        <v>Include</v>
      </c>
      <c r="AC477" s="1">
        <f t="shared" si="507"/>
        <v>1.779173381</v>
      </c>
    </row>
    <row r="478" ht="15.0" customHeight="1">
      <c r="B478" s="6">
        <f t="shared" si="8"/>
        <v>476</v>
      </c>
      <c r="C478" s="1" t="s">
        <v>808</v>
      </c>
      <c r="D478" s="1" t="str">
        <f t="shared" si="2"/>
        <v>VC &amp; Growth</v>
      </c>
      <c r="E478" s="1" t="s">
        <v>270</v>
      </c>
      <c r="F478" s="1" t="s">
        <v>43</v>
      </c>
      <c r="G478" s="1" t="s">
        <v>808</v>
      </c>
      <c r="H478" s="1" t="s">
        <v>722</v>
      </c>
      <c r="I478" s="1" t="s">
        <v>318</v>
      </c>
      <c r="J478" s="1" t="s">
        <v>126</v>
      </c>
      <c r="K478" s="1" t="s">
        <v>126</v>
      </c>
      <c r="L478" s="1" t="s">
        <v>126</v>
      </c>
      <c r="N478" s="6">
        <v>2017.0</v>
      </c>
      <c r="O478" s="10">
        <f t="shared" ref="O478:R478" si="511">IFERROR(V478*INDEX($AH$4:$AH$8,MATCH($AA478,$AG$4:$AG$8,0)),"")</f>
        <v>75000000</v>
      </c>
      <c r="P478" s="10">
        <f t="shared" si="511"/>
        <v>74440890</v>
      </c>
      <c r="Q478" s="10">
        <f t="shared" si="511"/>
        <v>15812155</v>
      </c>
      <c r="R478" s="10">
        <f t="shared" si="511"/>
        <v>47603550</v>
      </c>
      <c r="S478" s="10">
        <f t="shared" si="4"/>
        <v>63415705</v>
      </c>
      <c r="T478" s="10">
        <f t="shared" si="5"/>
        <v>5649538</v>
      </c>
      <c r="U478" s="8">
        <v>46112.0</v>
      </c>
      <c r="V478" s="7">
        <v>7.5E7</v>
      </c>
      <c r="W478" s="7">
        <v>7.444089E7</v>
      </c>
      <c r="X478" s="7">
        <v>1.5812155E7</v>
      </c>
      <c r="Y478" s="7">
        <v>4.760355E7</v>
      </c>
      <c r="Z478" s="7">
        <v>5649538.0</v>
      </c>
      <c r="AA478" s="6" t="s">
        <v>52</v>
      </c>
      <c r="AB478" s="11" t="str">
        <f t="shared" si="6"/>
        <v>Include</v>
      </c>
      <c r="AC478" s="1">
        <f t="shared" si="507"/>
        <v>0.8518934285</v>
      </c>
    </row>
    <row r="479" ht="15.0" customHeight="1">
      <c r="B479" s="6">
        <f t="shared" si="8"/>
        <v>477</v>
      </c>
      <c r="C479" s="1" t="s">
        <v>809</v>
      </c>
      <c r="D479" s="1" t="str">
        <f t="shared" si="2"/>
        <v>Private Equity</v>
      </c>
      <c r="E479" s="1" t="s">
        <v>43</v>
      </c>
      <c r="F479" s="1" t="s">
        <v>43</v>
      </c>
      <c r="G479" s="1" t="s">
        <v>809</v>
      </c>
      <c r="H479" s="1" t="s">
        <v>146</v>
      </c>
      <c r="I479" s="1" t="s">
        <v>318</v>
      </c>
      <c r="J479" s="1" t="s">
        <v>121</v>
      </c>
      <c r="K479" s="1" t="s">
        <v>122</v>
      </c>
      <c r="L479" s="1" t="s">
        <v>123</v>
      </c>
      <c r="N479" s="6">
        <v>2018.0</v>
      </c>
      <c r="O479" s="10">
        <f t="shared" ref="O479:R479" si="512">IFERROR(V479*INDEX($AH$4:$AH$8,MATCH($AA479,$AG$4:$AG$8,0)),"")</f>
        <v>70000000</v>
      </c>
      <c r="P479" s="10">
        <f t="shared" si="512"/>
        <v>81998739.98</v>
      </c>
      <c r="Q479" s="10">
        <f t="shared" si="512"/>
        <v>52655617.25</v>
      </c>
      <c r="R479" s="10">
        <f t="shared" si="512"/>
        <v>58380533</v>
      </c>
      <c r="S479" s="10">
        <f t="shared" si="4"/>
        <v>111036150.3</v>
      </c>
      <c r="T479" s="10">
        <f t="shared" si="5"/>
        <v>4809289.83</v>
      </c>
      <c r="U479" s="8">
        <v>46112.0</v>
      </c>
      <c r="V479" s="7">
        <v>7.0E7</v>
      </c>
      <c r="W479" s="7">
        <v>8.199873998E7</v>
      </c>
      <c r="X479" s="7">
        <v>5.265561725E7</v>
      </c>
      <c r="Y479" s="7">
        <v>5.8380533E7</v>
      </c>
      <c r="Z479" s="7">
        <v>4809289.83</v>
      </c>
      <c r="AA479" s="6" t="s">
        <v>52</v>
      </c>
      <c r="AB479" s="11" t="str">
        <f t="shared" si="6"/>
        <v>Include</v>
      </c>
      <c r="AC479" s="1">
        <f t="shared" si="507"/>
        <v>1.354120201</v>
      </c>
    </row>
    <row r="480" ht="15.0" customHeight="1">
      <c r="B480" s="6">
        <f t="shared" si="8"/>
        <v>478</v>
      </c>
      <c r="C480" s="1" t="s">
        <v>810</v>
      </c>
      <c r="D480" s="1" t="str">
        <f t="shared" si="2"/>
        <v>VC &amp; Growth</v>
      </c>
      <c r="E480" s="1" t="s">
        <v>270</v>
      </c>
      <c r="F480" s="1" t="s">
        <v>43</v>
      </c>
      <c r="G480" s="1" t="s">
        <v>810</v>
      </c>
      <c r="H480" s="1" t="s">
        <v>227</v>
      </c>
      <c r="I480" s="1" t="s">
        <v>318</v>
      </c>
      <c r="J480" s="1" t="s">
        <v>126</v>
      </c>
      <c r="K480" s="1" t="s">
        <v>126</v>
      </c>
      <c r="L480" s="1" t="s">
        <v>126</v>
      </c>
      <c r="N480" s="6">
        <v>2017.0</v>
      </c>
      <c r="O480" s="10">
        <f t="shared" ref="O480:R480" si="513">IFERROR(V480*INDEX($AH$4:$AH$8,MATCH($AA480,$AG$4:$AG$8,0)),"")</f>
        <v>100000000</v>
      </c>
      <c r="P480" s="10">
        <f t="shared" si="513"/>
        <v>104690450.8</v>
      </c>
      <c r="Q480" s="10">
        <f t="shared" si="513"/>
        <v>130822529.8</v>
      </c>
      <c r="R480" s="10">
        <f t="shared" si="513"/>
        <v>163987871.1</v>
      </c>
      <c r="S480" s="10">
        <f t="shared" si="4"/>
        <v>294810400.9</v>
      </c>
      <c r="T480" s="10">
        <f t="shared" si="5"/>
        <v>14000796.5</v>
      </c>
      <c r="U480" s="8">
        <v>46112.0</v>
      </c>
      <c r="V480" s="7">
        <v>1.0E8</v>
      </c>
      <c r="W480" s="7">
        <v>1.0469045081E8</v>
      </c>
      <c r="X480" s="7">
        <v>1.3082252977E8</v>
      </c>
      <c r="Y480" s="7">
        <v>1.6398787112E8</v>
      </c>
      <c r="Z480" s="7">
        <v>1.40007965E7</v>
      </c>
      <c r="AA480" s="6" t="s">
        <v>52</v>
      </c>
      <c r="AB480" s="11" t="str">
        <f t="shared" si="6"/>
        <v>Include</v>
      </c>
      <c r="AC480" s="1">
        <f t="shared" si="507"/>
        <v>2.816019977</v>
      </c>
    </row>
    <row r="481" ht="15.0" customHeight="1">
      <c r="B481" s="6">
        <f t="shared" si="8"/>
        <v>479</v>
      </c>
      <c r="C481" s="1" t="s">
        <v>811</v>
      </c>
      <c r="D481" s="1" t="str">
        <f t="shared" si="2"/>
        <v>Private Equity</v>
      </c>
      <c r="E481" s="1" t="s">
        <v>43</v>
      </c>
      <c r="F481" s="1" t="s">
        <v>43</v>
      </c>
      <c r="G481" s="1" t="s">
        <v>811</v>
      </c>
      <c r="H481" s="1" t="s">
        <v>779</v>
      </c>
      <c r="I481" s="1" t="s">
        <v>318</v>
      </c>
      <c r="J481" s="1" t="s">
        <v>121</v>
      </c>
      <c r="K481" s="1" t="s">
        <v>122</v>
      </c>
      <c r="L481" s="1" t="s">
        <v>127</v>
      </c>
      <c r="N481" s="6">
        <v>2018.0</v>
      </c>
      <c r="O481" s="10">
        <f t="shared" ref="O481:R481" si="514">IFERROR(V481*INDEX($AH$4:$AH$8,MATCH($AA481,$AG$4:$AG$8,0)),"")</f>
        <v>86663250</v>
      </c>
      <c r="P481" s="10">
        <f t="shared" si="514"/>
        <v>87277588.9</v>
      </c>
      <c r="Q481" s="10">
        <f t="shared" si="514"/>
        <v>134430692.4</v>
      </c>
      <c r="R481" s="10">
        <f t="shared" si="514"/>
        <v>0</v>
      </c>
      <c r="S481" s="10">
        <f t="shared" si="4"/>
        <v>134430692.4</v>
      </c>
      <c r="T481" s="10">
        <f t="shared" si="5"/>
        <v>-0.0115551</v>
      </c>
      <c r="U481" s="8">
        <v>45747.0</v>
      </c>
      <c r="V481" s="7">
        <v>7.5E7</v>
      </c>
      <c r="W481" s="7">
        <v>7.553166039E7</v>
      </c>
      <c r="X481" s="7">
        <v>1.1633883951E8</v>
      </c>
      <c r="Y481" s="7">
        <v>0.0</v>
      </c>
      <c r="Z481" s="7">
        <v>-0.01</v>
      </c>
      <c r="AA481" s="6" t="s">
        <v>45</v>
      </c>
      <c r="AB481" s="11" t="str">
        <f t="shared" si="6"/>
        <v>Exclude</v>
      </c>
    </row>
    <row r="482" ht="15.0" customHeight="1">
      <c r="B482" s="6">
        <f t="shared" si="8"/>
        <v>480</v>
      </c>
      <c r="C482" s="1" t="s">
        <v>812</v>
      </c>
      <c r="D482" s="1" t="str">
        <f t="shared" si="2"/>
        <v>Private Equity</v>
      </c>
      <c r="E482" s="1" t="s">
        <v>43</v>
      </c>
      <c r="F482" s="1" t="s">
        <v>43</v>
      </c>
      <c r="G482" s="1" t="s">
        <v>812</v>
      </c>
      <c r="H482" s="1" t="s">
        <v>140</v>
      </c>
      <c r="I482" s="1" t="s">
        <v>318</v>
      </c>
      <c r="J482" s="1" t="s">
        <v>121</v>
      </c>
      <c r="K482" s="1" t="s">
        <v>122</v>
      </c>
      <c r="L482" s="1" t="s">
        <v>127</v>
      </c>
      <c r="N482" s="6">
        <v>2018.0</v>
      </c>
      <c r="O482" s="10">
        <f t="shared" ref="O482:R482" si="515">IFERROR(V482*INDEX($AH$4:$AH$8,MATCH($AA482,$AG$4:$AG$8,0)),"")</f>
        <v>115551000</v>
      </c>
      <c r="P482" s="10">
        <f t="shared" si="515"/>
        <v>114940425.2</v>
      </c>
      <c r="Q482" s="10">
        <f t="shared" si="515"/>
        <v>76910915.91</v>
      </c>
      <c r="R482" s="10">
        <f t="shared" si="515"/>
        <v>99269078.25</v>
      </c>
      <c r="S482" s="10">
        <f t="shared" si="4"/>
        <v>176179994.2</v>
      </c>
      <c r="T482" s="10">
        <f t="shared" si="5"/>
        <v>7750583.325</v>
      </c>
      <c r="U482" s="8">
        <v>46112.0</v>
      </c>
      <c r="V482" s="7">
        <v>1.0E8</v>
      </c>
      <c r="W482" s="7">
        <v>9.947159709E7</v>
      </c>
      <c r="X482" s="7">
        <v>6.656014739E7</v>
      </c>
      <c r="Y482" s="7">
        <v>8.590931991E7</v>
      </c>
      <c r="Z482" s="7">
        <v>6707500.0</v>
      </c>
      <c r="AA482" s="6" t="s">
        <v>45</v>
      </c>
      <c r="AB482" s="11" t="str">
        <f t="shared" si="6"/>
        <v>Include</v>
      </c>
      <c r="AC482" s="1">
        <f t="shared" ref="AC482:AC488" si="517">S482/P482</f>
        <v>1.532794001</v>
      </c>
    </row>
    <row r="483" ht="15.0" customHeight="1">
      <c r="B483" s="6">
        <f t="shared" si="8"/>
        <v>481</v>
      </c>
      <c r="C483" s="1" t="s">
        <v>813</v>
      </c>
      <c r="D483" s="1" t="str">
        <f t="shared" si="2"/>
        <v>Private Equity</v>
      </c>
      <c r="E483" s="1" t="s">
        <v>43</v>
      </c>
      <c r="F483" s="1" t="s">
        <v>43</v>
      </c>
      <c r="G483" s="1" t="s">
        <v>813</v>
      </c>
      <c r="H483" s="1" t="s">
        <v>214</v>
      </c>
      <c r="I483" s="1" t="s">
        <v>318</v>
      </c>
      <c r="J483" s="1" t="s">
        <v>121</v>
      </c>
      <c r="K483" s="1" t="s">
        <v>122</v>
      </c>
      <c r="L483" s="1" t="s">
        <v>127</v>
      </c>
      <c r="N483" s="6">
        <v>2018.0</v>
      </c>
      <c r="O483" s="10">
        <f t="shared" ref="O483:R483" si="516">IFERROR(V483*INDEX($AH$4:$AH$8,MATCH($AA483,$AG$4:$AG$8,0)),"")</f>
        <v>160000000</v>
      </c>
      <c r="P483" s="10">
        <f t="shared" si="516"/>
        <v>144859336</v>
      </c>
      <c r="Q483" s="10">
        <f t="shared" si="516"/>
        <v>64371929</v>
      </c>
      <c r="R483" s="10">
        <f t="shared" si="516"/>
        <v>180606221</v>
      </c>
      <c r="S483" s="10">
        <f t="shared" si="4"/>
        <v>244978150</v>
      </c>
      <c r="T483" s="10">
        <f t="shared" si="5"/>
        <v>31395675</v>
      </c>
      <c r="U483" s="8">
        <v>46112.0</v>
      </c>
      <c r="V483" s="7">
        <v>1.6E8</v>
      </c>
      <c r="W483" s="7">
        <v>1.44859336E8</v>
      </c>
      <c r="X483" s="7">
        <v>6.4371929E7</v>
      </c>
      <c r="Y483" s="7">
        <v>1.80606221E8</v>
      </c>
      <c r="Z483" s="7">
        <v>3.1395675E7</v>
      </c>
      <c r="AA483" s="6" t="s">
        <v>52</v>
      </c>
      <c r="AB483" s="11" t="str">
        <f t="shared" si="6"/>
        <v>Include</v>
      </c>
      <c r="AC483" s="1">
        <f t="shared" si="517"/>
        <v>1.691145057</v>
      </c>
    </row>
    <row r="484" ht="15.0" customHeight="1">
      <c r="B484" s="6">
        <f t="shared" si="8"/>
        <v>482</v>
      </c>
      <c r="C484" s="1" t="s">
        <v>814</v>
      </c>
      <c r="D484" s="1" t="str">
        <f t="shared" si="2"/>
        <v>Private Equity</v>
      </c>
      <c r="E484" s="1" t="s">
        <v>43</v>
      </c>
      <c r="F484" s="1" t="s">
        <v>43</v>
      </c>
      <c r="G484" s="1" t="s">
        <v>814</v>
      </c>
      <c r="H484" s="1" t="s">
        <v>219</v>
      </c>
      <c r="I484" s="1" t="s">
        <v>318</v>
      </c>
      <c r="J484" s="1" t="s">
        <v>121</v>
      </c>
      <c r="K484" s="1" t="s">
        <v>122</v>
      </c>
      <c r="L484" s="1" t="s">
        <v>127</v>
      </c>
      <c r="N484" s="6">
        <v>2018.0</v>
      </c>
      <c r="O484" s="10">
        <f t="shared" ref="O484:R484" si="518">IFERROR(V484*INDEX($AH$4:$AH$8,MATCH($AA484,$AG$4:$AG$8,0)),"")</f>
        <v>75000000</v>
      </c>
      <c r="P484" s="10">
        <f t="shared" si="518"/>
        <v>91224052.92</v>
      </c>
      <c r="Q484" s="10">
        <f t="shared" si="518"/>
        <v>106422002.3</v>
      </c>
      <c r="R484" s="10">
        <f t="shared" si="518"/>
        <v>65573416</v>
      </c>
      <c r="S484" s="10">
        <f t="shared" si="4"/>
        <v>171995418.3</v>
      </c>
      <c r="T484" s="10">
        <f t="shared" si="5"/>
        <v>62442739.43</v>
      </c>
      <c r="U484" s="8">
        <v>46112.0</v>
      </c>
      <c r="V484" s="7">
        <v>7.5E7</v>
      </c>
      <c r="W484" s="7">
        <v>9.122405292E7</v>
      </c>
      <c r="X484" s="7">
        <v>1.0642200233E8</v>
      </c>
      <c r="Y484" s="7">
        <v>6.5573416E7</v>
      </c>
      <c r="Z484" s="7">
        <v>6.244273943E7</v>
      </c>
      <c r="AA484" s="6" t="s">
        <v>52</v>
      </c>
      <c r="AB484" s="11" t="str">
        <f t="shared" si="6"/>
        <v>Include</v>
      </c>
      <c r="AC484" s="1">
        <f t="shared" si="517"/>
        <v>1.885417418</v>
      </c>
    </row>
    <row r="485" ht="15.0" customHeight="1">
      <c r="B485" s="6">
        <f t="shared" si="8"/>
        <v>483</v>
      </c>
      <c r="C485" s="1" t="s">
        <v>815</v>
      </c>
      <c r="D485" s="1" t="str">
        <f t="shared" si="2"/>
        <v>Private Equity</v>
      </c>
      <c r="E485" s="1" t="s">
        <v>43</v>
      </c>
      <c r="F485" s="1" t="s">
        <v>43</v>
      </c>
      <c r="G485" s="1" t="s">
        <v>815</v>
      </c>
      <c r="H485" s="1" t="s">
        <v>234</v>
      </c>
      <c r="I485" s="1" t="s">
        <v>318</v>
      </c>
      <c r="J485" s="1" t="s">
        <v>121</v>
      </c>
      <c r="K485" s="1" t="s">
        <v>122</v>
      </c>
      <c r="L485" s="1" t="s">
        <v>127</v>
      </c>
      <c r="N485" s="6">
        <v>2018.0</v>
      </c>
      <c r="O485" s="10">
        <f t="shared" ref="O485:R485" si="519">IFERROR(V485*INDEX($AH$4:$AH$8,MATCH($AA485,$AG$4:$AG$8,0)),"")</f>
        <v>150000000</v>
      </c>
      <c r="P485" s="10">
        <f t="shared" si="519"/>
        <v>175408945.7</v>
      </c>
      <c r="Q485" s="10">
        <f t="shared" si="519"/>
        <v>58275525.75</v>
      </c>
      <c r="R485" s="10">
        <f t="shared" si="519"/>
        <v>150652354</v>
      </c>
      <c r="S485" s="10">
        <f t="shared" si="4"/>
        <v>208927879.8</v>
      </c>
      <c r="T485" s="10">
        <f t="shared" si="5"/>
        <v>11129283.33</v>
      </c>
      <c r="U485" s="8">
        <v>46112.0</v>
      </c>
      <c r="V485" s="7">
        <v>1.5E8</v>
      </c>
      <c r="W485" s="7">
        <v>1.7540894565E8</v>
      </c>
      <c r="X485" s="7">
        <v>5.827552575E7</v>
      </c>
      <c r="Y485" s="7">
        <v>1.50652354E8</v>
      </c>
      <c r="Z485" s="7">
        <v>1.112928333E7</v>
      </c>
      <c r="AA485" s="6" t="s">
        <v>52</v>
      </c>
      <c r="AB485" s="11" t="str">
        <f t="shared" si="6"/>
        <v>Include</v>
      </c>
      <c r="AC485" s="1">
        <f t="shared" si="517"/>
        <v>1.19109022</v>
      </c>
    </row>
    <row r="486" ht="15.0" customHeight="1">
      <c r="B486" s="6">
        <f t="shared" si="8"/>
        <v>484</v>
      </c>
      <c r="C486" s="1" t="s">
        <v>816</v>
      </c>
      <c r="D486" s="1" t="str">
        <f t="shared" si="2"/>
        <v>Private Equity</v>
      </c>
      <c r="E486" s="1" t="s">
        <v>43</v>
      </c>
      <c r="F486" s="1" t="s">
        <v>43</v>
      </c>
      <c r="G486" s="1" t="s">
        <v>816</v>
      </c>
      <c r="H486" s="1" t="s">
        <v>817</v>
      </c>
      <c r="I486" s="1" t="s">
        <v>318</v>
      </c>
      <c r="J486" s="1" t="s">
        <v>121</v>
      </c>
      <c r="K486" s="1" t="s">
        <v>122</v>
      </c>
      <c r="L486" s="1" t="s">
        <v>127</v>
      </c>
      <c r="N486" s="6">
        <v>2018.0</v>
      </c>
      <c r="O486" s="10">
        <f t="shared" ref="O486:R486" si="520">IFERROR(V486*INDEX($AH$4:$AH$8,MATCH($AA486,$AG$4:$AG$8,0)),"")</f>
        <v>100000000</v>
      </c>
      <c r="P486" s="10">
        <f t="shared" si="520"/>
        <v>97050100</v>
      </c>
      <c r="Q486" s="10">
        <f t="shared" si="520"/>
        <v>72752822</v>
      </c>
      <c r="R486" s="10">
        <f t="shared" si="520"/>
        <v>110028172</v>
      </c>
      <c r="S486" s="10">
        <f t="shared" si="4"/>
        <v>182780994</v>
      </c>
      <c r="T486" s="10">
        <f t="shared" si="5"/>
        <v>8695621</v>
      </c>
      <c r="U486" s="8">
        <v>46112.0</v>
      </c>
      <c r="V486" s="7">
        <v>1.0E8</v>
      </c>
      <c r="W486" s="7">
        <v>9.70501E7</v>
      </c>
      <c r="X486" s="7">
        <v>7.2752822E7</v>
      </c>
      <c r="Y486" s="7">
        <v>1.10028172E8</v>
      </c>
      <c r="Z486" s="7">
        <v>8695621.0</v>
      </c>
      <c r="AA486" s="6" t="s">
        <v>52</v>
      </c>
      <c r="AB486" s="11" t="str">
        <f t="shared" si="6"/>
        <v>Include</v>
      </c>
      <c r="AC486" s="1">
        <f t="shared" si="517"/>
        <v>1.883367395</v>
      </c>
    </row>
    <row r="487" ht="15.0" customHeight="1">
      <c r="B487" s="6">
        <f t="shared" si="8"/>
        <v>485</v>
      </c>
      <c r="C487" s="1" t="s">
        <v>818</v>
      </c>
      <c r="D487" s="1" t="str">
        <f t="shared" si="2"/>
        <v>Private Equity</v>
      </c>
      <c r="E487" s="1" t="s">
        <v>43</v>
      </c>
      <c r="F487" s="1" t="s">
        <v>43</v>
      </c>
      <c r="G487" s="1" t="s">
        <v>818</v>
      </c>
      <c r="H487" s="1" t="s">
        <v>232</v>
      </c>
      <c r="I487" s="1" t="s">
        <v>318</v>
      </c>
      <c r="J487" s="1" t="s">
        <v>121</v>
      </c>
      <c r="K487" s="1" t="s">
        <v>122</v>
      </c>
      <c r="L487" s="1" t="s">
        <v>127</v>
      </c>
      <c r="N487" s="6">
        <v>2019.0</v>
      </c>
      <c r="O487" s="10">
        <f t="shared" ref="O487:R487" si="521">IFERROR(V487*INDEX($AH$4:$AH$8,MATCH($AA487,$AG$4:$AG$8,0)),"")</f>
        <v>150000000</v>
      </c>
      <c r="P487" s="10">
        <f t="shared" si="521"/>
        <v>152241820</v>
      </c>
      <c r="Q487" s="10">
        <f t="shared" si="521"/>
        <v>172843914</v>
      </c>
      <c r="R487" s="10">
        <f t="shared" si="521"/>
        <v>94480813</v>
      </c>
      <c r="S487" s="10">
        <f t="shared" si="4"/>
        <v>267324727</v>
      </c>
      <c r="T487" s="10">
        <f t="shared" si="5"/>
        <v>29649259</v>
      </c>
      <c r="U487" s="8">
        <v>46112.0</v>
      </c>
      <c r="V487" s="7">
        <v>1.5E8</v>
      </c>
      <c r="W487" s="7">
        <v>1.5224182E8</v>
      </c>
      <c r="X487" s="7">
        <v>1.72843914E8</v>
      </c>
      <c r="Y487" s="7">
        <v>9.4480813E7</v>
      </c>
      <c r="Z487" s="7">
        <v>2.9649259E7</v>
      </c>
      <c r="AA487" s="6" t="s">
        <v>52</v>
      </c>
      <c r="AB487" s="11" t="str">
        <f t="shared" si="6"/>
        <v>Include</v>
      </c>
      <c r="AC487" s="1">
        <f t="shared" si="517"/>
        <v>1.755921776</v>
      </c>
    </row>
    <row r="488" ht="15.0" customHeight="1">
      <c r="B488" s="6">
        <f t="shared" si="8"/>
        <v>486</v>
      </c>
      <c r="C488" s="1" t="s">
        <v>819</v>
      </c>
      <c r="D488" s="1" t="str">
        <f t="shared" si="2"/>
        <v>Private Equity</v>
      </c>
      <c r="E488" s="1" t="s">
        <v>43</v>
      </c>
      <c r="F488" s="1" t="s">
        <v>43</v>
      </c>
      <c r="G488" s="1" t="s">
        <v>819</v>
      </c>
      <c r="H488" s="1" t="s">
        <v>125</v>
      </c>
      <c r="I488" s="1" t="s">
        <v>318</v>
      </c>
      <c r="J488" s="1" t="s">
        <v>121</v>
      </c>
      <c r="K488" s="1" t="s">
        <v>122</v>
      </c>
      <c r="L488" s="1" t="s">
        <v>180</v>
      </c>
      <c r="N488" s="6">
        <v>2018.0</v>
      </c>
      <c r="O488" s="10">
        <f t="shared" ref="O488:R488" si="522">IFERROR(V488*INDEX($AH$4:$AH$8,MATCH($AA488,$AG$4:$AG$8,0)),"")</f>
        <v>115551000</v>
      </c>
      <c r="P488" s="10">
        <f t="shared" si="522"/>
        <v>110772033</v>
      </c>
      <c r="Q488" s="10">
        <f t="shared" si="522"/>
        <v>142274506.1</v>
      </c>
      <c r="R488" s="10">
        <f t="shared" si="522"/>
        <v>36268912.16</v>
      </c>
      <c r="S488" s="10">
        <f t="shared" si="4"/>
        <v>178543418.3</v>
      </c>
      <c r="T488" s="10">
        <f t="shared" si="5"/>
        <v>1967572.512</v>
      </c>
      <c r="U488" s="8">
        <v>46112.0</v>
      </c>
      <c r="V488" s="7">
        <v>1.0E8</v>
      </c>
      <c r="W488" s="7">
        <v>9.586419246E7</v>
      </c>
      <c r="X488" s="7">
        <v>1.2312702281E8</v>
      </c>
      <c r="Y488" s="7">
        <v>3.1387796E7</v>
      </c>
      <c r="Z488" s="7">
        <v>1702774.11</v>
      </c>
      <c r="AA488" s="6" t="s">
        <v>45</v>
      </c>
      <c r="AB488" s="11" t="str">
        <f t="shared" si="6"/>
        <v>Include</v>
      </c>
      <c r="AC488" s="1">
        <f t="shared" si="517"/>
        <v>1.611809528</v>
      </c>
    </row>
    <row r="489" ht="15.0" customHeight="1">
      <c r="B489" s="6">
        <f t="shared" si="8"/>
        <v>487</v>
      </c>
      <c r="C489" s="1" t="s">
        <v>820</v>
      </c>
      <c r="D489" s="1" t="str">
        <f t="shared" si="2"/>
        <v>VC &amp; Growth</v>
      </c>
      <c r="E489" s="1" t="s">
        <v>270</v>
      </c>
      <c r="F489" s="1" t="s">
        <v>43</v>
      </c>
      <c r="G489" s="1" t="s">
        <v>820</v>
      </c>
      <c r="H489" s="1" t="s">
        <v>821</v>
      </c>
      <c r="I489" s="1" t="s">
        <v>318</v>
      </c>
      <c r="J489" s="1" t="s">
        <v>126</v>
      </c>
      <c r="K489" s="1" t="s">
        <v>126</v>
      </c>
      <c r="L489" s="1" t="s">
        <v>126</v>
      </c>
      <c r="N489" s="6">
        <v>2017.0</v>
      </c>
      <c r="O489" s="10">
        <f t="shared" ref="O489:R489" si="523">IFERROR(V489*INDEX($AH$4:$AH$8,MATCH($AA489,$AG$4:$AG$8,0)),"")</f>
        <v>100000000</v>
      </c>
      <c r="P489" s="10">
        <f t="shared" si="523"/>
        <v>100000000</v>
      </c>
      <c r="Q489" s="10">
        <f t="shared" si="523"/>
        <v>241505739.7</v>
      </c>
      <c r="R489" s="10">
        <f t="shared" si="523"/>
        <v>75617878</v>
      </c>
      <c r="S489" s="10">
        <f t="shared" si="4"/>
        <v>317123617.7</v>
      </c>
      <c r="T489" s="10">
        <f t="shared" si="5"/>
        <v>0</v>
      </c>
      <c r="U489" s="8">
        <v>45930.0</v>
      </c>
      <c r="V489" s="7">
        <v>1.0E8</v>
      </c>
      <c r="W489" s="7">
        <v>1.0E8</v>
      </c>
      <c r="X489" s="7">
        <v>2.4150573973E8</v>
      </c>
      <c r="Y489" s="7">
        <v>7.5617878E7</v>
      </c>
      <c r="Z489" s="7">
        <v>0.0</v>
      </c>
      <c r="AA489" s="6" t="s">
        <v>52</v>
      </c>
      <c r="AB489" s="11" t="str">
        <f t="shared" si="6"/>
        <v>Exclude</v>
      </c>
    </row>
    <row r="490" ht="15.0" customHeight="1">
      <c r="B490" s="6">
        <f t="shared" si="8"/>
        <v>488</v>
      </c>
      <c r="C490" s="1" t="s">
        <v>822</v>
      </c>
      <c r="D490" s="1" t="str">
        <f t="shared" si="2"/>
        <v>VC &amp; Growth</v>
      </c>
      <c r="E490" s="1" t="s">
        <v>270</v>
      </c>
      <c r="F490" s="1" t="s">
        <v>43</v>
      </c>
      <c r="G490" s="1" t="s">
        <v>822</v>
      </c>
      <c r="H490" s="1" t="s">
        <v>245</v>
      </c>
      <c r="I490" s="1" t="s">
        <v>318</v>
      </c>
      <c r="J490" s="1" t="s">
        <v>126</v>
      </c>
      <c r="K490" s="1" t="s">
        <v>126</v>
      </c>
      <c r="L490" s="1" t="s">
        <v>126</v>
      </c>
      <c r="N490" s="6">
        <v>2019.0</v>
      </c>
      <c r="O490" s="10">
        <f t="shared" ref="O490:R490" si="524">IFERROR(V490*INDEX($AH$4:$AH$8,MATCH($AA490,$AG$4:$AG$8,0)),"")</f>
        <v>150000000</v>
      </c>
      <c r="P490" s="10">
        <f t="shared" si="524"/>
        <v>149556637</v>
      </c>
      <c r="Q490" s="10">
        <f t="shared" si="524"/>
        <v>62015973</v>
      </c>
      <c r="R490" s="10">
        <f t="shared" si="524"/>
        <v>167947925</v>
      </c>
      <c r="S490" s="10">
        <f t="shared" si="4"/>
        <v>229963898</v>
      </c>
      <c r="T490" s="10">
        <f t="shared" si="5"/>
        <v>60404751.99</v>
      </c>
      <c r="U490" s="8">
        <v>46112.0</v>
      </c>
      <c r="V490" s="7">
        <v>1.5E8</v>
      </c>
      <c r="W490" s="7">
        <v>1.4955663701E8</v>
      </c>
      <c r="X490" s="7">
        <v>6.2015973E7</v>
      </c>
      <c r="Y490" s="7">
        <v>1.67947925E8</v>
      </c>
      <c r="Z490" s="7">
        <v>6.040475199E7</v>
      </c>
      <c r="AA490" s="6" t="s">
        <v>52</v>
      </c>
      <c r="AB490" s="11" t="str">
        <f t="shared" si="6"/>
        <v>Include</v>
      </c>
      <c r="AC490" s="1">
        <f t="shared" ref="AC490:AC505" si="526">S490/P490</f>
        <v>1.53763753</v>
      </c>
    </row>
    <row r="491" ht="15.0" customHeight="1">
      <c r="B491" s="6">
        <f t="shared" si="8"/>
        <v>489</v>
      </c>
      <c r="C491" s="1" t="s">
        <v>823</v>
      </c>
      <c r="D491" s="1" t="str">
        <f t="shared" si="2"/>
        <v>Private Equity</v>
      </c>
      <c r="E491" s="1" t="s">
        <v>43</v>
      </c>
      <c r="F491" s="1" t="s">
        <v>43</v>
      </c>
      <c r="G491" s="1" t="s">
        <v>823</v>
      </c>
      <c r="H491" s="1" t="s">
        <v>211</v>
      </c>
      <c r="I491" s="1" t="s">
        <v>318</v>
      </c>
      <c r="J491" s="1" t="s">
        <v>164</v>
      </c>
      <c r="K491" s="1" t="s">
        <v>164</v>
      </c>
      <c r="L491" s="1" t="s">
        <v>164</v>
      </c>
      <c r="N491" s="6">
        <v>2019.0</v>
      </c>
      <c r="O491" s="10">
        <f t="shared" ref="O491:R491" si="525">IFERROR(V491*INDEX($AH$4:$AH$8,MATCH($AA491,$AG$4:$AG$8,0)),"")</f>
        <v>150000000</v>
      </c>
      <c r="P491" s="10">
        <f t="shared" si="525"/>
        <v>157758297</v>
      </c>
      <c r="Q491" s="10">
        <f t="shared" si="525"/>
        <v>99192542</v>
      </c>
      <c r="R491" s="10">
        <f t="shared" si="525"/>
        <v>186507295</v>
      </c>
      <c r="S491" s="10">
        <f t="shared" si="4"/>
        <v>285699837</v>
      </c>
      <c r="T491" s="10">
        <f t="shared" si="5"/>
        <v>22593074</v>
      </c>
      <c r="U491" s="8">
        <v>46112.0</v>
      </c>
      <c r="V491" s="7">
        <v>1.5E8</v>
      </c>
      <c r="W491" s="7">
        <v>1.57758297E8</v>
      </c>
      <c r="X491" s="7">
        <v>9.9192542E7</v>
      </c>
      <c r="Y491" s="7">
        <v>1.86507295E8</v>
      </c>
      <c r="Z491" s="7">
        <v>2.2593074E7</v>
      </c>
      <c r="AA491" s="6" t="s">
        <v>52</v>
      </c>
      <c r="AB491" s="11" t="str">
        <f t="shared" si="6"/>
        <v>Include</v>
      </c>
      <c r="AC491" s="1">
        <f t="shared" si="526"/>
        <v>1.810997218</v>
      </c>
    </row>
    <row r="492" ht="15.0" customHeight="1">
      <c r="B492" s="6">
        <f t="shared" si="8"/>
        <v>490</v>
      </c>
      <c r="C492" s="1" t="s">
        <v>824</v>
      </c>
      <c r="D492" s="1" t="str">
        <f t="shared" si="2"/>
        <v>VC &amp; Growth</v>
      </c>
      <c r="E492" s="1" t="s">
        <v>270</v>
      </c>
      <c r="F492" s="1" t="s">
        <v>43</v>
      </c>
      <c r="G492" s="1" t="s">
        <v>824</v>
      </c>
      <c r="H492" s="1" t="s">
        <v>825</v>
      </c>
      <c r="I492" s="1" t="s">
        <v>318</v>
      </c>
      <c r="J492" s="1" t="s">
        <v>150</v>
      </c>
      <c r="K492" s="1" t="s">
        <v>150</v>
      </c>
      <c r="L492" s="1" t="s">
        <v>173</v>
      </c>
      <c r="N492" s="6">
        <v>2018.0</v>
      </c>
      <c r="O492" s="10">
        <f t="shared" ref="O492:R492" si="527">IFERROR(V492*INDEX($AH$4:$AH$8,MATCH($AA492,$AG$4:$AG$8,0)),"")</f>
        <v>75000000</v>
      </c>
      <c r="P492" s="10">
        <f t="shared" si="527"/>
        <v>70534434.95</v>
      </c>
      <c r="Q492" s="10">
        <f t="shared" si="527"/>
        <v>39567625.9</v>
      </c>
      <c r="R492" s="10">
        <f t="shared" si="527"/>
        <v>98832877</v>
      </c>
      <c r="S492" s="10">
        <f t="shared" si="4"/>
        <v>138400502.9</v>
      </c>
      <c r="T492" s="10">
        <f t="shared" si="5"/>
        <v>4465565.05</v>
      </c>
      <c r="U492" s="8">
        <v>46112.0</v>
      </c>
      <c r="V492" s="7">
        <v>7.5E7</v>
      </c>
      <c r="W492" s="7">
        <v>7.053443495E7</v>
      </c>
      <c r="X492" s="7">
        <v>3.95676259E7</v>
      </c>
      <c r="Y492" s="7">
        <v>9.8832877E7</v>
      </c>
      <c r="Z492" s="7">
        <v>4465565.05</v>
      </c>
      <c r="AA492" s="6" t="s">
        <v>52</v>
      </c>
      <c r="AB492" s="11" t="str">
        <f t="shared" si="6"/>
        <v>Include</v>
      </c>
      <c r="AC492" s="1">
        <f t="shared" si="526"/>
        <v>1.962169301</v>
      </c>
    </row>
    <row r="493" ht="15.0" customHeight="1">
      <c r="B493" s="6">
        <f t="shared" si="8"/>
        <v>491</v>
      </c>
      <c r="C493" s="1" t="s">
        <v>826</v>
      </c>
      <c r="D493" s="1" t="str">
        <f t="shared" si="2"/>
        <v>Private Equity</v>
      </c>
      <c r="E493" s="1" t="s">
        <v>43</v>
      </c>
      <c r="F493" s="1" t="s">
        <v>43</v>
      </c>
      <c r="G493" s="1" t="s">
        <v>826</v>
      </c>
      <c r="H493" s="1" t="s">
        <v>190</v>
      </c>
      <c r="I493" s="1" t="s">
        <v>318</v>
      </c>
      <c r="J493" s="1" t="s">
        <v>121</v>
      </c>
      <c r="K493" s="1" t="s">
        <v>122</v>
      </c>
      <c r="L493" s="1" t="s">
        <v>123</v>
      </c>
      <c r="N493" s="6">
        <v>2019.0</v>
      </c>
      <c r="O493" s="10">
        <f t="shared" ref="O493:R493" si="528">IFERROR(V493*INDEX($AH$4:$AH$8,MATCH($AA493,$AG$4:$AG$8,0)),"")</f>
        <v>75000000</v>
      </c>
      <c r="P493" s="10">
        <f t="shared" si="528"/>
        <v>81771517.06</v>
      </c>
      <c r="Q493" s="10">
        <f t="shared" si="528"/>
        <v>138987369.5</v>
      </c>
      <c r="R493" s="10">
        <f t="shared" si="528"/>
        <v>57916684</v>
      </c>
      <c r="S493" s="10">
        <f t="shared" si="4"/>
        <v>196904053.5</v>
      </c>
      <c r="T493" s="10">
        <f t="shared" si="5"/>
        <v>13810549.97</v>
      </c>
      <c r="U493" s="8">
        <v>46112.0</v>
      </c>
      <c r="V493" s="7">
        <v>7.5E7</v>
      </c>
      <c r="W493" s="7">
        <v>8.177151706E7</v>
      </c>
      <c r="X493" s="7">
        <v>1.3898736951E8</v>
      </c>
      <c r="Y493" s="7">
        <v>5.7916684E7</v>
      </c>
      <c r="Z493" s="7">
        <v>1.381054997E7</v>
      </c>
      <c r="AA493" s="6" t="s">
        <v>52</v>
      </c>
      <c r="AB493" s="11" t="str">
        <f t="shared" si="6"/>
        <v>Include</v>
      </c>
      <c r="AC493" s="1">
        <f t="shared" si="526"/>
        <v>2.407978482</v>
      </c>
    </row>
    <row r="494" ht="15.0" customHeight="1">
      <c r="B494" s="6">
        <f t="shared" si="8"/>
        <v>492</v>
      </c>
      <c r="C494" s="1" t="s">
        <v>827</v>
      </c>
      <c r="D494" s="1" t="str">
        <f t="shared" si="2"/>
        <v>Private Equity</v>
      </c>
      <c r="E494" s="1" t="s">
        <v>43</v>
      </c>
      <c r="F494" s="1" t="s">
        <v>43</v>
      </c>
      <c r="G494" s="1" t="s">
        <v>827</v>
      </c>
      <c r="H494" s="1" t="s">
        <v>238</v>
      </c>
      <c r="I494" s="1" t="s">
        <v>318</v>
      </c>
      <c r="J494" s="1" t="s">
        <v>121</v>
      </c>
      <c r="K494" s="1" t="s">
        <v>122</v>
      </c>
      <c r="L494" s="1" t="s">
        <v>127</v>
      </c>
      <c r="N494" s="6">
        <v>2018.0</v>
      </c>
      <c r="O494" s="10">
        <f t="shared" ref="O494:R494" si="529">IFERROR(V494*INDEX($AH$4:$AH$8,MATCH($AA494,$AG$4:$AG$8,0)),"")</f>
        <v>112500000</v>
      </c>
      <c r="P494" s="10">
        <f t="shared" si="529"/>
        <v>132263525</v>
      </c>
      <c r="Q494" s="10">
        <f t="shared" si="529"/>
        <v>55907754</v>
      </c>
      <c r="R494" s="10">
        <f t="shared" si="529"/>
        <v>130042716</v>
      </c>
      <c r="S494" s="10">
        <f t="shared" si="4"/>
        <v>185950470</v>
      </c>
      <c r="T494" s="10">
        <f t="shared" si="5"/>
        <v>4002587</v>
      </c>
      <c r="U494" s="8">
        <v>46112.0</v>
      </c>
      <c r="V494" s="7">
        <v>1.125E8</v>
      </c>
      <c r="W494" s="7">
        <v>1.32263525E8</v>
      </c>
      <c r="X494" s="7">
        <v>5.5907754E7</v>
      </c>
      <c r="Y494" s="7">
        <v>1.30042716E8</v>
      </c>
      <c r="Z494" s="7">
        <v>4002587.0</v>
      </c>
      <c r="AA494" s="6" t="s">
        <v>52</v>
      </c>
      <c r="AB494" s="11" t="str">
        <f t="shared" si="6"/>
        <v>Include</v>
      </c>
      <c r="AC494" s="1">
        <f t="shared" si="526"/>
        <v>1.405908923</v>
      </c>
    </row>
    <row r="495" ht="15.0" customHeight="1">
      <c r="B495" s="6">
        <f t="shared" si="8"/>
        <v>493</v>
      </c>
      <c r="C495" s="1" t="s">
        <v>828</v>
      </c>
      <c r="D495" s="1" t="str">
        <f t="shared" si="2"/>
        <v>Private Equity</v>
      </c>
      <c r="E495" s="1" t="s">
        <v>43</v>
      </c>
      <c r="F495" s="1" t="s">
        <v>43</v>
      </c>
      <c r="G495" s="1" t="s">
        <v>828</v>
      </c>
      <c r="H495" s="1" t="s">
        <v>238</v>
      </c>
      <c r="I495" s="1" t="s">
        <v>318</v>
      </c>
      <c r="J495" s="1" t="s">
        <v>121</v>
      </c>
      <c r="K495" s="1" t="s">
        <v>122</v>
      </c>
      <c r="L495" s="1" t="s">
        <v>127</v>
      </c>
      <c r="N495" s="6">
        <v>2018.0</v>
      </c>
      <c r="O495" s="10">
        <f t="shared" ref="O495:R495" si="530">IFERROR(V495*INDEX($AH$4:$AH$8,MATCH($AA495,$AG$4:$AG$8,0)),"")</f>
        <v>37500000</v>
      </c>
      <c r="P495" s="10">
        <f t="shared" si="530"/>
        <v>39214649</v>
      </c>
      <c r="Q495" s="10">
        <f t="shared" si="530"/>
        <v>10550405</v>
      </c>
      <c r="R495" s="10">
        <f t="shared" si="530"/>
        <v>45455493</v>
      </c>
      <c r="S495" s="10">
        <f t="shared" si="4"/>
        <v>56005898</v>
      </c>
      <c r="T495" s="10">
        <f t="shared" si="5"/>
        <v>2756122</v>
      </c>
      <c r="U495" s="8">
        <v>46112.0</v>
      </c>
      <c r="V495" s="7">
        <v>3.75E7</v>
      </c>
      <c r="W495" s="7">
        <v>3.9214649E7</v>
      </c>
      <c r="X495" s="7">
        <v>1.0550405E7</v>
      </c>
      <c r="Y495" s="7">
        <v>4.5455493E7</v>
      </c>
      <c r="Z495" s="7">
        <v>2756122.0</v>
      </c>
      <c r="AA495" s="6" t="s">
        <v>52</v>
      </c>
      <c r="AB495" s="11" t="str">
        <f t="shared" si="6"/>
        <v>Include</v>
      </c>
      <c r="AC495" s="1">
        <f t="shared" si="526"/>
        <v>1.428188175</v>
      </c>
    </row>
    <row r="496" ht="15.0" customHeight="1">
      <c r="B496" s="6">
        <f t="shared" si="8"/>
        <v>494</v>
      </c>
      <c r="C496" s="1" t="s">
        <v>829</v>
      </c>
      <c r="D496" s="1" t="str">
        <f t="shared" si="2"/>
        <v>Private Equity</v>
      </c>
      <c r="E496" s="1" t="s">
        <v>43</v>
      </c>
      <c r="F496" s="1" t="s">
        <v>43</v>
      </c>
      <c r="G496" s="1" t="s">
        <v>829</v>
      </c>
      <c r="H496" s="1" t="s">
        <v>214</v>
      </c>
      <c r="I496" s="1" t="s">
        <v>318</v>
      </c>
      <c r="J496" s="1" t="s">
        <v>121</v>
      </c>
      <c r="K496" s="1" t="s">
        <v>122</v>
      </c>
      <c r="L496" s="1" t="s">
        <v>180</v>
      </c>
      <c r="N496" s="6">
        <v>2019.0</v>
      </c>
      <c r="O496" s="10">
        <f t="shared" ref="O496:R496" si="531">IFERROR(V496*INDEX($AH$4:$AH$8,MATCH($AA496,$AG$4:$AG$8,0)),"")</f>
        <v>300000000</v>
      </c>
      <c r="P496" s="10">
        <f t="shared" si="531"/>
        <v>314419431</v>
      </c>
      <c r="Q496" s="10">
        <f t="shared" si="531"/>
        <v>119113998</v>
      </c>
      <c r="R496" s="10">
        <f t="shared" si="531"/>
        <v>311652230</v>
      </c>
      <c r="S496" s="10">
        <f t="shared" si="4"/>
        <v>430766228</v>
      </c>
      <c r="T496" s="10">
        <f t="shared" si="5"/>
        <v>27277639</v>
      </c>
      <c r="U496" s="8">
        <v>46112.0</v>
      </c>
      <c r="V496" s="7">
        <v>3.0E8</v>
      </c>
      <c r="W496" s="7">
        <v>3.14419431E8</v>
      </c>
      <c r="X496" s="7">
        <v>1.19113998E8</v>
      </c>
      <c r="Y496" s="7">
        <v>3.1165223E8</v>
      </c>
      <c r="Z496" s="7">
        <v>2.7277639E7</v>
      </c>
      <c r="AA496" s="6" t="s">
        <v>52</v>
      </c>
      <c r="AB496" s="11" t="str">
        <f t="shared" si="6"/>
        <v>Include</v>
      </c>
      <c r="AC496" s="1">
        <f t="shared" si="526"/>
        <v>1.370036917</v>
      </c>
    </row>
    <row r="497" ht="15.0" customHeight="1">
      <c r="B497" s="6">
        <f t="shared" si="8"/>
        <v>495</v>
      </c>
      <c r="C497" s="1" t="s">
        <v>830</v>
      </c>
      <c r="D497" s="1" t="str">
        <f t="shared" si="2"/>
        <v>Private Equity</v>
      </c>
      <c r="E497" s="1" t="s">
        <v>43</v>
      </c>
      <c r="F497" s="1" t="s">
        <v>43</v>
      </c>
      <c r="G497" s="1" t="s">
        <v>830</v>
      </c>
      <c r="H497" s="1" t="s">
        <v>88</v>
      </c>
      <c r="I497" s="1" t="s">
        <v>318</v>
      </c>
      <c r="J497" s="1" t="s">
        <v>164</v>
      </c>
      <c r="K497" s="1" t="s">
        <v>164</v>
      </c>
      <c r="L497" s="1" t="s">
        <v>164</v>
      </c>
      <c r="N497" s="6">
        <v>2020.0</v>
      </c>
      <c r="O497" s="10">
        <f t="shared" ref="O497:R497" si="532">IFERROR(V497*INDEX($AH$4:$AH$8,MATCH($AA497,$AG$4:$AG$8,0)),"")</f>
        <v>150000000</v>
      </c>
      <c r="P497" s="10">
        <f t="shared" si="532"/>
        <v>166218720.9</v>
      </c>
      <c r="Q497" s="10">
        <f t="shared" si="532"/>
        <v>41345188.94</v>
      </c>
      <c r="R497" s="10">
        <f t="shared" si="532"/>
        <v>186487826</v>
      </c>
      <c r="S497" s="10">
        <f t="shared" si="4"/>
        <v>227833014.9</v>
      </c>
      <c r="T497" s="10">
        <f t="shared" si="5"/>
        <v>8980722.62</v>
      </c>
      <c r="U497" s="8">
        <v>46112.0</v>
      </c>
      <c r="V497" s="7">
        <v>1.5E8</v>
      </c>
      <c r="W497" s="7">
        <v>1.6621872088E8</v>
      </c>
      <c r="X497" s="7">
        <v>4.134518894E7</v>
      </c>
      <c r="Y497" s="7">
        <v>1.86487826E8</v>
      </c>
      <c r="Z497" s="7">
        <v>8980722.62</v>
      </c>
      <c r="AA497" s="6" t="s">
        <v>52</v>
      </c>
      <c r="AB497" s="11" t="str">
        <f t="shared" si="6"/>
        <v>Include</v>
      </c>
      <c r="AC497" s="1">
        <f t="shared" si="526"/>
        <v>1.370682037</v>
      </c>
    </row>
    <row r="498" ht="15.0" customHeight="1">
      <c r="B498" s="6">
        <f t="shared" si="8"/>
        <v>496</v>
      </c>
      <c r="C498" s="1" t="s">
        <v>831</v>
      </c>
      <c r="D498" s="1" t="str">
        <f t="shared" si="2"/>
        <v>Private Equity</v>
      </c>
      <c r="E498" s="1" t="s">
        <v>43</v>
      </c>
      <c r="F498" s="1" t="s">
        <v>43</v>
      </c>
      <c r="G498" s="1" t="s">
        <v>832</v>
      </c>
      <c r="H498" s="1" t="s">
        <v>190</v>
      </c>
      <c r="I498" s="1" t="s">
        <v>318</v>
      </c>
      <c r="J498" s="1" t="s">
        <v>121</v>
      </c>
      <c r="K498" s="1" t="s">
        <v>122</v>
      </c>
      <c r="L498" s="1" t="s">
        <v>127</v>
      </c>
      <c r="N498" s="6">
        <v>2020.0</v>
      </c>
      <c r="O498" s="10">
        <f t="shared" ref="O498:R498" si="533">IFERROR(V498*INDEX($AH$4:$AH$8,MATCH($AA498,$AG$4:$AG$8,0)),"")</f>
        <v>150000000</v>
      </c>
      <c r="P498" s="10">
        <f t="shared" si="533"/>
        <v>152494110.6</v>
      </c>
      <c r="Q498" s="10">
        <f t="shared" si="533"/>
        <v>44221415.01</v>
      </c>
      <c r="R498" s="10">
        <f t="shared" si="533"/>
        <v>113773658</v>
      </c>
      <c r="S498" s="10">
        <f t="shared" si="4"/>
        <v>157995073</v>
      </c>
      <c r="T498" s="10">
        <f t="shared" si="5"/>
        <v>12272697.41</v>
      </c>
      <c r="U498" s="8">
        <v>46112.0</v>
      </c>
      <c r="V498" s="7">
        <v>1.5E8</v>
      </c>
      <c r="W498" s="7">
        <v>1.5249411056E8</v>
      </c>
      <c r="X498" s="7">
        <v>4.422141501E7</v>
      </c>
      <c r="Y498" s="7">
        <v>1.13773658E8</v>
      </c>
      <c r="Z498" s="7">
        <v>1.227269741E7</v>
      </c>
      <c r="AA498" s="6" t="s">
        <v>52</v>
      </c>
      <c r="AB498" s="11" t="str">
        <f t="shared" si="6"/>
        <v>Include</v>
      </c>
      <c r="AC498" s="1">
        <f t="shared" si="526"/>
        <v>1.036073278</v>
      </c>
    </row>
    <row r="499" ht="15.0" customHeight="1">
      <c r="B499" s="6">
        <f t="shared" si="8"/>
        <v>497</v>
      </c>
      <c r="C499" s="1" t="s">
        <v>833</v>
      </c>
      <c r="D499" s="1" t="str">
        <f t="shared" si="2"/>
        <v>Private Equity</v>
      </c>
      <c r="E499" s="1" t="s">
        <v>43</v>
      </c>
      <c r="F499" s="1" t="s">
        <v>43</v>
      </c>
      <c r="G499" s="1" t="s">
        <v>833</v>
      </c>
      <c r="H499" s="1" t="s">
        <v>258</v>
      </c>
      <c r="I499" s="1" t="s">
        <v>318</v>
      </c>
      <c r="J499" s="1" t="s">
        <v>121</v>
      </c>
      <c r="K499" s="1" t="s">
        <v>122</v>
      </c>
      <c r="L499" s="1" t="s">
        <v>127</v>
      </c>
      <c r="N499" s="6">
        <v>2019.0</v>
      </c>
      <c r="O499" s="10">
        <f t="shared" ref="O499:R499" si="534">IFERROR(V499*INDEX($AH$4:$AH$8,MATCH($AA499,$AG$4:$AG$8,0)),"")</f>
        <v>150000000</v>
      </c>
      <c r="P499" s="10">
        <f t="shared" si="534"/>
        <v>131807774</v>
      </c>
      <c r="Q499" s="10">
        <f t="shared" si="534"/>
        <v>128375683</v>
      </c>
      <c r="R499" s="10">
        <f t="shared" si="534"/>
        <v>63449881</v>
      </c>
      <c r="S499" s="10">
        <f t="shared" si="4"/>
        <v>191825564</v>
      </c>
      <c r="T499" s="10">
        <f t="shared" si="5"/>
        <v>30700584.9</v>
      </c>
      <c r="U499" s="8">
        <v>46112.0</v>
      </c>
      <c r="V499" s="7">
        <v>1.5E8</v>
      </c>
      <c r="W499" s="7">
        <v>1.31807774E8</v>
      </c>
      <c r="X499" s="7">
        <v>1.2837568295E8</v>
      </c>
      <c r="Y499" s="7">
        <v>6.3449881E7</v>
      </c>
      <c r="Z499" s="7">
        <v>3.07005849E7</v>
      </c>
      <c r="AA499" s="6" t="s">
        <v>52</v>
      </c>
      <c r="AB499" s="11" t="str">
        <f t="shared" si="6"/>
        <v>Include</v>
      </c>
      <c r="AC499" s="1">
        <f t="shared" si="526"/>
        <v>1.455343324</v>
      </c>
    </row>
    <row r="500" ht="15.0" customHeight="1">
      <c r="B500" s="6">
        <f t="shared" si="8"/>
        <v>498</v>
      </c>
      <c r="C500" s="1" t="s">
        <v>834</v>
      </c>
      <c r="D500" s="1" t="str">
        <f t="shared" si="2"/>
        <v>VC &amp; Growth</v>
      </c>
      <c r="E500" s="1" t="s">
        <v>270</v>
      </c>
      <c r="F500" s="1" t="s">
        <v>43</v>
      </c>
      <c r="G500" s="1" t="s">
        <v>834</v>
      </c>
      <c r="H500" s="1" t="s">
        <v>227</v>
      </c>
      <c r="I500" s="1" t="s">
        <v>318</v>
      </c>
      <c r="J500" s="1" t="s">
        <v>126</v>
      </c>
      <c r="K500" s="1" t="s">
        <v>126</v>
      </c>
      <c r="L500" s="1" t="s">
        <v>126</v>
      </c>
      <c r="N500" s="6">
        <v>2019.0</v>
      </c>
      <c r="O500" s="10">
        <f t="shared" ref="O500:R500" si="535">IFERROR(V500*INDEX($AH$4:$AH$8,MATCH($AA500,$AG$4:$AG$8,0)),"")</f>
        <v>150000000</v>
      </c>
      <c r="P500" s="10">
        <f t="shared" si="535"/>
        <v>145935571.9</v>
      </c>
      <c r="Q500" s="10">
        <f t="shared" si="535"/>
        <v>76995807.49</v>
      </c>
      <c r="R500" s="10">
        <f t="shared" si="535"/>
        <v>221430441.2</v>
      </c>
      <c r="S500" s="10">
        <f t="shared" si="4"/>
        <v>298426248.7</v>
      </c>
      <c r="T500" s="10">
        <f t="shared" si="5"/>
        <v>5834840.94</v>
      </c>
      <c r="U500" s="8">
        <v>46112.0</v>
      </c>
      <c r="V500" s="7">
        <v>1.5E8</v>
      </c>
      <c r="W500" s="7">
        <v>1.4593557187E8</v>
      </c>
      <c r="X500" s="7">
        <v>7.699580749E7</v>
      </c>
      <c r="Y500" s="7">
        <v>2.214304412E8</v>
      </c>
      <c r="Z500" s="7">
        <v>5834840.94</v>
      </c>
      <c r="AA500" s="6" t="s">
        <v>52</v>
      </c>
      <c r="AB500" s="11" t="str">
        <f t="shared" si="6"/>
        <v>Include</v>
      </c>
      <c r="AC500" s="1">
        <f t="shared" si="526"/>
        <v>2.044917801</v>
      </c>
    </row>
    <row r="501" ht="15.0" customHeight="1">
      <c r="B501" s="6">
        <f t="shared" si="8"/>
        <v>499</v>
      </c>
      <c r="C501" s="1" t="s">
        <v>835</v>
      </c>
      <c r="D501" s="1" t="str">
        <f t="shared" si="2"/>
        <v>Private Equity</v>
      </c>
      <c r="E501" s="1" t="s">
        <v>43</v>
      </c>
      <c r="F501" s="1" t="s">
        <v>43</v>
      </c>
      <c r="G501" s="1" t="s">
        <v>835</v>
      </c>
      <c r="H501" s="1" t="s">
        <v>208</v>
      </c>
      <c r="I501" s="1" t="s">
        <v>318</v>
      </c>
      <c r="J501" s="1" t="s">
        <v>121</v>
      </c>
      <c r="K501" s="1" t="s">
        <v>122</v>
      </c>
      <c r="L501" s="1" t="s">
        <v>180</v>
      </c>
      <c r="N501" s="6">
        <v>2019.0</v>
      </c>
      <c r="O501" s="10">
        <f t="shared" ref="O501:R501" si="536">IFERROR(V501*INDEX($AH$4:$AH$8,MATCH($AA501,$AG$4:$AG$8,0)),"")</f>
        <v>150000000</v>
      </c>
      <c r="P501" s="10">
        <f t="shared" si="536"/>
        <v>143296281.1</v>
      </c>
      <c r="Q501" s="10">
        <f t="shared" si="536"/>
        <v>119120644.6</v>
      </c>
      <c r="R501" s="10">
        <f t="shared" si="536"/>
        <v>60418020</v>
      </c>
      <c r="S501" s="10">
        <f t="shared" si="4"/>
        <v>179538664.6</v>
      </c>
      <c r="T501" s="10">
        <f t="shared" si="5"/>
        <v>21196715.89</v>
      </c>
      <c r="U501" s="8">
        <v>46112.0</v>
      </c>
      <c r="V501" s="7">
        <v>1.5E8</v>
      </c>
      <c r="W501" s="7">
        <v>1.432962811E8</v>
      </c>
      <c r="X501" s="7">
        <v>1.1912064461E8</v>
      </c>
      <c r="Y501" s="7">
        <v>6.041802E7</v>
      </c>
      <c r="Z501" s="7">
        <v>2.11967158948E7</v>
      </c>
      <c r="AA501" s="6" t="s">
        <v>52</v>
      </c>
      <c r="AB501" s="11" t="str">
        <f t="shared" si="6"/>
        <v>Include</v>
      </c>
      <c r="AC501" s="1">
        <f t="shared" si="526"/>
        <v>1.252919219</v>
      </c>
    </row>
    <row r="502" ht="15.0" customHeight="1">
      <c r="B502" s="6">
        <f t="shared" si="8"/>
        <v>500</v>
      </c>
      <c r="C502" s="1" t="s">
        <v>836</v>
      </c>
      <c r="D502" s="1" t="str">
        <f t="shared" si="2"/>
        <v>Private Equity</v>
      </c>
      <c r="E502" s="1" t="s">
        <v>43</v>
      </c>
      <c r="F502" s="1" t="s">
        <v>43</v>
      </c>
      <c r="G502" s="1" t="s">
        <v>836</v>
      </c>
      <c r="H502" s="1" t="s">
        <v>143</v>
      </c>
      <c r="I502" s="1" t="s">
        <v>318</v>
      </c>
      <c r="J502" s="1" t="s">
        <v>121</v>
      </c>
      <c r="K502" s="1" t="s">
        <v>122</v>
      </c>
      <c r="L502" s="1" t="s">
        <v>123</v>
      </c>
      <c r="N502" s="6">
        <v>2019.0</v>
      </c>
      <c r="O502" s="10">
        <f t="shared" ref="O502:R502" si="537">IFERROR(V502*INDEX($AH$4:$AH$8,MATCH($AA502,$AG$4:$AG$8,0)),"")</f>
        <v>55765456</v>
      </c>
      <c r="P502" s="10">
        <f t="shared" si="537"/>
        <v>60947771</v>
      </c>
      <c r="Q502" s="10">
        <f t="shared" si="537"/>
        <v>70377893</v>
      </c>
      <c r="R502" s="10">
        <f t="shared" si="537"/>
        <v>22353346</v>
      </c>
      <c r="S502" s="10">
        <f t="shared" si="4"/>
        <v>92731239</v>
      </c>
      <c r="T502" s="10">
        <f t="shared" si="5"/>
        <v>0</v>
      </c>
      <c r="U502" s="8">
        <v>46112.0</v>
      </c>
      <c r="V502" s="7">
        <v>5.5765456E7</v>
      </c>
      <c r="W502" s="7">
        <v>6.0947771E7</v>
      </c>
      <c r="X502" s="7">
        <v>7.0377893E7</v>
      </c>
      <c r="Y502" s="7">
        <v>2.2353346E7</v>
      </c>
      <c r="Z502" s="7">
        <v>0.0</v>
      </c>
      <c r="AA502" s="6" t="s">
        <v>52</v>
      </c>
      <c r="AB502" s="11" t="str">
        <f t="shared" si="6"/>
        <v>Include</v>
      </c>
      <c r="AC502" s="1">
        <f t="shared" si="526"/>
        <v>1.521486963</v>
      </c>
    </row>
    <row r="503" ht="15.0" customHeight="1">
      <c r="B503" s="6">
        <f t="shared" si="8"/>
        <v>501</v>
      </c>
      <c r="C503" s="1" t="s">
        <v>837</v>
      </c>
      <c r="D503" s="1" t="str">
        <f t="shared" si="2"/>
        <v>Private Equity</v>
      </c>
      <c r="E503" s="1" t="s">
        <v>43</v>
      </c>
      <c r="F503" s="1" t="s">
        <v>43</v>
      </c>
      <c r="G503" s="1" t="s">
        <v>837</v>
      </c>
      <c r="H503" s="1" t="s">
        <v>179</v>
      </c>
      <c r="I503" s="1" t="s">
        <v>318</v>
      </c>
      <c r="J503" s="1" t="s">
        <v>121</v>
      </c>
      <c r="K503" s="1" t="s">
        <v>122</v>
      </c>
      <c r="L503" s="1" t="s">
        <v>180</v>
      </c>
      <c r="N503" s="6">
        <v>2020.0</v>
      </c>
      <c r="O503" s="10">
        <f t="shared" ref="O503:R503" si="538">IFERROR(V503*INDEX($AH$4:$AH$8,MATCH($AA503,$AG$4:$AG$8,0)),"")</f>
        <v>100000000</v>
      </c>
      <c r="P503" s="10">
        <f t="shared" si="538"/>
        <v>93941054.45</v>
      </c>
      <c r="Q503" s="10">
        <f t="shared" si="538"/>
        <v>27458883.44</v>
      </c>
      <c r="R503" s="10">
        <f t="shared" si="538"/>
        <v>94059186</v>
      </c>
      <c r="S503" s="10">
        <f t="shared" si="4"/>
        <v>121518069.4</v>
      </c>
      <c r="T503" s="10">
        <f t="shared" si="5"/>
        <v>26906281.98</v>
      </c>
      <c r="U503" s="8">
        <v>46112.0</v>
      </c>
      <c r="V503" s="7">
        <v>1.0E8</v>
      </c>
      <c r="W503" s="7">
        <v>9.394105445E7</v>
      </c>
      <c r="X503" s="7">
        <v>2.745888344E7</v>
      </c>
      <c r="Y503" s="7">
        <v>9.4059186E7</v>
      </c>
      <c r="Z503" s="7">
        <v>2.690628198E7</v>
      </c>
      <c r="AA503" s="6" t="s">
        <v>52</v>
      </c>
      <c r="AB503" s="11" t="str">
        <f t="shared" si="6"/>
        <v>Include</v>
      </c>
      <c r="AC503" s="1">
        <f t="shared" si="526"/>
        <v>1.293556583</v>
      </c>
    </row>
    <row r="504" ht="15.0" customHeight="1">
      <c r="B504" s="6">
        <f t="shared" si="8"/>
        <v>502</v>
      </c>
      <c r="C504" s="1" t="s">
        <v>838</v>
      </c>
      <c r="D504" s="1" t="str">
        <f t="shared" si="2"/>
        <v>Private Equity</v>
      </c>
      <c r="E504" s="1" t="s">
        <v>43</v>
      </c>
      <c r="F504" s="1" t="s">
        <v>43</v>
      </c>
      <c r="G504" s="1" t="s">
        <v>838</v>
      </c>
      <c r="H504" s="1" t="s">
        <v>179</v>
      </c>
      <c r="I504" s="1" t="s">
        <v>318</v>
      </c>
      <c r="J504" s="1" t="s">
        <v>121</v>
      </c>
      <c r="K504" s="1" t="s">
        <v>122</v>
      </c>
      <c r="L504" s="1" t="s">
        <v>127</v>
      </c>
      <c r="N504" s="6">
        <v>2020.0</v>
      </c>
      <c r="O504" s="10">
        <f t="shared" ref="O504:R504" si="539">IFERROR(V504*INDEX($AH$4:$AH$8,MATCH($AA504,$AG$4:$AG$8,0)),"")</f>
        <v>115551000</v>
      </c>
      <c r="P504" s="10">
        <f t="shared" si="539"/>
        <v>104911001.3</v>
      </c>
      <c r="Q504" s="10">
        <f t="shared" si="539"/>
        <v>50420200.95</v>
      </c>
      <c r="R504" s="10">
        <f t="shared" si="539"/>
        <v>98105467.07</v>
      </c>
      <c r="S504" s="10">
        <f t="shared" si="4"/>
        <v>148525668</v>
      </c>
      <c r="T504" s="10">
        <f t="shared" si="5"/>
        <v>31732281.97</v>
      </c>
      <c r="U504" s="8">
        <v>46112.0</v>
      </c>
      <c r="V504" s="7">
        <v>1.0E8</v>
      </c>
      <c r="W504" s="7">
        <v>9.079194579E7</v>
      </c>
      <c r="X504" s="7">
        <v>4.363458642E7</v>
      </c>
      <c r="Y504" s="7">
        <v>8.4902309E7</v>
      </c>
      <c r="Z504" s="7">
        <v>2.746171125E7</v>
      </c>
      <c r="AA504" s="6" t="s">
        <v>45</v>
      </c>
      <c r="AB504" s="11" t="str">
        <f t="shared" si="6"/>
        <v>Include</v>
      </c>
      <c r="AC504" s="1">
        <f t="shared" si="526"/>
        <v>1.415730154</v>
      </c>
    </row>
    <row r="505" ht="15.0" customHeight="1">
      <c r="B505" s="6">
        <f t="shared" si="8"/>
        <v>503</v>
      </c>
      <c r="C505" s="1" t="s">
        <v>839</v>
      </c>
      <c r="D505" s="1" t="str">
        <f t="shared" si="2"/>
        <v>Private Equity</v>
      </c>
      <c r="E505" s="1" t="s">
        <v>43</v>
      </c>
      <c r="F505" s="1" t="s">
        <v>43</v>
      </c>
      <c r="G505" s="1" t="s">
        <v>839</v>
      </c>
      <c r="H505" s="1" t="s">
        <v>807</v>
      </c>
      <c r="I505" s="1" t="s">
        <v>318</v>
      </c>
      <c r="J505" s="1" t="s">
        <v>121</v>
      </c>
      <c r="K505" s="1" t="s">
        <v>274</v>
      </c>
      <c r="L505" s="1" t="s">
        <v>204</v>
      </c>
      <c r="N505" s="6">
        <v>2020.0</v>
      </c>
      <c r="O505" s="10">
        <f t="shared" ref="O505:R505" si="540">IFERROR(V505*INDEX($AH$4:$AH$8,MATCH($AA505,$AG$4:$AG$8,0)),"")</f>
        <v>150000000</v>
      </c>
      <c r="P505" s="10">
        <f t="shared" si="540"/>
        <v>135678367</v>
      </c>
      <c r="Q505" s="10">
        <f t="shared" si="540"/>
        <v>37849755</v>
      </c>
      <c r="R505" s="10">
        <f t="shared" si="540"/>
        <v>142557006</v>
      </c>
      <c r="S505" s="10">
        <f t="shared" si="4"/>
        <v>180406761</v>
      </c>
      <c r="T505" s="10">
        <f t="shared" si="5"/>
        <v>13810422</v>
      </c>
      <c r="U505" s="8">
        <v>46112.0</v>
      </c>
      <c r="V505" s="7">
        <v>1.5E8</v>
      </c>
      <c r="W505" s="7">
        <v>1.35678367E8</v>
      </c>
      <c r="X505" s="7">
        <v>3.7849755E7</v>
      </c>
      <c r="Y505" s="7">
        <v>1.42557006E8</v>
      </c>
      <c r="Z505" s="7">
        <v>1.3810422E7</v>
      </c>
      <c r="AA505" s="6" t="s">
        <v>52</v>
      </c>
      <c r="AB505" s="11" t="str">
        <f t="shared" si="6"/>
        <v>Include</v>
      </c>
      <c r="AC505" s="1">
        <f t="shared" si="526"/>
        <v>1.32966489</v>
      </c>
    </row>
    <row r="506" ht="15.0" customHeight="1">
      <c r="B506" s="6">
        <f t="shared" si="8"/>
        <v>504</v>
      </c>
      <c r="C506" s="1" t="s">
        <v>840</v>
      </c>
      <c r="D506" s="1" t="str">
        <f t="shared" si="2"/>
        <v>Private Equity</v>
      </c>
      <c r="E506" s="1" t="s">
        <v>43</v>
      </c>
      <c r="F506" s="1" t="s">
        <v>43</v>
      </c>
      <c r="G506" s="1" t="s">
        <v>840</v>
      </c>
      <c r="H506" s="1" t="s">
        <v>137</v>
      </c>
      <c r="I506" s="1" t="s">
        <v>318</v>
      </c>
      <c r="J506" s="1" t="s">
        <v>121</v>
      </c>
      <c r="K506" s="1" t="s">
        <v>122</v>
      </c>
      <c r="L506" s="1" t="s">
        <v>127</v>
      </c>
      <c r="N506" s="6">
        <v>2020.0</v>
      </c>
      <c r="O506" s="10">
        <f t="shared" ref="O506:R506" si="541">IFERROR(V506*INDEX($AH$4:$AH$8,MATCH($AA506,$AG$4:$AG$8,0)),"")</f>
        <v>250000000</v>
      </c>
      <c r="P506" s="10">
        <f t="shared" si="541"/>
        <v>240881633</v>
      </c>
      <c r="Q506" s="10">
        <f t="shared" si="541"/>
        <v>307277892.9</v>
      </c>
      <c r="R506" s="10">
        <f t="shared" si="541"/>
        <v>0</v>
      </c>
      <c r="S506" s="10">
        <f t="shared" si="4"/>
        <v>307277892.9</v>
      </c>
      <c r="T506" s="10">
        <f t="shared" si="5"/>
        <v>0.5</v>
      </c>
      <c r="U506" s="8">
        <v>45747.0</v>
      </c>
      <c r="V506" s="7">
        <v>2.5E8</v>
      </c>
      <c r="W506" s="7">
        <v>2.40881633E8</v>
      </c>
      <c r="X506" s="7">
        <v>3.0727789287E8</v>
      </c>
      <c r="Y506" s="7">
        <v>0.0</v>
      </c>
      <c r="Z506" s="7">
        <v>0.5</v>
      </c>
      <c r="AA506" s="6" t="s">
        <v>52</v>
      </c>
      <c r="AB506" s="11" t="str">
        <f t="shared" si="6"/>
        <v>Exclude</v>
      </c>
    </row>
    <row r="507" ht="15.0" customHeight="1">
      <c r="B507" s="6">
        <f t="shared" si="8"/>
        <v>505</v>
      </c>
      <c r="C507" s="1" t="s">
        <v>841</v>
      </c>
      <c r="D507" s="1" t="str">
        <f t="shared" si="2"/>
        <v>Private Equity</v>
      </c>
      <c r="E507" s="1" t="s">
        <v>43</v>
      </c>
      <c r="F507" s="1" t="s">
        <v>43</v>
      </c>
      <c r="G507" s="1" t="s">
        <v>841</v>
      </c>
      <c r="H507" s="1" t="s">
        <v>125</v>
      </c>
      <c r="I507" s="1" t="s">
        <v>318</v>
      </c>
      <c r="J507" s="1" t="s">
        <v>121</v>
      </c>
      <c r="K507" s="1" t="s">
        <v>122</v>
      </c>
      <c r="L507" s="1" t="s">
        <v>127</v>
      </c>
      <c r="N507" s="6">
        <v>2020.0</v>
      </c>
      <c r="O507" s="10">
        <f t="shared" ref="O507:R507" si="542">IFERROR(V507*INDEX($AH$4:$AH$8,MATCH($AA507,$AG$4:$AG$8,0)),"")</f>
        <v>165333750</v>
      </c>
      <c r="P507" s="10">
        <f t="shared" si="542"/>
        <v>149301619.4</v>
      </c>
      <c r="Q507" s="10">
        <f t="shared" si="542"/>
        <v>45200864.86</v>
      </c>
      <c r="R507" s="10">
        <f t="shared" si="542"/>
        <v>130059170.1</v>
      </c>
      <c r="S507" s="10">
        <f t="shared" si="4"/>
        <v>175260035</v>
      </c>
      <c r="T507" s="10">
        <f t="shared" si="5"/>
        <v>6830704.295</v>
      </c>
      <c r="U507" s="8">
        <v>46112.0</v>
      </c>
      <c r="V507" s="7">
        <v>1.25E8</v>
      </c>
      <c r="W507" s="7">
        <v>1.1287896407E8</v>
      </c>
      <c r="X507" s="7">
        <v>3.417395485E7</v>
      </c>
      <c r="Y507" s="7">
        <v>9.8330778E7</v>
      </c>
      <c r="Z507" s="7">
        <v>5164329.95</v>
      </c>
      <c r="AA507" s="6" t="s">
        <v>106</v>
      </c>
      <c r="AB507" s="11" t="str">
        <f t="shared" si="6"/>
        <v>Include</v>
      </c>
      <c r="AC507" s="1">
        <f t="shared" ref="AC507:AC510" si="544">S507/P507</f>
        <v>1.1738656</v>
      </c>
    </row>
    <row r="508" ht="15.0" customHeight="1">
      <c r="B508" s="6">
        <f t="shared" si="8"/>
        <v>506</v>
      </c>
      <c r="C508" s="1" t="s">
        <v>842</v>
      </c>
      <c r="D508" s="1" t="str">
        <f t="shared" si="2"/>
        <v>Private Equity</v>
      </c>
      <c r="E508" s="1" t="s">
        <v>43</v>
      </c>
      <c r="F508" s="1" t="s">
        <v>43</v>
      </c>
      <c r="G508" s="1" t="s">
        <v>842</v>
      </c>
      <c r="H508" s="1" t="s">
        <v>807</v>
      </c>
      <c r="I508" s="1" t="s">
        <v>318</v>
      </c>
      <c r="J508" s="1" t="s">
        <v>121</v>
      </c>
      <c r="K508" s="1" t="s">
        <v>274</v>
      </c>
      <c r="L508" s="1" t="s">
        <v>204</v>
      </c>
      <c r="N508" s="6">
        <v>2020.0</v>
      </c>
      <c r="O508" s="10">
        <f t="shared" ref="O508:R508" si="543">IFERROR(V508*INDEX($AH$4:$AH$8,MATCH($AA508,$AG$4:$AG$8,0)),"")</f>
        <v>200000000</v>
      </c>
      <c r="P508" s="10">
        <f t="shared" si="543"/>
        <v>36692448</v>
      </c>
      <c r="Q508" s="10">
        <f t="shared" si="543"/>
        <v>14916658</v>
      </c>
      <c r="R508" s="10">
        <f t="shared" si="543"/>
        <v>52949279</v>
      </c>
      <c r="S508" s="10">
        <f t="shared" si="4"/>
        <v>67865937</v>
      </c>
      <c r="T508" s="10">
        <f t="shared" si="5"/>
        <v>13208333</v>
      </c>
      <c r="U508" s="8">
        <v>46112.0</v>
      </c>
      <c r="V508" s="7">
        <v>2.0E8</v>
      </c>
      <c r="W508" s="7">
        <v>3.6692448E7</v>
      </c>
      <c r="X508" s="7">
        <v>1.4916658E7</v>
      </c>
      <c r="Y508" s="7">
        <v>5.2949279E7</v>
      </c>
      <c r="Z508" s="7">
        <v>1.3208333E7</v>
      </c>
      <c r="AA508" s="6" t="s">
        <v>52</v>
      </c>
      <c r="AB508" s="11" t="str">
        <f t="shared" si="6"/>
        <v>Include</v>
      </c>
      <c r="AC508" s="1">
        <f t="shared" si="544"/>
        <v>1.849588695</v>
      </c>
    </row>
    <row r="509" ht="15.0" customHeight="1">
      <c r="B509" s="6">
        <f t="shared" si="8"/>
        <v>507</v>
      </c>
      <c r="C509" s="1" t="s">
        <v>843</v>
      </c>
      <c r="D509" s="1" t="str">
        <f t="shared" si="2"/>
        <v>VC &amp; Growth</v>
      </c>
      <c r="E509" s="1" t="s">
        <v>270</v>
      </c>
      <c r="F509" s="1" t="s">
        <v>43</v>
      </c>
      <c r="G509" s="1" t="s">
        <v>844</v>
      </c>
      <c r="H509" s="1" t="s">
        <v>167</v>
      </c>
      <c r="I509" s="1" t="s">
        <v>318</v>
      </c>
      <c r="J509" s="1" t="s">
        <v>126</v>
      </c>
      <c r="K509" s="1" t="s">
        <v>126</v>
      </c>
      <c r="L509" s="1" t="s">
        <v>126</v>
      </c>
      <c r="N509" s="6">
        <v>2020.0</v>
      </c>
      <c r="O509" s="10">
        <f t="shared" ref="O509:R509" si="545">IFERROR(V509*INDEX($AH$4:$AH$8,MATCH($AA509,$AG$4:$AG$8,0)),"")</f>
        <v>200000000</v>
      </c>
      <c r="P509" s="10">
        <f t="shared" si="545"/>
        <v>200000000</v>
      </c>
      <c r="Q509" s="10">
        <f t="shared" si="545"/>
        <v>40887999.01</v>
      </c>
      <c r="R509" s="10">
        <f t="shared" si="545"/>
        <v>178627446</v>
      </c>
      <c r="S509" s="10">
        <f t="shared" si="4"/>
        <v>219515445</v>
      </c>
      <c r="T509" s="10">
        <f t="shared" si="5"/>
        <v>18526439.51</v>
      </c>
      <c r="U509" s="8">
        <v>46112.0</v>
      </c>
      <c r="V509" s="7">
        <v>2.0E8</v>
      </c>
      <c r="W509" s="7">
        <v>2.0E8</v>
      </c>
      <c r="X509" s="7">
        <v>4.088799901E7</v>
      </c>
      <c r="Y509" s="7">
        <v>1.78627446E8</v>
      </c>
      <c r="Z509" s="7">
        <v>1.852643951E7</v>
      </c>
      <c r="AA509" s="6" t="s">
        <v>52</v>
      </c>
      <c r="AB509" s="11" t="str">
        <f t="shared" si="6"/>
        <v>Include</v>
      </c>
      <c r="AC509" s="1">
        <f t="shared" si="544"/>
        <v>1.097577225</v>
      </c>
    </row>
    <row r="510" ht="15.0" customHeight="1">
      <c r="B510" s="6">
        <f t="shared" si="8"/>
        <v>508</v>
      </c>
      <c r="C510" s="1" t="s">
        <v>845</v>
      </c>
      <c r="D510" s="1" t="str">
        <f t="shared" si="2"/>
        <v>Private Equity</v>
      </c>
      <c r="E510" s="1" t="s">
        <v>43</v>
      </c>
      <c r="F510" s="1" t="s">
        <v>43</v>
      </c>
      <c r="G510" s="1" t="s">
        <v>845</v>
      </c>
      <c r="H510" s="1" t="s">
        <v>88</v>
      </c>
      <c r="I510" s="1" t="s">
        <v>318</v>
      </c>
      <c r="J510" s="1" t="s">
        <v>164</v>
      </c>
      <c r="K510" s="1" t="s">
        <v>540</v>
      </c>
      <c r="L510" s="1" t="s">
        <v>573</v>
      </c>
      <c r="N510" s="6">
        <v>2020.0</v>
      </c>
      <c r="O510" s="10">
        <f t="shared" ref="O510:R510" si="546">IFERROR(V510*INDEX($AH$4:$AH$8,MATCH($AA510,$AG$4:$AG$8,0)),"")</f>
        <v>75000000</v>
      </c>
      <c r="P510" s="10">
        <f t="shared" si="546"/>
        <v>73215528.31</v>
      </c>
      <c r="Q510" s="10">
        <f t="shared" si="546"/>
        <v>25972032.22</v>
      </c>
      <c r="R510" s="10">
        <f t="shared" si="546"/>
        <v>56434886</v>
      </c>
      <c r="S510" s="10">
        <f t="shared" si="4"/>
        <v>82406918.22</v>
      </c>
      <c r="T510" s="10">
        <f t="shared" si="5"/>
        <v>20365480.88</v>
      </c>
      <c r="U510" s="8">
        <v>46112.0</v>
      </c>
      <c r="V510" s="7">
        <v>7.5E7</v>
      </c>
      <c r="W510" s="7">
        <v>7.321552831E7</v>
      </c>
      <c r="X510" s="7">
        <v>2.597203222E7</v>
      </c>
      <c r="Y510" s="7">
        <v>5.6434886E7</v>
      </c>
      <c r="Z510" s="7">
        <v>2.036548088E7</v>
      </c>
      <c r="AA510" s="6" t="s">
        <v>52</v>
      </c>
      <c r="AB510" s="11" t="str">
        <f t="shared" si="6"/>
        <v>Include</v>
      </c>
      <c r="AC510" s="1">
        <f t="shared" si="544"/>
        <v>1.125538805</v>
      </c>
    </row>
    <row r="511" ht="15.0" customHeight="1">
      <c r="B511" s="6">
        <f t="shared" si="8"/>
        <v>509</v>
      </c>
      <c r="C511" s="1" t="s">
        <v>846</v>
      </c>
      <c r="D511" s="1" t="str">
        <f t="shared" si="2"/>
        <v>VC &amp; Growth</v>
      </c>
      <c r="E511" s="1" t="s">
        <v>270</v>
      </c>
      <c r="F511" s="1" t="s">
        <v>43</v>
      </c>
      <c r="G511" s="1" t="s">
        <v>846</v>
      </c>
      <c r="H511" s="1" t="s">
        <v>847</v>
      </c>
      <c r="I511" s="1" t="s">
        <v>318</v>
      </c>
      <c r="J511" s="1" t="s">
        <v>126</v>
      </c>
      <c r="K511" s="1" t="s">
        <v>126</v>
      </c>
      <c r="L511" s="1" t="s">
        <v>132</v>
      </c>
      <c r="N511" s="6">
        <v>2020.0</v>
      </c>
      <c r="O511" s="10">
        <f t="shared" ref="O511:R511" si="547">IFERROR(V511*INDEX($AH$4:$AH$8,MATCH($AA511,$AG$4:$AG$8,0)),"")</f>
        <v>84999991.4</v>
      </c>
      <c r="P511" s="10">
        <f t="shared" si="547"/>
        <v>84999991.4</v>
      </c>
      <c r="Q511" s="10">
        <f t="shared" si="547"/>
        <v>270462559.9</v>
      </c>
      <c r="R511" s="10">
        <f t="shared" si="547"/>
        <v>0</v>
      </c>
      <c r="S511" s="10">
        <f t="shared" si="4"/>
        <v>270462559.9</v>
      </c>
      <c r="T511" s="10">
        <f t="shared" si="5"/>
        <v>0</v>
      </c>
      <c r="U511" s="8">
        <v>44593.0</v>
      </c>
      <c r="V511" s="7">
        <v>8.49999914E7</v>
      </c>
      <c r="W511" s="7">
        <v>8.49999914E7</v>
      </c>
      <c r="X511" s="7">
        <v>2.7046255987E8</v>
      </c>
      <c r="Y511" s="7">
        <v>0.0</v>
      </c>
      <c r="Z511" s="7">
        <v>0.0</v>
      </c>
      <c r="AA511" s="6" t="s">
        <v>52</v>
      </c>
      <c r="AB511" s="11" t="str">
        <f t="shared" si="6"/>
        <v>Exclude</v>
      </c>
    </row>
    <row r="512" ht="15.0" customHeight="1">
      <c r="B512" s="6">
        <f t="shared" si="8"/>
        <v>510</v>
      </c>
      <c r="C512" s="1" t="s">
        <v>848</v>
      </c>
      <c r="D512" s="1" t="str">
        <f t="shared" si="2"/>
        <v>Private Equity</v>
      </c>
      <c r="E512" s="1" t="s">
        <v>43</v>
      </c>
      <c r="F512" s="1" t="s">
        <v>43</v>
      </c>
      <c r="G512" s="1" t="s">
        <v>848</v>
      </c>
      <c r="H512" s="1" t="s">
        <v>849</v>
      </c>
      <c r="I512" s="1" t="s">
        <v>318</v>
      </c>
      <c r="J512" s="1" t="s">
        <v>121</v>
      </c>
      <c r="K512" s="1" t="s">
        <v>122</v>
      </c>
      <c r="L512" s="1" t="s">
        <v>127</v>
      </c>
      <c r="N512" s="6">
        <v>2020.0</v>
      </c>
      <c r="O512" s="10">
        <f t="shared" ref="O512:R512" si="548">IFERROR(V512*INDEX($AH$4:$AH$8,MATCH($AA512,$AG$4:$AG$8,0)),"")</f>
        <v>53417216</v>
      </c>
      <c r="P512" s="10">
        <f t="shared" si="548"/>
        <v>56180504.84</v>
      </c>
      <c r="Q512" s="10">
        <f t="shared" si="548"/>
        <v>45680957.32</v>
      </c>
      <c r="R512" s="10">
        <f t="shared" si="548"/>
        <v>48186741.81</v>
      </c>
      <c r="S512" s="10">
        <f t="shared" si="4"/>
        <v>93867699.13</v>
      </c>
      <c r="T512" s="10">
        <f t="shared" si="5"/>
        <v>3031634.466</v>
      </c>
      <c r="U512" s="8">
        <v>46112.0</v>
      </c>
      <c r="V512" s="7">
        <v>8.48E9</v>
      </c>
      <c r="W512" s="7">
        <v>8.918672981E9</v>
      </c>
      <c r="X512" s="7">
        <v>7.25186647899E9</v>
      </c>
      <c r="Y512" s="7">
        <v>7.649660561E9</v>
      </c>
      <c r="Z512" s="7">
        <v>4.81272934E8</v>
      </c>
      <c r="AA512" s="6" t="s">
        <v>113</v>
      </c>
      <c r="AB512" s="11" t="str">
        <f t="shared" si="6"/>
        <v>Include</v>
      </c>
      <c r="AC512" s="1">
        <f t="shared" ref="AC512:AC527" si="550">S512/P512</f>
        <v>1.670823347</v>
      </c>
    </row>
    <row r="513" ht="15.0" customHeight="1">
      <c r="B513" s="6">
        <f t="shared" si="8"/>
        <v>511</v>
      </c>
      <c r="C513" s="1" t="s">
        <v>850</v>
      </c>
      <c r="D513" s="1" t="str">
        <f t="shared" si="2"/>
        <v>Private Equity</v>
      </c>
      <c r="E513" s="1" t="s">
        <v>43</v>
      </c>
      <c r="F513" s="1" t="s">
        <v>43</v>
      </c>
      <c r="G513" s="1" t="s">
        <v>850</v>
      </c>
      <c r="H513" s="1" t="s">
        <v>849</v>
      </c>
      <c r="I513" s="1" t="s">
        <v>318</v>
      </c>
      <c r="J513" s="1" t="s">
        <v>121</v>
      </c>
      <c r="K513" s="1" t="s">
        <v>122</v>
      </c>
      <c r="L513" s="1" t="s">
        <v>127</v>
      </c>
      <c r="N513" s="6">
        <v>2020.0</v>
      </c>
      <c r="O513" s="10">
        <f t="shared" ref="O513:R513" si="549">IFERROR(V513*INDEX($AH$4:$AH$8,MATCH($AA513,$AG$4:$AG$8,0)),"")</f>
        <v>13354304</v>
      </c>
      <c r="P513" s="10">
        <f t="shared" si="549"/>
        <v>12255882.01</v>
      </c>
      <c r="Q513" s="10">
        <f t="shared" si="549"/>
        <v>17156828.39</v>
      </c>
      <c r="R513" s="10">
        <f t="shared" si="549"/>
        <v>13656806.85</v>
      </c>
      <c r="S513" s="10">
        <f t="shared" si="4"/>
        <v>30813635.24</v>
      </c>
      <c r="T513" s="10">
        <f t="shared" si="5"/>
        <v>1566878.51</v>
      </c>
      <c r="U513" s="8">
        <v>46112.0</v>
      </c>
      <c r="V513" s="7">
        <v>2.12E9</v>
      </c>
      <c r="W513" s="7">
        <v>1.94562516E9</v>
      </c>
      <c r="X513" s="7">
        <v>2.723651954E9</v>
      </c>
      <c r="Y513" s="7">
        <v>2.168022424E9</v>
      </c>
      <c r="Z513" s="7">
        <v>2.48742461E8</v>
      </c>
      <c r="AA513" s="6" t="s">
        <v>113</v>
      </c>
      <c r="AB513" s="11" t="str">
        <f t="shared" si="6"/>
        <v>Include</v>
      </c>
      <c r="AC513" s="1">
        <f t="shared" si="550"/>
        <v>2.514191571</v>
      </c>
    </row>
    <row r="514" ht="15.0" customHeight="1">
      <c r="B514" s="6">
        <f t="shared" si="8"/>
        <v>512</v>
      </c>
      <c r="C514" s="1" t="s">
        <v>851</v>
      </c>
      <c r="D514" s="1" t="str">
        <f t="shared" si="2"/>
        <v>VC &amp; Growth</v>
      </c>
      <c r="E514" s="1" t="s">
        <v>270</v>
      </c>
      <c r="F514" s="1" t="s">
        <v>43</v>
      </c>
      <c r="G514" s="1" t="s">
        <v>851</v>
      </c>
      <c r="H514" s="1" t="s">
        <v>227</v>
      </c>
      <c r="I514" s="1" t="s">
        <v>318</v>
      </c>
      <c r="J514" s="1" t="s">
        <v>164</v>
      </c>
      <c r="K514" s="1" t="s">
        <v>164</v>
      </c>
      <c r="L514" s="1" t="s">
        <v>89</v>
      </c>
      <c r="N514" s="6">
        <v>2020.0</v>
      </c>
      <c r="O514" s="10">
        <f t="shared" ref="O514:R514" si="551">IFERROR(V514*INDEX($AH$4:$AH$8,MATCH($AA514,$AG$4:$AG$8,0)),"")</f>
        <v>75000000</v>
      </c>
      <c r="P514" s="10">
        <f t="shared" si="551"/>
        <v>74190000</v>
      </c>
      <c r="Q514" s="10">
        <f t="shared" si="551"/>
        <v>21243993.46</v>
      </c>
      <c r="R514" s="10">
        <f t="shared" si="551"/>
        <v>63919490.56</v>
      </c>
      <c r="S514" s="10">
        <f t="shared" si="4"/>
        <v>85163484.02</v>
      </c>
      <c r="T514" s="10">
        <f t="shared" si="5"/>
        <v>14236772.97</v>
      </c>
      <c r="U514" s="8">
        <v>46112.0</v>
      </c>
      <c r="V514" s="7">
        <v>7.5E7</v>
      </c>
      <c r="W514" s="7">
        <v>7.419E7</v>
      </c>
      <c r="X514" s="7">
        <v>2.124399346E7</v>
      </c>
      <c r="Y514" s="7">
        <v>6.391949056E7</v>
      </c>
      <c r="Z514" s="7">
        <v>1.423677297E7</v>
      </c>
      <c r="AA514" s="6" t="s">
        <v>52</v>
      </c>
      <c r="AB514" s="11" t="str">
        <f t="shared" si="6"/>
        <v>Include</v>
      </c>
      <c r="AC514" s="1">
        <f t="shared" si="550"/>
        <v>1.147910554</v>
      </c>
    </row>
    <row r="515" ht="15.0" customHeight="1">
      <c r="B515" s="6">
        <f t="shared" si="8"/>
        <v>513</v>
      </c>
      <c r="C515" s="1" t="s">
        <v>852</v>
      </c>
      <c r="D515" s="1" t="str">
        <f t="shared" si="2"/>
        <v>VC &amp; Growth</v>
      </c>
      <c r="E515" s="1" t="s">
        <v>270</v>
      </c>
      <c r="F515" s="1" t="s">
        <v>43</v>
      </c>
      <c r="G515" s="1" t="s">
        <v>852</v>
      </c>
      <c r="H515" s="1" t="s">
        <v>227</v>
      </c>
      <c r="I515" s="1" t="s">
        <v>318</v>
      </c>
      <c r="J515" s="1" t="s">
        <v>164</v>
      </c>
      <c r="K515" s="1" t="s">
        <v>164</v>
      </c>
      <c r="L515" s="1" t="s">
        <v>89</v>
      </c>
      <c r="N515" s="6">
        <v>2020.0</v>
      </c>
      <c r="O515" s="10">
        <f t="shared" ref="O515:R515" si="552">IFERROR(V515*INDEX($AH$4:$AH$8,MATCH($AA515,$AG$4:$AG$8,0)),"")</f>
        <v>93750000</v>
      </c>
      <c r="P515" s="10">
        <f t="shared" si="552"/>
        <v>92434129.02</v>
      </c>
      <c r="Q515" s="10">
        <f t="shared" si="552"/>
        <v>0</v>
      </c>
      <c r="R515" s="10">
        <f t="shared" si="552"/>
        <v>106598848.6</v>
      </c>
      <c r="S515" s="10">
        <f t="shared" si="4"/>
        <v>106598848.6</v>
      </c>
      <c r="T515" s="10">
        <f t="shared" si="5"/>
        <v>1315870.98</v>
      </c>
      <c r="U515" s="8">
        <v>46112.0</v>
      </c>
      <c r="V515" s="7">
        <v>9.375E7</v>
      </c>
      <c r="W515" s="7">
        <v>9.243412902E7</v>
      </c>
      <c r="X515" s="7">
        <v>0.0</v>
      </c>
      <c r="Y515" s="7">
        <v>1.0659884861E8</v>
      </c>
      <c r="Z515" s="7">
        <v>1315870.98</v>
      </c>
      <c r="AA515" s="6" t="s">
        <v>52</v>
      </c>
      <c r="AB515" s="11" t="str">
        <f t="shared" si="6"/>
        <v>Include</v>
      </c>
      <c r="AC515" s="1">
        <f t="shared" si="550"/>
        <v>1.15324123</v>
      </c>
    </row>
    <row r="516" ht="15.0" customHeight="1">
      <c r="B516" s="6">
        <f t="shared" si="8"/>
        <v>514</v>
      </c>
      <c r="C516" s="1" t="s">
        <v>853</v>
      </c>
      <c r="D516" s="1" t="str">
        <f t="shared" si="2"/>
        <v>VC &amp; Growth</v>
      </c>
      <c r="E516" s="1" t="s">
        <v>270</v>
      </c>
      <c r="F516" s="1" t="s">
        <v>43</v>
      </c>
      <c r="G516" s="1" t="s">
        <v>853</v>
      </c>
      <c r="H516" s="1" t="s">
        <v>854</v>
      </c>
      <c r="I516" s="1" t="s">
        <v>318</v>
      </c>
      <c r="J516" s="1" t="s">
        <v>150</v>
      </c>
      <c r="K516" s="1" t="s">
        <v>150</v>
      </c>
      <c r="L516" s="1" t="s">
        <v>151</v>
      </c>
      <c r="N516" s="6">
        <v>2020.0</v>
      </c>
      <c r="O516" s="10">
        <f t="shared" ref="O516:R516" si="553">IFERROR(V516*INDEX($AH$4:$AH$8,MATCH($AA516,$AG$4:$AG$8,0)),"")</f>
        <v>30000000</v>
      </c>
      <c r="P516" s="10">
        <f t="shared" si="553"/>
        <v>30000000</v>
      </c>
      <c r="Q516" s="10">
        <f t="shared" si="553"/>
        <v>0</v>
      </c>
      <c r="R516" s="10">
        <f t="shared" si="553"/>
        <v>35371807</v>
      </c>
      <c r="S516" s="10">
        <f t="shared" si="4"/>
        <v>35371807</v>
      </c>
      <c r="T516" s="10">
        <f t="shared" si="5"/>
        <v>0</v>
      </c>
      <c r="U516" s="8">
        <v>46112.0</v>
      </c>
      <c r="V516" s="7">
        <v>3.0E7</v>
      </c>
      <c r="W516" s="7">
        <v>3.0E7</v>
      </c>
      <c r="X516" s="7">
        <v>0.0</v>
      </c>
      <c r="Y516" s="7">
        <v>3.5371807E7</v>
      </c>
      <c r="Z516" s="7">
        <v>0.0</v>
      </c>
      <c r="AA516" s="6" t="s">
        <v>52</v>
      </c>
      <c r="AB516" s="11" t="str">
        <f t="shared" si="6"/>
        <v>Include</v>
      </c>
      <c r="AC516" s="1">
        <f t="shared" si="550"/>
        <v>1.179060233</v>
      </c>
    </row>
    <row r="517" ht="15.0" customHeight="1">
      <c r="B517" s="6">
        <f t="shared" si="8"/>
        <v>515</v>
      </c>
      <c r="C517" s="1" t="s">
        <v>855</v>
      </c>
      <c r="D517" s="1" t="str">
        <f t="shared" si="2"/>
        <v>VC &amp; Growth</v>
      </c>
      <c r="E517" s="1" t="s">
        <v>270</v>
      </c>
      <c r="F517" s="1" t="s">
        <v>43</v>
      </c>
      <c r="G517" s="1" t="s">
        <v>855</v>
      </c>
      <c r="H517" s="1" t="s">
        <v>856</v>
      </c>
      <c r="I517" s="1" t="s">
        <v>318</v>
      </c>
      <c r="J517" s="1" t="s">
        <v>150</v>
      </c>
      <c r="K517" s="1" t="s">
        <v>150</v>
      </c>
      <c r="L517" s="1" t="s">
        <v>470</v>
      </c>
      <c r="N517" s="6">
        <v>2020.0</v>
      </c>
      <c r="O517" s="10">
        <f t="shared" ref="O517:R517" si="554">IFERROR(V517*INDEX($AH$4:$AH$8,MATCH($AA517,$AG$4:$AG$8,0)),"")</f>
        <v>100000000</v>
      </c>
      <c r="P517" s="10">
        <f t="shared" si="554"/>
        <v>93849248</v>
      </c>
      <c r="Q517" s="10">
        <f t="shared" si="554"/>
        <v>82937384.02</v>
      </c>
      <c r="R517" s="10">
        <f t="shared" si="554"/>
        <v>137921910</v>
      </c>
      <c r="S517" s="10">
        <f t="shared" si="4"/>
        <v>220859294</v>
      </c>
      <c r="T517" s="10">
        <f t="shared" si="5"/>
        <v>6604048</v>
      </c>
      <c r="U517" s="8">
        <v>46112.0</v>
      </c>
      <c r="V517" s="7">
        <v>1.0E8</v>
      </c>
      <c r="W517" s="7">
        <v>9.3849248E7</v>
      </c>
      <c r="X517" s="7">
        <v>8.293738402E7</v>
      </c>
      <c r="Y517" s="7">
        <v>1.3792191E8</v>
      </c>
      <c r="Z517" s="7">
        <v>6604048.0</v>
      </c>
      <c r="AA517" s="6" t="s">
        <v>52</v>
      </c>
      <c r="AB517" s="11" t="str">
        <f t="shared" si="6"/>
        <v>Include</v>
      </c>
      <c r="AC517" s="1">
        <f t="shared" si="550"/>
        <v>2.353341116</v>
      </c>
    </row>
    <row r="518" ht="15.0" customHeight="1">
      <c r="B518" s="6">
        <f t="shared" si="8"/>
        <v>516</v>
      </c>
      <c r="C518" s="1" t="s">
        <v>857</v>
      </c>
      <c r="D518" s="1" t="str">
        <f t="shared" si="2"/>
        <v>VC &amp; Growth</v>
      </c>
      <c r="E518" s="1" t="s">
        <v>270</v>
      </c>
      <c r="F518" s="1" t="s">
        <v>43</v>
      </c>
      <c r="G518" s="1" t="s">
        <v>857</v>
      </c>
      <c r="H518" s="1" t="s">
        <v>858</v>
      </c>
      <c r="I518" s="1" t="s">
        <v>318</v>
      </c>
      <c r="J518" s="1" t="s">
        <v>126</v>
      </c>
      <c r="K518" s="1" t="s">
        <v>126</v>
      </c>
      <c r="L518" s="1" t="s">
        <v>126</v>
      </c>
      <c r="N518" s="6">
        <v>2021.0</v>
      </c>
      <c r="O518" s="10">
        <f t="shared" ref="O518:R518" si="555">IFERROR(V518*INDEX($AH$4:$AH$8,MATCH($AA518,$AG$4:$AG$8,0)),"")</f>
        <v>100000000</v>
      </c>
      <c r="P518" s="10">
        <f t="shared" si="555"/>
        <v>100000000</v>
      </c>
      <c r="Q518" s="10">
        <f t="shared" si="555"/>
        <v>0</v>
      </c>
      <c r="R518" s="10">
        <f t="shared" si="555"/>
        <v>137660639</v>
      </c>
      <c r="S518" s="10">
        <f t="shared" si="4"/>
        <v>137660639</v>
      </c>
      <c r="T518" s="10">
        <f t="shared" si="5"/>
        <v>0</v>
      </c>
      <c r="U518" s="8">
        <v>46112.0</v>
      </c>
      <c r="V518" s="7">
        <v>1.0E8</v>
      </c>
      <c r="W518" s="7">
        <v>1.0E8</v>
      </c>
      <c r="X518" s="7">
        <v>0.0</v>
      </c>
      <c r="Y518" s="7">
        <v>1.37660639E8</v>
      </c>
      <c r="Z518" s="7">
        <v>0.0</v>
      </c>
      <c r="AA518" s="6" t="s">
        <v>52</v>
      </c>
      <c r="AB518" s="11" t="str">
        <f t="shared" si="6"/>
        <v>Include</v>
      </c>
      <c r="AC518" s="1">
        <f t="shared" si="550"/>
        <v>1.37660639</v>
      </c>
    </row>
    <row r="519" ht="15.0" customHeight="1">
      <c r="B519" s="6">
        <f t="shared" si="8"/>
        <v>517</v>
      </c>
      <c r="C519" s="1" t="s">
        <v>859</v>
      </c>
      <c r="D519" s="1" t="str">
        <f t="shared" si="2"/>
        <v>VC &amp; Growth</v>
      </c>
      <c r="E519" s="1" t="s">
        <v>270</v>
      </c>
      <c r="F519" s="1" t="s">
        <v>43</v>
      </c>
      <c r="G519" s="1" t="s">
        <v>860</v>
      </c>
      <c r="H519" s="1" t="s">
        <v>208</v>
      </c>
      <c r="I519" s="1" t="s">
        <v>318</v>
      </c>
      <c r="J519" s="1" t="s">
        <v>126</v>
      </c>
      <c r="K519" s="1" t="s">
        <v>126</v>
      </c>
      <c r="L519" s="1" t="s">
        <v>126</v>
      </c>
      <c r="N519" s="6">
        <v>2021.0</v>
      </c>
      <c r="O519" s="10">
        <f t="shared" ref="O519:R519" si="556">IFERROR(V519*INDEX($AH$4:$AH$8,MATCH($AA519,$AG$4:$AG$8,0)),"")</f>
        <v>135000000</v>
      </c>
      <c r="P519" s="10">
        <f t="shared" si="556"/>
        <v>97503097.91</v>
      </c>
      <c r="Q519" s="10">
        <f t="shared" si="556"/>
        <v>0</v>
      </c>
      <c r="R519" s="10">
        <f t="shared" si="556"/>
        <v>80411416</v>
      </c>
      <c r="S519" s="10">
        <f t="shared" si="4"/>
        <v>80411416</v>
      </c>
      <c r="T519" s="10">
        <f t="shared" si="5"/>
        <v>37496902.09</v>
      </c>
      <c r="U519" s="8">
        <v>46112.0</v>
      </c>
      <c r="V519" s="7">
        <v>1.35E8</v>
      </c>
      <c r="W519" s="7">
        <v>9.750309791E7</v>
      </c>
      <c r="X519" s="7">
        <v>0.0</v>
      </c>
      <c r="Y519" s="7">
        <v>8.0411416E7</v>
      </c>
      <c r="Z519" s="7">
        <v>3.749690209E7</v>
      </c>
      <c r="AA519" s="6" t="s">
        <v>52</v>
      </c>
      <c r="AB519" s="11" t="str">
        <f t="shared" si="6"/>
        <v>Include</v>
      </c>
      <c r="AC519" s="1">
        <f t="shared" si="550"/>
        <v>0.824706268</v>
      </c>
    </row>
    <row r="520" ht="15.0" customHeight="1">
      <c r="B520" s="6">
        <f t="shared" si="8"/>
        <v>518</v>
      </c>
      <c r="C520" s="1" t="s">
        <v>861</v>
      </c>
      <c r="D520" s="1" t="str">
        <f t="shared" si="2"/>
        <v>VC &amp; Growth</v>
      </c>
      <c r="E520" s="1" t="s">
        <v>270</v>
      </c>
      <c r="F520" s="1" t="s">
        <v>43</v>
      </c>
      <c r="G520" s="1" t="s">
        <v>862</v>
      </c>
      <c r="H520" s="1" t="s">
        <v>825</v>
      </c>
      <c r="I520" s="1" t="s">
        <v>318</v>
      </c>
      <c r="J520" s="1" t="s">
        <v>150</v>
      </c>
      <c r="K520" s="1" t="s">
        <v>150</v>
      </c>
      <c r="L520" s="1" t="s">
        <v>173</v>
      </c>
      <c r="N520" s="6">
        <v>2021.0</v>
      </c>
      <c r="O520" s="10">
        <f t="shared" ref="O520:R520" si="557">IFERROR(V520*INDEX($AH$4:$AH$8,MATCH($AA520,$AG$4:$AG$8,0)),"")</f>
        <v>75000000</v>
      </c>
      <c r="P520" s="10">
        <f t="shared" si="557"/>
        <v>59764733.94</v>
      </c>
      <c r="Q520" s="10">
        <f t="shared" si="557"/>
        <v>0</v>
      </c>
      <c r="R520" s="10">
        <f t="shared" si="557"/>
        <v>98677576</v>
      </c>
      <c r="S520" s="10">
        <f t="shared" si="4"/>
        <v>98677576</v>
      </c>
      <c r="T520" s="10">
        <f t="shared" si="5"/>
        <v>15235266.06</v>
      </c>
      <c r="U520" s="8">
        <v>46112.0</v>
      </c>
      <c r="V520" s="7">
        <v>7.5E7</v>
      </c>
      <c r="W520" s="7">
        <v>5.976473394E7</v>
      </c>
      <c r="X520" s="7">
        <v>0.0</v>
      </c>
      <c r="Y520" s="7">
        <v>9.8677576E7</v>
      </c>
      <c r="Z520" s="7">
        <v>1.523526606E7</v>
      </c>
      <c r="AA520" s="6" t="s">
        <v>52</v>
      </c>
      <c r="AB520" s="11" t="str">
        <f t="shared" si="6"/>
        <v>Include</v>
      </c>
      <c r="AC520" s="1">
        <f t="shared" si="550"/>
        <v>1.651100398</v>
      </c>
    </row>
    <row r="521" ht="15.0" customHeight="1">
      <c r="B521" s="6">
        <f t="shared" si="8"/>
        <v>519</v>
      </c>
      <c r="C521" s="1" t="s">
        <v>863</v>
      </c>
      <c r="D521" s="1" t="str">
        <f t="shared" si="2"/>
        <v>VC &amp; Growth</v>
      </c>
      <c r="E521" s="1" t="s">
        <v>270</v>
      </c>
      <c r="F521" s="1" t="s">
        <v>43</v>
      </c>
      <c r="G521" s="1" t="s">
        <v>863</v>
      </c>
      <c r="H521" s="1" t="s">
        <v>245</v>
      </c>
      <c r="I521" s="1" t="s">
        <v>318</v>
      </c>
      <c r="J521" s="1" t="s">
        <v>126</v>
      </c>
      <c r="K521" s="1" t="s">
        <v>126</v>
      </c>
      <c r="L521" s="1" t="s">
        <v>126</v>
      </c>
      <c r="N521" s="6">
        <v>2021.0</v>
      </c>
      <c r="O521" s="10">
        <f t="shared" ref="O521:R521" si="558">IFERROR(V521*INDEX($AH$4:$AH$8,MATCH($AA521,$AG$4:$AG$8,0)),"")</f>
        <v>150000000</v>
      </c>
      <c r="P521" s="10">
        <f t="shared" si="558"/>
        <v>93186793</v>
      </c>
      <c r="Q521" s="10">
        <f t="shared" si="558"/>
        <v>611142</v>
      </c>
      <c r="R521" s="10">
        <f t="shared" si="558"/>
        <v>97367899</v>
      </c>
      <c r="S521" s="10">
        <f t="shared" si="4"/>
        <v>97979041</v>
      </c>
      <c r="T521" s="10">
        <f t="shared" si="5"/>
        <v>57424349</v>
      </c>
      <c r="U521" s="8">
        <v>46112.0</v>
      </c>
      <c r="V521" s="7">
        <v>1.5E8</v>
      </c>
      <c r="W521" s="7">
        <v>9.3186793E7</v>
      </c>
      <c r="X521" s="7">
        <v>611142.0</v>
      </c>
      <c r="Y521" s="7">
        <v>9.7367899E7</v>
      </c>
      <c r="Z521" s="7">
        <v>5.7424349E7</v>
      </c>
      <c r="AA521" s="6" t="s">
        <v>52</v>
      </c>
      <c r="AB521" s="11" t="str">
        <f t="shared" si="6"/>
        <v>Include</v>
      </c>
      <c r="AC521" s="1">
        <f t="shared" si="550"/>
        <v>1.051426257</v>
      </c>
    </row>
    <row r="522" ht="15.0" customHeight="1">
      <c r="B522" s="6">
        <f t="shared" si="8"/>
        <v>520</v>
      </c>
      <c r="C522" s="1" t="s">
        <v>864</v>
      </c>
      <c r="D522" s="1" t="str">
        <f t="shared" si="2"/>
        <v>VC &amp; Growth</v>
      </c>
      <c r="E522" s="1" t="s">
        <v>270</v>
      </c>
      <c r="F522" s="1" t="s">
        <v>43</v>
      </c>
      <c r="G522" s="1" t="s">
        <v>864</v>
      </c>
      <c r="H522" s="1" t="s">
        <v>227</v>
      </c>
      <c r="I522" s="1" t="s">
        <v>318</v>
      </c>
      <c r="J522" s="1" t="s">
        <v>126</v>
      </c>
      <c r="K522" s="1" t="s">
        <v>126</v>
      </c>
      <c r="L522" s="1" t="s">
        <v>126</v>
      </c>
      <c r="N522" s="6">
        <v>2021.0</v>
      </c>
      <c r="O522" s="10">
        <f t="shared" ref="O522:R522" si="559">IFERROR(V522*INDEX($AH$4:$AH$8,MATCH($AA522,$AG$4:$AG$8,0)),"")</f>
        <v>75000000</v>
      </c>
      <c r="P522" s="10">
        <f t="shared" si="559"/>
        <v>72094565.42</v>
      </c>
      <c r="Q522" s="10">
        <f t="shared" si="559"/>
        <v>0</v>
      </c>
      <c r="R522" s="10">
        <f t="shared" si="559"/>
        <v>78552031.08</v>
      </c>
      <c r="S522" s="10">
        <f t="shared" si="4"/>
        <v>78552031.08</v>
      </c>
      <c r="T522" s="10">
        <f t="shared" si="5"/>
        <v>3187500</v>
      </c>
      <c r="U522" s="8">
        <v>46112.0</v>
      </c>
      <c r="V522" s="7">
        <v>7.5E7</v>
      </c>
      <c r="W522" s="7">
        <v>7.209456542E7</v>
      </c>
      <c r="X522" s="7">
        <v>0.0</v>
      </c>
      <c r="Y522" s="7">
        <v>7.855203108E7</v>
      </c>
      <c r="Z522" s="7">
        <v>3187500.0</v>
      </c>
      <c r="AA522" s="6" t="s">
        <v>52</v>
      </c>
      <c r="AB522" s="11" t="str">
        <f t="shared" si="6"/>
        <v>Include</v>
      </c>
      <c r="AC522" s="1">
        <f t="shared" si="550"/>
        <v>1.089569382</v>
      </c>
    </row>
    <row r="523" ht="15.0" customHeight="1">
      <c r="B523" s="6">
        <f t="shared" si="8"/>
        <v>521</v>
      </c>
      <c r="C523" s="1" t="s">
        <v>865</v>
      </c>
      <c r="D523" s="1" t="str">
        <f t="shared" si="2"/>
        <v>Private Equity</v>
      </c>
      <c r="E523" s="1" t="s">
        <v>43</v>
      </c>
      <c r="F523" s="1" t="s">
        <v>43</v>
      </c>
      <c r="G523" s="1" t="s">
        <v>865</v>
      </c>
      <c r="H523" s="1" t="s">
        <v>190</v>
      </c>
      <c r="I523" s="1" t="s">
        <v>318</v>
      </c>
      <c r="J523" s="1" t="s">
        <v>121</v>
      </c>
      <c r="K523" s="1" t="s">
        <v>122</v>
      </c>
      <c r="L523" s="1" t="s">
        <v>123</v>
      </c>
      <c r="N523" s="6">
        <v>2022.0</v>
      </c>
      <c r="O523" s="10">
        <f t="shared" ref="O523:R523" si="560">IFERROR(V523*INDEX($AH$4:$AH$8,MATCH($AA523,$AG$4:$AG$8,0)),"")</f>
        <v>80000000</v>
      </c>
      <c r="P523" s="10">
        <f t="shared" si="560"/>
        <v>54520507.61</v>
      </c>
      <c r="Q523" s="10">
        <f t="shared" si="560"/>
        <v>0</v>
      </c>
      <c r="R523" s="10">
        <f t="shared" si="560"/>
        <v>34338700</v>
      </c>
      <c r="S523" s="10">
        <f t="shared" si="4"/>
        <v>34338700</v>
      </c>
      <c r="T523" s="10">
        <f t="shared" si="5"/>
        <v>25479492.39</v>
      </c>
      <c r="U523" s="8">
        <v>46112.0</v>
      </c>
      <c r="V523" s="7">
        <v>8.0E7</v>
      </c>
      <c r="W523" s="7">
        <v>5.452050761E7</v>
      </c>
      <c r="X523" s="7">
        <v>0.0</v>
      </c>
      <c r="Y523" s="7">
        <v>3.43387E7</v>
      </c>
      <c r="Z523" s="7">
        <v>2.547949239E7</v>
      </c>
      <c r="AA523" s="6" t="s">
        <v>52</v>
      </c>
      <c r="AB523" s="11" t="str">
        <f t="shared" si="6"/>
        <v>Include</v>
      </c>
      <c r="AC523" s="1">
        <f t="shared" si="550"/>
        <v>0.6298308931</v>
      </c>
    </row>
    <row r="524" ht="15.0" customHeight="1">
      <c r="B524" s="6">
        <f t="shared" si="8"/>
        <v>522</v>
      </c>
      <c r="C524" s="1" t="s">
        <v>866</v>
      </c>
      <c r="D524" s="1" t="str">
        <f t="shared" si="2"/>
        <v>VC &amp; Growth</v>
      </c>
      <c r="E524" s="1" t="s">
        <v>270</v>
      </c>
      <c r="F524" s="1" t="s">
        <v>43</v>
      </c>
      <c r="G524" s="1" t="s">
        <v>866</v>
      </c>
      <c r="H524" s="1" t="s">
        <v>227</v>
      </c>
      <c r="I524" s="1" t="s">
        <v>318</v>
      </c>
      <c r="J524" s="1" t="s">
        <v>121</v>
      </c>
      <c r="K524" s="1" t="s">
        <v>122</v>
      </c>
      <c r="L524" s="1" t="s">
        <v>127</v>
      </c>
      <c r="N524" s="6">
        <v>2021.0</v>
      </c>
      <c r="O524" s="10">
        <f t="shared" ref="O524:R524" si="561">IFERROR(V524*INDEX($AH$4:$AH$8,MATCH($AA524,$AG$4:$AG$8,0)),"")</f>
        <v>50000000</v>
      </c>
      <c r="P524" s="10">
        <f t="shared" si="561"/>
        <v>47576783.89</v>
      </c>
      <c r="Q524" s="10">
        <f t="shared" si="561"/>
        <v>0</v>
      </c>
      <c r="R524" s="10">
        <f t="shared" si="561"/>
        <v>57657794.36</v>
      </c>
      <c r="S524" s="10">
        <f t="shared" si="4"/>
        <v>57657794.36</v>
      </c>
      <c r="T524" s="10">
        <f t="shared" si="5"/>
        <v>2500000</v>
      </c>
      <c r="U524" s="8">
        <v>46112.0</v>
      </c>
      <c r="V524" s="7">
        <v>5.0E7</v>
      </c>
      <c r="W524" s="7">
        <v>4.757678389E7</v>
      </c>
      <c r="X524" s="7">
        <v>0.0</v>
      </c>
      <c r="Y524" s="7">
        <v>5.765779436E7</v>
      </c>
      <c r="Z524" s="7">
        <v>2500000.0</v>
      </c>
      <c r="AA524" s="6" t="s">
        <v>52</v>
      </c>
      <c r="AB524" s="11" t="str">
        <f t="shared" si="6"/>
        <v>Include</v>
      </c>
      <c r="AC524" s="1">
        <f t="shared" si="550"/>
        <v>1.21188928</v>
      </c>
    </row>
    <row r="525" ht="15.0" customHeight="1">
      <c r="B525" s="6">
        <f t="shared" si="8"/>
        <v>523</v>
      </c>
      <c r="C525" s="1" t="s">
        <v>867</v>
      </c>
      <c r="D525" s="1" t="str">
        <f t="shared" si="2"/>
        <v>Private Equity</v>
      </c>
      <c r="E525" s="1" t="s">
        <v>43</v>
      </c>
      <c r="F525" s="1" t="s">
        <v>43</v>
      </c>
      <c r="G525" s="1" t="s">
        <v>868</v>
      </c>
      <c r="H525" s="1" t="s">
        <v>88</v>
      </c>
      <c r="I525" s="1" t="s">
        <v>318</v>
      </c>
      <c r="J525" s="1" t="s">
        <v>164</v>
      </c>
      <c r="K525" s="1" t="s">
        <v>164</v>
      </c>
      <c r="L525" s="1" t="s">
        <v>164</v>
      </c>
      <c r="N525" s="6">
        <v>2021.0</v>
      </c>
      <c r="O525" s="10">
        <f t="shared" ref="O525:R525" si="562">IFERROR(V525*INDEX($AH$4:$AH$8,MATCH($AA525,$AG$4:$AG$8,0)),"")</f>
        <v>85000000</v>
      </c>
      <c r="P525" s="10">
        <f t="shared" si="562"/>
        <v>71014323.21</v>
      </c>
      <c r="Q525" s="10">
        <f t="shared" si="562"/>
        <v>226536.38</v>
      </c>
      <c r="R525" s="10">
        <f t="shared" si="562"/>
        <v>68579317</v>
      </c>
      <c r="S525" s="10">
        <f t="shared" si="4"/>
        <v>68805853.38</v>
      </c>
      <c r="T525" s="10">
        <f t="shared" si="5"/>
        <v>14118173.85</v>
      </c>
      <c r="U525" s="8">
        <v>46112.0</v>
      </c>
      <c r="V525" s="7">
        <v>8.5E7</v>
      </c>
      <c r="W525" s="7">
        <v>7.101432321E7</v>
      </c>
      <c r="X525" s="7">
        <v>226536.38</v>
      </c>
      <c r="Y525" s="7">
        <v>6.8579317E7</v>
      </c>
      <c r="Z525" s="7">
        <v>1.411817385E7</v>
      </c>
      <c r="AA525" s="6" t="s">
        <v>52</v>
      </c>
      <c r="AB525" s="11" t="str">
        <f t="shared" si="6"/>
        <v>Include</v>
      </c>
      <c r="AC525" s="1">
        <f t="shared" si="550"/>
        <v>0.9689010649</v>
      </c>
    </row>
    <row r="526" ht="15.0" customHeight="1">
      <c r="B526" s="6">
        <f t="shared" si="8"/>
        <v>524</v>
      </c>
      <c r="C526" s="1" t="s">
        <v>869</v>
      </c>
      <c r="D526" s="1" t="str">
        <f t="shared" si="2"/>
        <v>VC &amp; Growth</v>
      </c>
      <c r="E526" s="1" t="s">
        <v>270</v>
      </c>
      <c r="F526" s="1" t="s">
        <v>43</v>
      </c>
      <c r="G526" s="1" t="s">
        <v>869</v>
      </c>
      <c r="H526" s="1" t="s">
        <v>858</v>
      </c>
      <c r="I526" s="1" t="s">
        <v>318</v>
      </c>
      <c r="J526" s="1" t="s">
        <v>126</v>
      </c>
      <c r="K526" s="1" t="s">
        <v>126</v>
      </c>
      <c r="L526" s="1" t="s">
        <v>126</v>
      </c>
      <c r="N526" s="6">
        <v>2022.0</v>
      </c>
      <c r="O526" s="10">
        <f t="shared" ref="O526:R526" si="563">IFERROR(V526*INDEX($AH$4:$AH$8,MATCH($AA526,$AG$4:$AG$8,0)),"")</f>
        <v>100000000</v>
      </c>
      <c r="P526" s="10">
        <f t="shared" si="563"/>
        <v>89674874</v>
      </c>
      <c r="Q526" s="10">
        <f t="shared" si="563"/>
        <v>14226412</v>
      </c>
      <c r="R526" s="10">
        <f t="shared" si="563"/>
        <v>88500358</v>
      </c>
      <c r="S526" s="10">
        <f t="shared" si="4"/>
        <v>102726770</v>
      </c>
      <c r="T526" s="10">
        <f t="shared" si="5"/>
        <v>10325004</v>
      </c>
      <c r="U526" s="8">
        <v>46112.0</v>
      </c>
      <c r="V526" s="7">
        <v>1.0E8</v>
      </c>
      <c r="W526" s="7">
        <v>8.9674874E7</v>
      </c>
      <c r="X526" s="7">
        <v>1.4226412E7</v>
      </c>
      <c r="Y526" s="7">
        <v>8.8500358E7</v>
      </c>
      <c r="Z526" s="7">
        <v>1.0325004E7</v>
      </c>
      <c r="AA526" s="6" t="s">
        <v>52</v>
      </c>
      <c r="AB526" s="11" t="str">
        <f t="shared" si="6"/>
        <v>Include</v>
      </c>
      <c r="AC526" s="1">
        <f t="shared" si="550"/>
        <v>1.145546856</v>
      </c>
    </row>
    <row r="527" ht="15.0" customHeight="1">
      <c r="B527" s="6">
        <f t="shared" si="8"/>
        <v>525</v>
      </c>
      <c r="C527" s="1" t="s">
        <v>870</v>
      </c>
      <c r="D527" s="1" t="str">
        <f t="shared" si="2"/>
        <v>Private Equity</v>
      </c>
      <c r="E527" s="1" t="s">
        <v>43</v>
      </c>
      <c r="F527" s="1" t="s">
        <v>43</v>
      </c>
      <c r="G527" s="1" t="s">
        <v>870</v>
      </c>
      <c r="H527" s="1" t="s">
        <v>179</v>
      </c>
      <c r="I527" s="1" t="s">
        <v>318</v>
      </c>
      <c r="J527" s="1" t="s">
        <v>121</v>
      </c>
      <c r="K527" s="1" t="s">
        <v>122</v>
      </c>
      <c r="L527" s="1" t="s">
        <v>180</v>
      </c>
      <c r="N527" s="6">
        <v>2022.0</v>
      </c>
      <c r="O527" s="10">
        <f t="shared" ref="O527:R527" si="564">IFERROR(V527*INDEX($AH$4:$AH$8,MATCH($AA527,$AG$4:$AG$8,0)),"")</f>
        <v>100000000</v>
      </c>
      <c r="P527" s="10">
        <f t="shared" si="564"/>
        <v>53224671.65</v>
      </c>
      <c r="Q527" s="10">
        <f t="shared" si="564"/>
        <v>0</v>
      </c>
      <c r="R527" s="10">
        <f t="shared" si="564"/>
        <v>60612133</v>
      </c>
      <c r="S527" s="10">
        <f t="shared" si="4"/>
        <v>60612133</v>
      </c>
      <c r="T527" s="10">
        <f t="shared" si="5"/>
        <v>46775328.35</v>
      </c>
      <c r="U527" s="8">
        <v>46112.0</v>
      </c>
      <c r="V527" s="7">
        <v>1.0E8</v>
      </c>
      <c r="W527" s="7">
        <v>5.322467165E7</v>
      </c>
      <c r="X527" s="7">
        <v>0.0</v>
      </c>
      <c r="Y527" s="7">
        <v>6.0612133E7</v>
      </c>
      <c r="Z527" s="7">
        <v>4.677532835E7</v>
      </c>
      <c r="AA527" s="6" t="s">
        <v>52</v>
      </c>
      <c r="AB527" s="11" t="str">
        <f t="shared" si="6"/>
        <v>Include</v>
      </c>
      <c r="AC527" s="1">
        <f t="shared" si="550"/>
        <v>1.138797688</v>
      </c>
    </row>
    <row r="528" ht="15.0" customHeight="1">
      <c r="B528" s="6">
        <f t="shared" si="8"/>
        <v>526</v>
      </c>
      <c r="C528" s="1" t="s">
        <v>871</v>
      </c>
      <c r="D528" s="1" t="str">
        <f t="shared" si="2"/>
        <v>VC &amp; Growth</v>
      </c>
      <c r="E528" s="1" t="s">
        <v>270</v>
      </c>
      <c r="F528" s="1" t="s">
        <v>43</v>
      </c>
      <c r="G528" s="1" t="s">
        <v>872</v>
      </c>
      <c r="H528" s="1" t="s">
        <v>873</v>
      </c>
      <c r="I528" s="1" t="s">
        <v>318</v>
      </c>
      <c r="J528" s="1" t="s">
        <v>150</v>
      </c>
      <c r="K528" s="1" t="s">
        <v>150</v>
      </c>
      <c r="L528" s="1" t="s">
        <v>470</v>
      </c>
      <c r="N528" s="6">
        <v>2022.0</v>
      </c>
      <c r="O528" s="10">
        <f t="shared" ref="O528:R528" si="565">IFERROR(V528*INDEX($AH$4:$AH$8,MATCH($AA528,$AG$4:$AG$8,0)),"")</f>
        <v>58724523.5</v>
      </c>
      <c r="P528" s="10">
        <f t="shared" si="565"/>
        <v>59102624.07</v>
      </c>
      <c r="Q528" s="10">
        <f t="shared" si="565"/>
        <v>0</v>
      </c>
      <c r="R528" s="10">
        <f t="shared" si="565"/>
        <v>1000000</v>
      </c>
      <c r="S528" s="10">
        <f t="shared" si="4"/>
        <v>1000000</v>
      </c>
      <c r="T528" s="10">
        <f t="shared" si="5"/>
        <v>0</v>
      </c>
      <c r="U528" s="8">
        <v>45838.0</v>
      </c>
      <c r="V528" s="7">
        <v>5.87245235E7</v>
      </c>
      <c r="W528" s="7">
        <v>5.910262407E7</v>
      </c>
      <c r="X528" s="7">
        <v>0.0</v>
      </c>
      <c r="Y528" s="7">
        <v>1000000.0</v>
      </c>
      <c r="Z528" s="7">
        <v>0.0</v>
      </c>
      <c r="AA528" s="6" t="s">
        <v>52</v>
      </c>
      <c r="AB528" s="11" t="str">
        <f t="shared" si="6"/>
        <v>Exclude</v>
      </c>
    </row>
    <row r="529" ht="15.0" customHeight="1">
      <c r="B529" s="6">
        <f t="shared" si="8"/>
        <v>527</v>
      </c>
      <c r="C529" s="1" t="s">
        <v>874</v>
      </c>
      <c r="D529" s="1" t="str">
        <f t="shared" si="2"/>
        <v>Private Equity</v>
      </c>
      <c r="E529" s="1" t="s">
        <v>43</v>
      </c>
      <c r="F529" s="1" t="s">
        <v>43</v>
      </c>
      <c r="G529" s="1" t="s">
        <v>874</v>
      </c>
      <c r="H529" s="1" t="s">
        <v>875</v>
      </c>
      <c r="I529" s="1" t="s">
        <v>318</v>
      </c>
      <c r="J529" s="1" t="s">
        <v>121</v>
      </c>
      <c r="K529" s="1" t="s">
        <v>122</v>
      </c>
      <c r="L529" s="1" t="s">
        <v>180</v>
      </c>
      <c r="N529" s="6">
        <v>2023.0</v>
      </c>
      <c r="O529" s="10">
        <f t="shared" ref="O529:R529" si="566">IFERROR(V529*INDEX($AH$4:$AH$8,MATCH($AA529,$AG$4:$AG$8,0)),"")</f>
        <v>109773450</v>
      </c>
      <c r="P529" s="10">
        <f t="shared" si="566"/>
        <v>58445145.6</v>
      </c>
      <c r="Q529" s="10">
        <f t="shared" si="566"/>
        <v>0</v>
      </c>
      <c r="R529" s="10">
        <f t="shared" si="566"/>
        <v>62057011.2</v>
      </c>
      <c r="S529" s="10">
        <f t="shared" si="4"/>
        <v>62057011.2</v>
      </c>
      <c r="T529" s="10">
        <f t="shared" si="5"/>
        <v>51328304.4</v>
      </c>
      <c r="U529" s="8">
        <v>46112.0</v>
      </c>
      <c r="V529" s="7">
        <v>9.5E7</v>
      </c>
      <c r="W529" s="7">
        <v>5.057952385E7</v>
      </c>
      <c r="X529" s="7">
        <v>0.0</v>
      </c>
      <c r="Y529" s="7">
        <v>5.37053E7</v>
      </c>
      <c r="Z529" s="7">
        <v>4.442047615E7</v>
      </c>
      <c r="AA529" s="6" t="s">
        <v>45</v>
      </c>
      <c r="AB529" s="11" t="str">
        <f t="shared" si="6"/>
        <v>Include</v>
      </c>
      <c r="AC529" s="1">
        <f t="shared" ref="AC529:AC538" si="568">S529/P529</f>
        <v>1.06179924</v>
      </c>
    </row>
    <row r="530" ht="15.0" customHeight="1">
      <c r="B530" s="6">
        <f t="shared" si="8"/>
        <v>528</v>
      </c>
      <c r="C530" s="1" t="s">
        <v>876</v>
      </c>
      <c r="D530" s="1" t="str">
        <f t="shared" si="2"/>
        <v>Private Equity</v>
      </c>
      <c r="E530" s="1" t="s">
        <v>43</v>
      </c>
      <c r="F530" s="1" t="s">
        <v>43</v>
      </c>
      <c r="G530" s="1" t="s">
        <v>876</v>
      </c>
      <c r="H530" s="1" t="s">
        <v>190</v>
      </c>
      <c r="I530" s="1" t="s">
        <v>318</v>
      </c>
      <c r="J530" s="1" t="s">
        <v>121</v>
      </c>
      <c r="K530" s="1" t="s">
        <v>122</v>
      </c>
      <c r="L530" s="1" t="s">
        <v>127</v>
      </c>
      <c r="N530" s="6">
        <v>2022.0</v>
      </c>
      <c r="O530" s="10">
        <f t="shared" ref="O530:R530" si="567">IFERROR(V530*INDEX($AH$4:$AH$8,MATCH($AA530,$AG$4:$AG$8,0)),"")</f>
        <v>125000000</v>
      </c>
      <c r="P530" s="10">
        <f t="shared" si="567"/>
        <v>23404324.12</v>
      </c>
      <c r="Q530" s="10">
        <f t="shared" si="567"/>
        <v>0</v>
      </c>
      <c r="R530" s="10">
        <f t="shared" si="567"/>
        <v>21535824</v>
      </c>
      <c r="S530" s="10">
        <f t="shared" si="4"/>
        <v>21535824</v>
      </c>
      <c r="T530" s="10">
        <f t="shared" si="5"/>
        <v>101595675.9</v>
      </c>
      <c r="U530" s="8">
        <v>46112.0</v>
      </c>
      <c r="V530" s="7">
        <v>1.25E8</v>
      </c>
      <c r="W530" s="7">
        <v>2.340432412E7</v>
      </c>
      <c r="X530" s="7">
        <v>0.0</v>
      </c>
      <c r="Y530" s="7">
        <v>2.1535824E7</v>
      </c>
      <c r="Z530" s="7">
        <v>1.0159567588E8</v>
      </c>
      <c r="AA530" s="6" t="s">
        <v>52</v>
      </c>
      <c r="AB530" s="11" t="str">
        <f t="shared" si="6"/>
        <v>Include</v>
      </c>
      <c r="AC530" s="1">
        <f t="shared" si="568"/>
        <v>0.9201643205</v>
      </c>
    </row>
    <row r="531" ht="15.0" customHeight="1">
      <c r="B531" s="6">
        <f t="shared" si="8"/>
        <v>529</v>
      </c>
      <c r="C531" s="1" t="s">
        <v>877</v>
      </c>
      <c r="D531" s="1" t="str">
        <f t="shared" si="2"/>
        <v>VC &amp; Growth</v>
      </c>
      <c r="E531" s="1" t="s">
        <v>270</v>
      </c>
      <c r="F531" s="1" t="s">
        <v>43</v>
      </c>
      <c r="G531" s="1" t="s">
        <v>877</v>
      </c>
      <c r="H531" s="1" t="s">
        <v>227</v>
      </c>
      <c r="I531" s="1" t="s">
        <v>318</v>
      </c>
      <c r="J531" s="1" t="s">
        <v>150</v>
      </c>
      <c r="K531" s="1" t="s">
        <v>150</v>
      </c>
      <c r="L531" s="1" t="s">
        <v>649</v>
      </c>
      <c r="N531" s="6">
        <v>2022.0</v>
      </c>
      <c r="O531" s="10">
        <f t="shared" ref="O531:R531" si="569">IFERROR(V531*INDEX($AH$4:$AH$8,MATCH($AA531,$AG$4:$AG$8,0)),"")</f>
        <v>20000000</v>
      </c>
      <c r="P531" s="10">
        <f t="shared" si="569"/>
        <v>8301050.32</v>
      </c>
      <c r="Q531" s="10">
        <f t="shared" si="569"/>
        <v>98494.76</v>
      </c>
      <c r="R531" s="10">
        <f t="shared" si="569"/>
        <v>5669660.27</v>
      </c>
      <c r="S531" s="10">
        <f t="shared" si="4"/>
        <v>5768155.03</v>
      </c>
      <c r="T531" s="10">
        <f t="shared" si="5"/>
        <v>11794844.61</v>
      </c>
      <c r="U531" s="8">
        <v>46022.0</v>
      </c>
      <c r="V531" s="7">
        <v>2.0E7</v>
      </c>
      <c r="W531" s="7">
        <v>8301050.32</v>
      </c>
      <c r="X531" s="7">
        <v>98494.76</v>
      </c>
      <c r="Y531" s="7">
        <v>5669660.27</v>
      </c>
      <c r="Z531" s="7">
        <v>1.179484461E7</v>
      </c>
      <c r="AA531" s="6" t="s">
        <v>52</v>
      </c>
      <c r="AB531" s="11" t="str">
        <f t="shared" si="6"/>
        <v>Include</v>
      </c>
      <c r="AC531" s="1">
        <f t="shared" si="568"/>
        <v>0.6948705053</v>
      </c>
    </row>
    <row r="532" ht="15.0" customHeight="1">
      <c r="B532" s="6">
        <f t="shared" si="8"/>
        <v>530</v>
      </c>
      <c r="C532" s="1" t="s">
        <v>878</v>
      </c>
      <c r="D532" s="1" t="str">
        <f t="shared" si="2"/>
        <v>VC &amp; Growth</v>
      </c>
      <c r="E532" s="1" t="s">
        <v>270</v>
      </c>
      <c r="F532" s="1" t="s">
        <v>43</v>
      </c>
      <c r="G532" s="1" t="s">
        <v>879</v>
      </c>
      <c r="H532" s="1" t="s">
        <v>856</v>
      </c>
      <c r="I532" s="1" t="s">
        <v>318</v>
      </c>
      <c r="J532" s="1" t="s">
        <v>150</v>
      </c>
      <c r="K532" s="1" t="s">
        <v>150</v>
      </c>
      <c r="L532" s="1" t="s">
        <v>470</v>
      </c>
      <c r="N532" s="6">
        <v>2023.0</v>
      </c>
      <c r="O532" s="10">
        <f t="shared" ref="O532:R532" si="570">IFERROR(V532*INDEX($AH$4:$AH$8,MATCH($AA532,$AG$4:$AG$8,0)),"")</f>
        <v>100000000</v>
      </c>
      <c r="P532" s="10">
        <f t="shared" si="570"/>
        <v>88834672</v>
      </c>
      <c r="Q532" s="10">
        <f t="shared" si="570"/>
        <v>0</v>
      </c>
      <c r="R532" s="10">
        <f t="shared" si="570"/>
        <v>119190795</v>
      </c>
      <c r="S532" s="10">
        <f t="shared" si="4"/>
        <v>119190795</v>
      </c>
      <c r="T532" s="10">
        <f t="shared" si="5"/>
        <v>11165328</v>
      </c>
      <c r="U532" s="8">
        <v>46112.0</v>
      </c>
      <c r="V532" s="7">
        <v>1.0E8</v>
      </c>
      <c r="W532" s="7">
        <v>8.8834672E7</v>
      </c>
      <c r="X532" s="7">
        <v>0.0</v>
      </c>
      <c r="Y532" s="7">
        <v>1.19190795E8</v>
      </c>
      <c r="Z532" s="7">
        <v>1.1165328E7</v>
      </c>
      <c r="AA532" s="6" t="s">
        <v>52</v>
      </c>
      <c r="AB532" s="11" t="str">
        <f t="shared" si="6"/>
        <v>Include</v>
      </c>
      <c r="AC532" s="1">
        <f t="shared" si="568"/>
        <v>1.341714809</v>
      </c>
    </row>
    <row r="533" ht="15.0" customHeight="1">
      <c r="B533" s="6">
        <f t="shared" si="8"/>
        <v>531</v>
      </c>
      <c r="C533" s="1" t="s">
        <v>880</v>
      </c>
      <c r="D533" s="1" t="str">
        <f t="shared" si="2"/>
        <v>Private Equity</v>
      </c>
      <c r="E533" s="1" t="s">
        <v>43</v>
      </c>
      <c r="F533" s="1" t="s">
        <v>43</v>
      </c>
      <c r="G533" s="1" t="s">
        <v>881</v>
      </c>
      <c r="H533" s="1" t="s">
        <v>882</v>
      </c>
      <c r="I533" s="1" t="s">
        <v>318</v>
      </c>
      <c r="J533" s="1" t="s">
        <v>121</v>
      </c>
      <c r="K533" s="1" t="s">
        <v>122</v>
      </c>
      <c r="L533" s="1" t="s">
        <v>180</v>
      </c>
      <c r="N533" s="6">
        <v>2023.0</v>
      </c>
      <c r="O533" s="10">
        <f t="shared" ref="O533:R533" si="571">IFERROR(V533*INDEX($AH$4:$AH$8,MATCH($AA533,$AG$4:$AG$8,0)),"")</f>
        <v>100000000</v>
      </c>
      <c r="P533" s="10">
        <f t="shared" si="571"/>
        <v>53634873.01</v>
      </c>
      <c r="Q533" s="10">
        <f t="shared" si="571"/>
        <v>10511046</v>
      </c>
      <c r="R533" s="10">
        <f t="shared" si="571"/>
        <v>49919698</v>
      </c>
      <c r="S533" s="10">
        <f t="shared" si="4"/>
        <v>60430744</v>
      </c>
      <c r="T533" s="10">
        <f t="shared" si="5"/>
        <v>56876172.99</v>
      </c>
      <c r="U533" s="8">
        <v>46112.0</v>
      </c>
      <c r="V533" s="7">
        <v>1.0E8</v>
      </c>
      <c r="W533" s="7">
        <v>5.363487301E7</v>
      </c>
      <c r="X533" s="7">
        <v>1.0511046E7</v>
      </c>
      <c r="Y533" s="7">
        <v>4.9919698E7</v>
      </c>
      <c r="Z533" s="7">
        <v>5.687617299E7</v>
      </c>
      <c r="AA533" s="6" t="s">
        <v>52</v>
      </c>
      <c r="AB533" s="11" t="str">
        <f t="shared" si="6"/>
        <v>Include</v>
      </c>
      <c r="AC533" s="1">
        <f t="shared" si="568"/>
        <v>1.126706201</v>
      </c>
    </row>
    <row r="534" ht="15.0" customHeight="1">
      <c r="B534" s="6">
        <f t="shared" si="8"/>
        <v>532</v>
      </c>
      <c r="C534" s="1" t="s">
        <v>883</v>
      </c>
      <c r="D534" s="1" t="str">
        <f t="shared" si="2"/>
        <v>Private Equity</v>
      </c>
      <c r="E534" s="1" t="s">
        <v>43</v>
      </c>
      <c r="F534" s="1" t="s">
        <v>43</v>
      </c>
      <c r="G534" s="1" t="s">
        <v>883</v>
      </c>
      <c r="H534" s="1" t="s">
        <v>88</v>
      </c>
      <c r="I534" s="1" t="s">
        <v>318</v>
      </c>
      <c r="J534" s="1" t="s">
        <v>164</v>
      </c>
      <c r="K534" s="1" t="s">
        <v>164</v>
      </c>
      <c r="L534" s="1" t="s">
        <v>164</v>
      </c>
      <c r="N534" s="6">
        <v>2023.0</v>
      </c>
      <c r="O534" s="10">
        <f t="shared" ref="O534:R534" si="572">IFERROR(V534*INDEX($AH$4:$AH$8,MATCH($AA534,$AG$4:$AG$8,0)),"")</f>
        <v>100000000</v>
      </c>
      <c r="P534" s="10">
        <f t="shared" si="572"/>
        <v>26482126.6</v>
      </c>
      <c r="Q534" s="10">
        <f t="shared" si="572"/>
        <v>0</v>
      </c>
      <c r="R534" s="10">
        <f t="shared" si="572"/>
        <v>18159672</v>
      </c>
      <c r="S534" s="10">
        <f t="shared" si="4"/>
        <v>18159672</v>
      </c>
      <c r="T534" s="10">
        <f t="shared" si="5"/>
        <v>73481602.5</v>
      </c>
      <c r="U534" s="8">
        <v>46112.0</v>
      </c>
      <c r="V534" s="7">
        <v>1.0E8</v>
      </c>
      <c r="W534" s="7">
        <v>2.64821266E7</v>
      </c>
      <c r="X534" s="7">
        <v>0.0</v>
      </c>
      <c r="Y534" s="7">
        <v>1.8159672E7</v>
      </c>
      <c r="Z534" s="7">
        <v>7.34816025E7</v>
      </c>
      <c r="AA534" s="6" t="s">
        <v>52</v>
      </c>
      <c r="AB534" s="11" t="str">
        <f t="shared" si="6"/>
        <v>Include</v>
      </c>
      <c r="AC534" s="1">
        <f t="shared" si="568"/>
        <v>0.6857331465</v>
      </c>
    </row>
    <row r="535" ht="15.0" customHeight="1">
      <c r="B535" s="6">
        <f t="shared" si="8"/>
        <v>533</v>
      </c>
      <c r="C535" s="1" t="s">
        <v>884</v>
      </c>
      <c r="D535" s="1" t="str">
        <f t="shared" si="2"/>
        <v>Private Equity</v>
      </c>
      <c r="E535" s="1" t="s">
        <v>43</v>
      </c>
      <c r="F535" s="1" t="s">
        <v>43</v>
      </c>
      <c r="G535" s="1" t="s">
        <v>885</v>
      </c>
      <c r="H535" s="1" t="s">
        <v>886</v>
      </c>
      <c r="I535" s="1" t="s">
        <v>318</v>
      </c>
      <c r="J535" s="1" t="s">
        <v>121</v>
      </c>
      <c r="K535" s="1" t="s">
        <v>122</v>
      </c>
      <c r="L535" s="1" t="s">
        <v>887</v>
      </c>
      <c r="N535" s="6">
        <v>2022.0</v>
      </c>
      <c r="O535" s="10">
        <f t="shared" ref="O535:R535" si="573">IFERROR(V535*INDEX($AH$4:$AH$8,MATCH($AA535,$AG$4:$AG$8,0)),"")</f>
        <v>100000000</v>
      </c>
      <c r="P535" s="10">
        <f t="shared" si="573"/>
        <v>81717432</v>
      </c>
      <c r="Q535" s="10">
        <f t="shared" si="573"/>
        <v>0</v>
      </c>
      <c r="R535" s="10">
        <f t="shared" si="573"/>
        <v>100378423</v>
      </c>
      <c r="S535" s="10">
        <f t="shared" si="4"/>
        <v>100378423</v>
      </c>
      <c r="T535" s="10">
        <f t="shared" si="5"/>
        <v>18880716</v>
      </c>
      <c r="U535" s="8">
        <v>46112.0</v>
      </c>
      <c r="V535" s="7">
        <v>1.0E8</v>
      </c>
      <c r="W535" s="7">
        <v>8.1717432E7</v>
      </c>
      <c r="X535" s="7">
        <v>0.0</v>
      </c>
      <c r="Y535" s="7">
        <v>1.00378423E8</v>
      </c>
      <c r="Z535" s="7">
        <v>1.8880716E7</v>
      </c>
      <c r="AA535" s="6" t="s">
        <v>52</v>
      </c>
      <c r="AB535" s="11" t="str">
        <f t="shared" si="6"/>
        <v>Include</v>
      </c>
      <c r="AC535" s="1">
        <f t="shared" si="568"/>
        <v>1.228359978</v>
      </c>
    </row>
    <row r="536" ht="15.0" customHeight="1">
      <c r="B536" s="6">
        <f t="shared" si="8"/>
        <v>534</v>
      </c>
      <c r="C536" s="1" t="s">
        <v>888</v>
      </c>
      <c r="D536" s="1" t="str">
        <f t="shared" si="2"/>
        <v>Private Equity</v>
      </c>
      <c r="E536" s="1" t="s">
        <v>43</v>
      </c>
      <c r="F536" s="1" t="s">
        <v>43</v>
      </c>
      <c r="G536" s="1" t="s">
        <v>888</v>
      </c>
      <c r="H536" s="1" t="s">
        <v>817</v>
      </c>
      <c r="I536" s="1" t="s">
        <v>318</v>
      </c>
      <c r="J536" s="1" t="s">
        <v>121</v>
      </c>
      <c r="K536" s="1" t="s">
        <v>122</v>
      </c>
      <c r="L536" s="1" t="s">
        <v>123</v>
      </c>
      <c r="N536" s="6">
        <v>2024.0</v>
      </c>
      <c r="O536" s="10">
        <f t="shared" ref="O536:R536" si="574">IFERROR(V536*INDEX($AH$4:$AH$8,MATCH($AA536,$AG$4:$AG$8,0)),"")</f>
        <v>39664882</v>
      </c>
      <c r="P536" s="10">
        <f t="shared" si="574"/>
        <v>39438157</v>
      </c>
      <c r="Q536" s="10">
        <f t="shared" si="574"/>
        <v>16088477</v>
      </c>
      <c r="R536" s="10">
        <f t="shared" si="574"/>
        <v>28019383</v>
      </c>
      <c r="S536" s="10">
        <f t="shared" si="4"/>
        <v>44107860</v>
      </c>
      <c r="T536" s="10">
        <f t="shared" si="5"/>
        <v>226725</v>
      </c>
      <c r="U536" s="8">
        <v>46112.0</v>
      </c>
      <c r="V536" s="7">
        <v>3.9664882E7</v>
      </c>
      <c r="W536" s="7">
        <v>3.9438157E7</v>
      </c>
      <c r="X536" s="7">
        <v>1.6088477E7</v>
      </c>
      <c r="Y536" s="7">
        <v>2.8019383E7</v>
      </c>
      <c r="Z536" s="7">
        <v>226725.0</v>
      </c>
      <c r="AA536" s="6" t="s">
        <v>52</v>
      </c>
      <c r="AB536" s="11" t="str">
        <f t="shared" si="6"/>
        <v>Include</v>
      </c>
      <c r="AC536" s="1">
        <f t="shared" si="568"/>
        <v>1.11840571</v>
      </c>
    </row>
    <row r="537" ht="15.0" customHeight="1">
      <c r="B537" s="6">
        <f t="shared" si="8"/>
        <v>535</v>
      </c>
      <c r="C537" s="1" t="s">
        <v>889</v>
      </c>
      <c r="D537" s="1" t="str">
        <f t="shared" si="2"/>
        <v>Private Equity</v>
      </c>
      <c r="E537" s="1" t="s">
        <v>43</v>
      </c>
      <c r="F537" s="1" t="s">
        <v>43</v>
      </c>
      <c r="G537" s="1" t="s">
        <v>889</v>
      </c>
      <c r="H537" s="1" t="s">
        <v>890</v>
      </c>
      <c r="I537" s="1" t="s">
        <v>318</v>
      </c>
      <c r="J537" s="1" t="s">
        <v>164</v>
      </c>
      <c r="K537" s="1" t="s">
        <v>164</v>
      </c>
      <c r="L537" s="1" t="s">
        <v>891</v>
      </c>
      <c r="N537" s="6">
        <v>2018.0</v>
      </c>
      <c r="O537" s="10">
        <f t="shared" ref="O537:R537" si="575">IFERROR(V537*INDEX($AH$4:$AH$8,MATCH($AA537,$AG$4:$AG$8,0)),"")</f>
        <v>190000000</v>
      </c>
      <c r="P537" s="10">
        <f t="shared" si="575"/>
        <v>230943344.2</v>
      </c>
      <c r="Q537" s="10">
        <f t="shared" si="575"/>
        <v>98607649.37</v>
      </c>
      <c r="R537" s="10">
        <f t="shared" si="575"/>
        <v>208855829.1</v>
      </c>
      <c r="S537" s="10">
        <f t="shared" si="4"/>
        <v>307463478.5</v>
      </c>
      <c r="T537" s="10">
        <f t="shared" si="5"/>
        <v>-0.2</v>
      </c>
      <c r="U537" s="8">
        <v>46173.0</v>
      </c>
      <c r="V537" s="7">
        <v>1.9E8</v>
      </c>
      <c r="W537" s="7">
        <v>2.309433442E8</v>
      </c>
      <c r="X537" s="7">
        <v>9.860764937E7</v>
      </c>
      <c r="Y537" s="7">
        <v>2.0885582912E8</v>
      </c>
      <c r="Z537" s="7">
        <v>-0.2</v>
      </c>
      <c r="AA537" s="6" t="s">
        <v>52</v>
      </c>
      <c r="AB537" s="11" t="str">
        <f t="shared" si="6"/>
        <v>Include</v>
      </c>
      <c r="AC537" s="1">
        <f t="shared" si="568"/>
        <v>1.331337257</v>
      </c>
    </row>
    <row r="538" ht="15.0" customHeight="1">
      <c r="B538" s="6">
        <f t="shared" si="8"/>
        <v>536</v>
      </c>
      <c r="C538" s="1" t="s">
        <v>892</v>
      </c>
      <c r="D538" s="1" t="str">
        <f t="shared" si="2"/>
        <v>VC &amp; Growth</v>
      </c>
      <c r="E538" s="1" t="s">
        <v>270</v>
      </c>
      <c r="F538" s="1" t="s">
        <v>43</v>
      </c>
      <c r="G538" s="1" t="s">
        <v>893</v>
      </c>
      <c r="H538" s="1" t="s">
        <v>167</v>
      </c>
      <c r="I538" s="1" t="s">
        <v>318</v>
      </c>
      <c r="J538" s="1" t="s">
        <v>126</v>
      </c>
      <c r="K538" s="1" t="s">
        <v>126</v>
      </c>
      <c r="L538" s="1" t="s">
        <v>126</v>
      </c>
      <c r="N538" s="6">
        <v>2023.0</v>
      </c>
      <c r="O538" s="10">
        <f t="shared" ref="O538:R538" si="576">IFERROR(V538*INDEX($AH$4:$AH$8,MATCH($AA538,$AG$4:$AG$8,0)),"")</f>
        <v>125000000</v>
      </c>
      <c r="P538" s="10">
        <f t="shared" si="576"/>
        <v>40000000.01</v>
      </c>
      <c r="Q538" s="10">
        <f t="shared" si="576"/>
        <v>941566.78</v>
      </c>
      <c r="R538" s="10">
        <f t="shared" si="576"/>
        <v>43704904</v>
      </c>
      <c r="S538" s="10">
        <f t="shared" si="4"/>
        <v>44646470.78</v>
      </c>
      <c r="T538" s="10">
        <f t="shared" si="5"/>
        <v>84999999.99</v>
      </c>
      <c r="U538" s="8">
        <v>46112.0</v>
      </c>
      <c r="V538" s="7">
        <v>1.25E8</v>
      </c>
      <c r="W538" s="7">
        <v>4.000000001E7</v>
      </c>
      <c r="X538" s="7">
        <v>941566.78</v>
      </c>
      <c r="Y538" s="7">
        <v>4.3704904E7</v>
      </c>
      <c r="Z538" s="7">
        <v>8.499999999E7</v>
      </c>
      <c r="AA538" s="6" t="s">
        <v>52</v>
      </c>
      <c r="AB538" s="11" t="str">
        <f t="shared" si="6"/>
        <v>Include</v>
      </c>
      <c r="AC538" s="1">
        <f t="shared" si="568"/>
        <v>1.116161769</v>
      </c>
    </row>
    <row r="539" ht="15.0" customHeight="1">
      <c r="B539" s="6">
        <f t="shared" si="8"/>
        <v>537</v>
      </c>
      <c r="C539" s="1" t="s">
        <v>894</v>
      </c>
      <c r="D539" s="1" t="str">
        <f t="shared" si="2"/>
        <v>VC &amp; Growth</v>
      </c>
      <c r="E539" s="1" t="s">
        <v>270</v>
      </c>
      <c r="F539" s="1" t="s">
        <v>43</v>
      </c>
      <c r="G539" s="1" t="s">
        <v>894</v>
      </c>
      <c r="H539" s="1" t="s">
        <v>245</v>
      </c>
      <c r="I539" s="1" t="s">
        <v>318</v>
      </c>
      <c r="J539" s="1" t="s">
        <v>126</v>
      </c>
      <c r="K539" s="1" t="s">
        <v>126</v>
      </c>
      <c r="L539" s="1" t="s">
        <v>126</v>
      </c>
      <c r="N539" s="6">
        <v>2024.0</v>
      </c>
      <c r="O539" s="10">
        <f t="shared" ref="O539:R539" si="577">IFERROR(V539*INDEX($AH$4:$AH$8,MATCH($AA539,$AG$4:$AG$8,0)),"")</f>
        <v>100000000</v>
      </c>
      <c r="P539" s="10">
        <f t="shared" si="577"/>
        <v>0</v>
      </c>
      <c r="Q539" s="10">
        <f t="shared" si="577"/>
        <v>0</v>
      </c>
      <c r="R539" s="10">
        <f t="shared" si="577"/>
        <v>0</v>
      </c>
      <c r="S539" s="10">
        <f t="shared" si="4"/>
        <v>0</v>
      </c>
      <c r="T539" s="10">
        <f t="shared" si="5"/>
        <v>100000000</v>
      </c>
      <c r="U539" s="8"/>
      <c r="V539" s="7">
        <v>1.0E8</v>
      </c>
      <c r="W539" s="7">
        <v>0.0</v>
      </c>
      <c r="X539" s="7">
        <v>0.0</v>
      </c>
      <c r="Y539" s="7"/>
      <c r="Z539" s="7">
        <v>1.0E8</v>
      </c>
      <c r="AA539" s="6" t="s">
        <v>52</v>
      </c>
      <c r="AB539" s="11" t="str">
        <f t="shared" si="6"/>
        <v>Exclude</v>
      </c>
    </row>
    <row r="540" ht="15.0" customHeight="1">
      <c r="B540" s="6">
        <f t="shared" si="8"/>
        <v>538</v>
      </c>
      <c r="C540" s="1" t="s">
        <v>895</v>
      </c>
      <c r="D540" s="1" t="str">
        <f t="shared" si="2"/>
        <v>Private Equity</v>
      </c>
      <c r="E540" s="1" t="s">
        <v>43</v>
      </c>
      <c r="F540" s="1" t="s">
        <v>43</v>
      </c>
      <c r="G540" s="1" t="s">
        <v>895</v>
      </c>
      <c r="H540" s="1" t="s">
        <v>137</v>
      </c>
      <c r="I540" s="1" t="s">
        <v>318</v>
      </c>
      <c r="J540" s="1" t="s">
        <v>121</v>
      </c>
      <c r="K540" s="1" t="s">
        <v>122</v>
      </c>
      <c r="L540" s="1" t="s">
        <v>132</v>
      </c>
      <c r="N540" s="6">
        <v>2025.0</v>
      </c>
      <c r="O540" s="10">
        <f t="shared" ref="O540:R540" si="578">IFERROR(V540*INDEX($AH$4:$AH$8,MATCH($AA540,$AG$4:$AG$8,0)),"")</f>
        <v>10719267</v>
      </c>
      <c r="P540" s="10">
        <f t="shared" si="578"/>
        <v>2127450</v>
      </c>
      <c r="Q540" s="10">
        <f t="shared" si="578"/>
        <v>2118160.11</v>
      </c>
      <c r="R540" s="10">
        <f t="shared" si="578"/>
        <v>0</v>
      </c>
      <c r="S540" s="10">
        <f t="shared" si="4"/>
        <v>2118160.11</v>
      </c>
      <c r="T540" s="10">
        <f t="shared" si="5"/>
        <v>0</v>
      </c>
      <c r="U540" s="8">
        <v>45835.0</v>
      </c>
      <c r="V540" s="7">
        <v>1.0719267E7</v>
      </c>
      <c r="W540" s="7">
        <v>2127450.0</v>
      </c>
      <c r="X540" s="7">
        <v>2118160.11</v>
      </c>
      <c r="Y540" s="7">
        <v>0.0</v>
      </c>
      <c r="Z540" s="7">
        <v>0.0</v>
      </c>
      <c r="AA540" s="6" t="s">
        <v>52</v>
      </c>
      <c r="AB540" s="11" t="str">
        <f t="shared" si="6"/>
        <v>Exclude</v>
      </c>
    </row>
    <row r="541" ht="15.0" customHeight="1">
      <c r="B541" s="6">
        <f t="shared" si="8"/>
        <v>539</v>
      </c>
      <c r="C541" s="1" t="s">
        <v>896</v>
      </c>
      <c r="D541" s="1" t="str">
        <f t="shared" si="2"/>
        <v>Private Equity</v>
      </c>
      <c r="E541" s="1" t="s">
        <v>43</v>
      </c>
      <c r="F541" s="1" t="s">
        <v>43</v>
      </c>
      <c r="G541" s="1" t="s">
        <v>896</v>
      </c>
      <c r="H541" s="1" t="s">
        <v>232</v>
      </c>
      <c r="I541" s="1" t="s">
        <v>318</v>
      </c>
      <c r="J541" s="1" t="s">
        <v>121</v>
      </c>
      <c r="K541" s="1" t="s">
        <v>122</v>
      </c>
      <c r="L541" s="1" t="s">
        <v>180</v>
      </c>
      <c r="N541" s="6">
        <v>2025.0</v>
      </c>
      <c r="O541" s="10">
        <f t="shared" ref="O541:R541" si="579">IFERROR(V541*INDEX($AH$4:$AH$8,MATCH($AA541,$AG$4:$AG$8,0)),"")</f>
        <v>14762854</v>
      </c>
      <c r="P541" s="10">
        <f t="shared" si="579"/>
        <v>12837264</v>
      </c>
      <c r="Q541" s="10">
        <f t="shared" si="579"/>
        <v>12837264</v>
      </c>
      <c r="R541" s="10">
        <f t="shared" si="579"/>
        <v>0</v>
      </c>
      <c r="S541" s="10">
        <f t="shared" si="4"/>
        <v>12837264</v>
      </c>
      <c r="T541" s="10">
        <f t="shared" si="5"/>
        <v>0</v>
      </c>
      <c r="U541" s="8">
        <v>45748.0</v>
      </c>
      <c r="V541" s="7">
        <v>1.4762854E7</v>
      </c>
      <c r="W541" s="7">
        <v>1.2837264E7</v>
      </c>
      <c r="X541" s="7">
        <v>1.2837264E7</v>
      </c>
      <c r="Y541" s="7">
        <v>0.0</v>
      </c>
      <c r="Z541" s="7">
        <v>0.0</v>
      </c>
      <c r="AA541" s="6" t="s">
        <v>52</v>
      </c>
      <c r="AB541" s="11" t="str">
        <f t="shared" si="6"/>
        <v>Exclude</v>
      </c>
    </row>
    <row r="542" ht="15.0" customHeight="1">
      <c r="B542" s="6">
        <f t="shared" si="8"/>
        <v>540</v>
      </c>
      <c r="C542" s="1" t="s">
        <v>897</v>
      </c>
      <c r="D542" s="1" t="str">
        <f t="shared" si="2"/>
        <v>Private Equity</v>
      </c>
      <c r="E542" s="1" t="s">
        <v>43</v>
      </c>
      <c r="F542" s="1" t="s">
        <v>43</v>
      </c>
      <c r="G542" s="1" t="s">
        <v>897</v>
      </c>
      <c r="H542" s="1" t="s">
        <v>232</v>
      </c>
      <c r="I542" s="1" t="s">
        <v>318</v>
      </c>
      <c r="J542" s="1" t="s">
        <v>121</v>
      </c>
      <c r="K542" s="1" t="s">
        <v>122</v>
      </c>
      <c r="L542" s="1" t="s">
        <v>180</v>
      </c>
      <c r="N542" s="6">
        <v>2025.0</v>
      </c>
      <c r="O542" s="10">
        <f t="shared" ref="O542:R542" si="580">IFERROR(V542*INDEX($AH$4:$AH$8,MATCH($AA542,$AG$4:$AG$8,0)),"")</f>
        <v>4326194</v>
      </c>
      <c r="P542" s="10">
        <f t="shared" si="580"/>
        <v>3771919</v>
      </c>
      <c r="Q542" s="10">
        <f t="shared" si="580"/>
        <v>1585708.263</v>
      </c>
      <c r="R542" s="10">
        <f t="shared" si="580"/>
        <v>1194954</v>
      </c>
      <c r="S542" s="10">
        <f t="shared" si="4"/>
        <v>2780662.263</v>
      </c>
      <c r="T542" s="10">
        <f t="shared" si="5"/>
        <v>316418.8432</v>
      </c>
      <c r="U542" s="8">
        <v>46112.0</v>
      </c>
      <c r="V542" s="7">
        <v>4326194.0</v>
      </c>
      <c r="W542" s="7">
        <v>3771919.0</v>
      </c>
      <c r="X542" s="7">
        <v>1585708.2632</v>
      </c>
      <c r="Y542" s="7">
        <v>1194954.0</v>
      </c>
      <c r="Z542" s="7">
        <v>316418.8432</v>
      </c>
      <c r="AA542" s="6" t="s">
        <v>52</v>
      </c>
      <c r="AB542" s="11" t="str">
        <f t="shared" si="6"/>
        <v>Include</v>
      </c>
      <c r="AC542" s="1">
        <f>S542/P542</f>
        <v>0.7372009482</v>
      </c>
    </row>
    <row r="543" ht="15.0" customHeight="1">
      <c r="B543" s="6">
        <f t="shared" si="8"/>
        <v>541</v>
      </c>
      <c r="C543" s="1" t="s">
        <v>898</v>
      </c>
      <c r="D543" s="1" t="str">
        <f t="shared" si="2"/>
        <v>Private Equity</v>
      </c>
      <c r="E543" s="1" t="s">
        <v>43</v>
      </c>
      <c r="F543" s="1" t="s">
        <v>43</v>
      </c>
      <c r="G543" s="1" t="s">
        <v>898</v>
      </c>
      <c r="H543" s="1" t="s">
        <v>137</v>
      </c>
      <c r="I543" s="1" t="s">
        <v>318</v>
      </c>
      <c r="J543" s="1" t="s">
        <v>121</v>
      </c>
      <c r="K543" s="1" t="s">
        <v>122</v>
      </c>
      <c r="L543" s="1" t="s">
        <v>132</v>
      </c>
      <c r="N543" s="6">
        <v>2025.0</v>
      </c>
      <c r="O543" s="10">
        <f t="shared" ref="O543:R543" si="581">IFERROR(V543*INDEX($AH$4:$AH$8,MATCH($AA543,$AG$4:$AG$8,0)),"")</f>
        <v>13742508</v>
      </c>
      <c r="P543" s="10">
        <f t="shared" si="581"/>
        <v>13431674</v>
      </c>
      <c r="Q543" s="10">
        <f t="shared" si="581"/>
        <v>14059220.35</v>
      </c>
      <c r="R543" s="10">
        <f t="shared" si="581"/>
        <v>0</v>
      </c>
      <c r="S543" s="10">
        <f t="shared" si="4"/>
        <v>14059220.35</v>
      </c>
      <c r="T543" s="10">
        <f t="shared" si="5"/>
        <v>0</v>
      </c>
      <c r="U543" s="8">
        <v>45835.0</v>
      </c>
      <c r="V543" s="7">
        <v>1.3742508E7</v>
      </c>
      <c r="W543" s="7">
        <v>1.3431674E7</v>
      </c>
      <c r="X543" s="7">
        <v>1.405922035E7</v>
      </c>
      <c r="Y543" s="7">
        <v>0.0</v>
      </c>
      <c r="Z543" s="7">
        <v>0.0</v>
      </c>
      <c r="AA543" s="6" t="s">
        <v>52</v>
      </c>
      <c r="AB543" s="11" t="str">
        <f t="shared" si="6"/>
        <v>Exclude</v>
      </c>
    </row>
    <row r="544" ht="15.0" customHeight="1">
      <c r="B544" s="6">
        <f t="shared" si="8"/>
        <v>542</v>
      </c>
      <c r="C544" s="1" t="s">
        <v>899</v>
      </c>
      <c r="D544" s="1" t="str">
        <f t="shared" si="2"/>
        <v>Private Equity</v>
      </c>
      <c r="E544" s="1" t="s">
        <v>43</v>
      </c>
      <c r="F544" s="1" t="s">
        <v>43</v>
      </c>
      <c r="G544" s="1" t="s">
        <v>899</v>
      </c>
      <c r="H544" s="1" t="s">
        <v>817</v>
      </c>
      <c r="I544" s="1" t="s">
        <v>318</v>
      </c>
      <c r="J544" s="1" t="s">
        <v>121</v>
      </c>
      <c r="K544" s="1" t="s">
        <v>122</v>
      </c>
      <c r="L544" s="1" t="s">
        <v>127</v>
      </c>
      <c r="N544" s="6">
        <v>2025.0</v>
      </c>
      <c r="O544" s="10">
        <f t="shared" ref="O544:R544" si="582">IFERROR(V544*INDEX($AH$4:$AH$8,MATCH($AA544,$AG$4:$AG$8,0)),"")</f>
        <v>100000000</v>
      </c>
      <c r="P544" s="10">
        <f t="shared" si="582"/>
        <v>5645778.01</v>
      </c>
      <c r="Q544" s="10">
        <f t="shared" si="582"/>
        <v>0</v>
      </c>
      <c r="R544" s="10">
        <f t="shared" si="582"/>
        <v>-2535330</v>
      </c>
      <c r="S544" s="10">
        <f t="shared" si="4"/>
        <v>-2535330</v>
      </c>
      <c r="T544" s="10">
        <f t="shared" si="5"/>
        <v>94354221.99</v>
      </c>
      <c r="U544" s="8">
        <v>46112.0</v>
      </c>
      <c r="V544" s="7">
        <v>1.0E8</v>
      </c>
      <c r="W544" s="7">
        <v>5645778.01</v>
      </c>
      <c r="X544" s="7">
        <v>0.0</v>
      </c>
      <c r="Y544" s="7">
        <v>-2535330.0</v>
      </c>
      <c r="Z544" s="7">
        <v>9.435422199E7</v>
      </c>
      <c r="AA544" s="6" t="s">
        <v>52</v>
      </c>
      <c r="AB544" s="11" t="str">
        <f t="shared" si="6"/>
        <v>Exclude</v>
      </c>
    </row>
    <row r="545" ht="15.0" customHeight="1">
      <c r="B545" s="6">
        <f t="shared" si="8"/>
        <v>543</v>
      </c>
      <c r="C545" s="1" t="s">
        <v>900</v>
      </c>
      <c r="D545" s="1" t="str">
        <f t="shared" si="2"/>
        <v>Private Equity</v>
      </c>
      <c r="E545" s="1" t="s">
        <v>43</v>
      </c>
      <c r="F545" s="1" t="s">
        <v>43</v>
      </c>
      <c r="G545" s="1" t="s">
        <v>900</v>
      </c>
      <c r="H545" s="1" t="s">
        <v>901</v>
      </c>
      <c r="I545" s="1" t="s">
        <v>318</v>
      </c>
      <c r="J545" s="1" t="s">
        <v>121</v>
      </c>
      <c r="K545" s="1" t="s">
        <v>122</v>
      </c>
      <c r="L545" s="1" t="s">
        <v>127</v>
      </c>
      <c r="N545" s="6">
        <v>2024.0</v>
      </c>
      <c r="O545" s="10">
        <f t="shared" ref="O545:R545" si="583">IFERROR(V545*INDEX($AH$4:$AH$8,MATCH($AA545,$AG$4:$AG$8,0)),"")</f>
        <v>100000000</v>
      </c>
      <c r="P545" s="10">
        <f t="shared" si="583"/>
        <v>40265342.01</v>
      </c>
      <c r="Q545" s="10">
        <f t="shared" si="583"/>
        <v>0</v>
      </c>
      <c r="R545" s="10">
        <f t="shared" si="583"/>
        <v>27553645</v>
      </c>
      <c r="S545" s="10">
        <f t="shared" si="4"/>
        <v>27553645</v>
      </c>
      <c r="T545" s="10">
        <f t="shared" si="5"/>
        <v>60107725.99</v>
      </c>
      <c r="U545" s="8">
        <v>46112.0</v>
      </c>
      <c r="V545" s="7">
        <v>1.0E8</v>
      </c>
      <c r="W545" s="7">
        <v>4.026534201E7</v>
      </c>
      <c r="X545" s="7">
        <v>0.0</v>
      </c>
      <c r="Y545" s="7">
        <v>2.7553645E7</v>
      </c>
      <c r="Z545" s="7">
        <v>6.010772599E7</v>
      </c>
      <c r="AA545" s="6" t="s">
        <v>52</v>
      </c>
      <c r="AB545" s="11" t="str">
        <f t="shared" si="6"/>
        <v>Include</v>
      </c>
      <c r="AC545" s="1">
        <f t="shared" ref="AC545:AC547" si="585">S545/P545</f>
        <v>0.6843017748</v>
      </c>
    </row>
    <row r="546" ht="15.0" customHeight="1">
      <c r="B546" s="6">
        <f t="shared" si="8"/>
        <v>544</v>
      </c>
      <c r="C546" s="1" t="s">
        <v>902</v>
      </c>
      <c r="D546" s="1" t="str">
        <f t="shared" si="2"/>
        <v>Private Equity</v>
      </c>
      <c r="E546" s="1" t="s">
        <v>43</v>
      </c>
      <c r="F546" s="1" t="s">
        <v>43</v>
      </c>
      <c r="G546" s="1" t="s">
        <v>902</v>
      </c>
      <c r="H546" s="1" t="s">
        <v>901</v>
      </c>
      <c r="I546" s="1" t="s">
        <v>318</v>
      </c>
      <c r="J546" s="1" t="s">
        <v>121</v>
      </c>
      <c r="K546" s="1" t="s">
        <v>122</v>
      </c>
      <c r="L546" s="1" t="s">
        <v>127</v>
      </c>
      <c r="N546" s="6">
        <v>2025.0</v>
      </c>
      <c r="O546" s="10">
        <f t="shared" ref="O546:R546" si="584">IFERROR(V546*INDEX($AH$4:$AH$8,MATCH($AA546,$AG$4:$AG$8,0)),"")</f>
        <v>33000000</v>
      </c>
      <c r="P546" s="10">
        <f t="shared" si="584"/>
        <v>9736023.01</v>
      </c>
      <c r="Q546" s="10">
        <f t="shared" si="584"/>
        <v>0</v>
      </c>
      <c r="R546" s="10">
        <f t="shared" si="584"/>
        <v>6613983</v>
      </c>
      <c r="S546" s="10">
        <f t="shared" si="4"/>
        <v>6613983</v>
      </c>
      <c r="T546" s="10">
        <f t="shared" si="5"/>
        <v>23263976.99</v>
      </c>
      <c r="U546" s="8">
        <v>46112.0</v>
      </c>
      <c r="V546" s="7">
        <v>3.3E7</v>
      </c>
      <c r="W546" s="7">
        <v>9736023.01</v>
      </c>
      <c r="X546" s="7">
        <v>0.0</v>
      </c>
      <c r="Y546" s="7">
        <v>6613983.0</v>
      </c>
      <c r="Z546" s="7">
        <v>2.326397699E7</v>
      </c>
      <c r="AA546" s="6" t="s">
        <v>52</v>
      </c>
      <c r="AB546" s="11" t="str">
        <f t="shared" si="6"/>
        <v>Include</v>
      </c>
      <c r="AC546" s="1">
        <f t="shared" si="585"/>
        <v>0.6793310773</v>
      </c>
    </row>
    <row r="547" ht="15.0" customHeight="1">
      <c r="B547" s="6">
        <f t="shared" si="8"/>
        <v>545</v>
      </c>
      <c r="C547" s="1" t="s">
        <v>903</v>
      </c>
      <c r="D547" s="1" t="str">
        <f t="shared" si="2"/>
        <v>Private Equity</v>
      </c>
      <c r="E547" s="1" t="s">
        <v>43</v>
      </c>
      <c r="F547" s="1" t="s">
        <v>43</v>
      </c>
      <c r="G547" s="1" t="s">
        <v>903</v>
      </c>
      <c r="H547" s="1" t="s">
        <v>258</v>
      </c>
      <c r="I547" s="1" t="s">
        <v>318</v>
      </c>
      <c r="J547" s="1" t="s">
        <v>121</v>
      </c>
      <c r="K547" s="1" t="s">
        <v>122</v>
      </c>
      <c r="L547" s="1" t="s">
        <v>127</v>
      </c>
      <c r="N547" s="6">
        <v>2025.0</v>
      </c>
      <c r="O547" s="10">
        <f t="shared" ref="O547:R547" si="586">IFERROR(V547*INDEX($AH$4:$AH$8,MATCH($AA547,$AG$4:$AG$8,0)),"")</f>
        <v>100000000</v>
      </c>
      <c r="P547" s="10">
        <f t="shared" si="586"/>
        <v>6117130.01</v>
      </c>
      <c r="Q547" s="10">
        <f t="shared" si="586"/>
        <v>1701329</v>
      </c>
      <c r="R547" s="10">
        <f t="shared" si="586"/>
        <v>533302</v>
      </c>
      <c r="S547" s="10">
        <f t="shared" si="4"/>
        <v>2234631</v>
      </c>
      <c r="T547" s="10">
        <f t="shared" si="5"/>
        <v>95583642.99</v>
      </c>
      <c r="U547" s="8">
        <v>46112.0</v>
      </c>
      <c r="V547" s="7">
        <v>1.0E8</v>
      </c>
      <c r="W547" s="7">
        <v>6117130.01</v>
      </c>
      <c r="X547" s="7">
        <v>1701329.0</v>
      </c>
      <c r="Y547" s="7">
        <v>533302.0</v>
      </c>
      <c r="Z547" s="7">
        <v>9.558364299E7</v>
      </c>
      <c r="AA547" s="6" t="s">
        <v>52</v>
      </c>
      <c r="AB547" s="11" t="str">
        <f t="shared" si="6"/>
        <v>Include</v>
      </c>
      <c r="AC547" s="1">
        <f t="shared" si="585"/>
        <v>0.365307096</v>
      </c>
    </row>
    <row r="548" ht="15.0" customHeight="1">
      <c r="B548" s="6">
        <f t="shared" si="8"/>
        <v>546</v>
      </c>
      <c r="C548" s="1" t="s">
        <v>904</v>
      </c>
      <c r="D548" s="1" t="str">
        <f t="shared" si="2"/>
        <v>Private Equity</v>
      </c>
      <c r="E548" s="1" t="s">
        <v>43</v>
      </c>
      <c r="F548" s="1" t="s">
        <v>43</v>
      </c>
      <c r="G548" s="1" t="s">
        <v>904</v>
      </c>
      <c r="H548" s="1" t="s">
        <v>179</v>
      </c>
      <c r="I548" s="1" t="s">
        <v>318</v>
      </c>
      <c r="J548" s="1" t="s">
        <v>121</v>
      </c>
      <c r="K548" s="1" t="s">
        <v>122</v>
      </c>
      <c r="L548" s="1" t="s">
        <v>123</v>
      </c>
      <c r="N548" s="6">
        <v>2025.0</v>
      </c>
      <c r="O548" s="10">
        <f t="shared" ref="O548:R548" si="587">IFERROR(V548*INDEX($AH$4:$AH$8,MATCH($AA548,$AG$4:$AG$8,0)),"")</f>
        <v>28887750</v>
      </c>
      <c r="P548" s="10">
        <f t="shared" si="587"/>
        <v>0</v>
      </c>
      <c r="Q548" s="10">
        <f t="shared" si="587"/>
        <v>0</v>
      </c>
      <c r="R548" s="10">
        <f t="shared" si="587"/>
        <v>0</v>
      </c>
      <c r="S548" s="10">
        <f t="shared" si="4"/>
        <v>0</v>
      </c>
      <c r="T548" s="10">
        <f t="shared" si="5"/>
        <v>28887750</v>
      </c>
      <c r="U548" s="8"/>
      <c r="V548" s="7">
        <v>2.5E7</v>
      </c>
      <c r="W548" s="7">
        <v>0.0</v>
      </c>
      <c r="X548" s="7">
        <v>0.0</v>
      </c>
      <c r="Y548" s="7"/>
      <c r="Z548" s="7">
        <v>2.5E7</v>
      </c>
      <c r="AA548" s="6" t="s">
        <v>45</v>
      </c>
      <c r="AB548" s="11" t="str">
        <f t="shared" si="6"/>
        <v>Exclude</v>
      </c>
    </row>
    <row r="549" ht="15.0" customHeight="1">
      <c r="B549" s="6">
        <f t="shared" si="8"/>
        <v>547</v>
      </c>
      <c r="C549" s="1" t="s">
        <v>905</v>
      </c>
      <c r="D549" s="1" t="str">
        <f t="shared" si="2"/>
        <v>Private Equity</v>
      </c>
      <c r="E549" s="1" t="s">
        <v>43</v>
      </c>
      <c r="F549" s="1" t="s">
        <v>43</v>
      </c>
      <c r="G549" s="1" t="s">
        <v>905</v>
      </c>
      <c r="H549" s="1" t="s">
        <v>179</v>
      </c>
      <c r="I549" s="1" t="s">
        <v>318</v>
      </c>
      <c r="J549" s="1" t="s">
        <v>121</v>
      </c>
      <c r="K549" s="1" t="s">
        <v>122</v>
      </c>
      <c r="L549" s="1" t="s">
        <v>180</v>
      </c>
      <c r="N549" s="6">
        <v>2025.0</v>
      </c>
      <c r="O549" s="10">
        <f t="shared" ref="O549:R549" si="588">IFERROR(V549*INDEX($AH$4:$AH$8,MATCH($AA549,$AG$4:$AG$8,0)),"")</f>
        <v>100000000</v>
      </c>
      <c r="P549" s="10">
        <f t="shared" si="588"/>
        <v>1666288.43</v>
      </c>
      <c r="Q549" s="10">
        <f t="shared" si="588"/>
        <v>0</v>
      </c>
      <c r="R549" s="10">
        <f t="shared" si="588"/>
        <v>449925</v>
      </c>
      <c r="S549" s="10">
        <f t="shared" si="4"/>
        <v>449925</v>
      </c>
      <c r="T549" s="10">
        <f t="shared" si="5"/>
        <v>98333711.57</v>
      </c>
      <c r="U549" s="8">
        <v>46112.0</v>
      </c>
      <c r="V549" s="7">
        <v>1.0E8</v>
      </c>
      <c r="W549" s="7">
        <v>1666288.43</v>
      </c>
      <c r="X549" s="7">
        <v>0.0</v>
      </c>
      <c r="Y549" s="7">
        <v>449925.0</v>
      </c>
      <c r="Z549" s="7">
        <v>9.833371157E7</v>
      </c>
      <c r="AA549" s="6" t="s">
        <v>52</v>
      </c>
      <c r="AB549" s="11" t="str">
        <f t="shared" si="6"/>
        <v>Include</v>
      </c>
      <c r="AC549" s="1">
        <f>S549/P549</f>
        <v>0.270016278</v>
      </c>
    </row>
    <row r="550" ht="15.0" customHeight="1">
      <c r="B550" s="6">
        <f t="shared" si="8"/>
        <v>548</v>
      </c>
      <c r="C550" s="1" t="s">
        <v>906</v>
      </c>
      <c r="D550" s="1" t="str">
        <f t="shared" si="2"/>
        <v>Private Equity</v>
      </c>
      <c r="E550" s="1" t="s">
        <v>43</v>
      </c>
      <c r="F550" s="1" t="s">
        <v>43</v>
      </c>
      <c r="G550" s="1" t="s">
        <v>906</v>
      </c>
      <c r="H550" s="1" t="s">
        <v>179</v>
      </c>
      <c r="I550" s="1" t="s">
        <v>318</v>
      </c>
      <c r="J550" s="1" t="s">
        <v>121</v>
      </c>
      <c r="K550" s="1" t="s">
        <v>122</v>
      </c>
      <c r="L550" s="1" t="s">
        <v>127</v>
      </c>
      <c r="N550" s="6">
        <v>2025.0</v>
      </c>
      <c r="O550" s="10">
        <f t="shared" ref="O550:R550" si="589">IFERROR(V550*INDEX($AH$4:$AH$8,MATCH($AA550,$AG$4:$AG$8,0)),"")</f>
        <v>80885700</v>
      </c>
      <c r="P550" s="10">
        <f t="shared" si="589"/>
        <v>0</v>
      </c>
      <c r="Q550" s="10">
        <f t="shared" si="589"/>
        <v>0</v>
      </c>
      <c r="R550" s="10">
        <f t="shared" si="589"/>
        <v>0</v>
      </c>
      <c r="S550" s="10">
        <f t="shared" si="4"/>
        <v>0</v>
      </c>
      <c r="T550" s="10">
        <f t="shared" si="5"/>
        <v>80885700</v>
      </c>
      <c r="U550" s="8"/>
      <c r="V550" s="7">
        <v>7.0E7</v>
      </c>
      <c r="W550" s="7">
        <v>0.0</v>
      </c>
      <c r="X550" s="7">
        <v>0.0</v>
      </c>
      <c r="Y550" s="7"/>
      <c r="Z550" s="7">
        <v>7.0E7</v>
      </c>
      <c r="AA550" s="6" t="s">
        <v>45</v>
      </c>
      <c r="AB550" s="11" t="str">
        <f t="shared" si="6"/>
        <v>Exclude</v>
      </c>
    </row>
    <row r="551" ht="15.0" customHeight="1">
      <c r="B551" s="6">
        <f t="shared" si="8"/>
        <v>549</v>
      </c>
      <c r="C551" s="1" t="s">
        <v>907</v>
      </c>
      <c r="D551" s="1" t="str">
        <f t="shared" si="2"/>
        <v>Private Equity</v>
      </c>
      <c r="E551" s="1" t="s">
        <v>43</v>
      </c>
      <c r="F551" s="1" t="s">
        <v>43</v>
      </c>
      <c r="G551" s="1" t="s">
        <v>908</v>
      </c>
      <c r="H551" s="1" t="s">
        <v>776</v>
      </c>
      <c r="I551" s="1" t="s">
        <v>318</v>
      </c>
      <c r="J551" s="1" t="s">
        <v>121</v>
      </c>
      <c r="K551" s="1" t="s">
        <v>122</v>
      </c>
      <c r="L551" s="1" t="s">
        <v>127</v>
      </c>
      <c r="N551" s="6">
        <v>2025.0</v>
      </c>
      <c r="O551" s="10">
        <f t="shared" ref="O551:R551" si="590">IFERROR(V551*INDEX($AH$4:$AH$8,MATCH($AA551,$AG$4:$AG$8,0)),"")</f>
        <v>5249651</v>
      </c>
      <c r="P551" s="10">
        <f t="shared" si="590"/>
        <v>5249651</v>
      </c>
      <c r="Q551" s="10">
        <f t="shared" si="590"/>
        <v>5133456</v>
      </c>
      <c r="R551" s="10">
        <f t="shared" si="590"/>
        <v>0</v>
      </c>
      <c r="S551" s="10">
        <f t="shared" si="4"/>
        <v>5133456</v>
      </c>
      <c r="T551" s="10">
        <f t="shared" si="5"/>
        <v>0</v>
      </c>
      <c r="U551" s="8">
        <v>45941.0</v>
      </c>
      <c r="V551" s="7">
        <v>5249651.0</v>
      </c>
      <c r="W551" s="7">
        <v>5249651.0</v>
      </c>
      <c r="X551" s="7">
        <v>5133456.0</v>
      </c>
      <c r="Y551" s="7">
        <v>0.0</v>
      </c>
      <c r="Z551" s="7">
        <v>0.0</v>
      </c>
      <c r="AA551" s="6" t="s">
        <v>52</v>
      </c>
      <c r="AB551" s="11" t="str">
        <f t="shared" si="6"/>
        <v>Exclude</v>
      </c>
    </row>
    <row r="552" ht="15.0" customHeight="1">
      <c r="B552" s="6">
        <f t="shared" si="8"/>
        <v>550</v>
      </c>
      <c r="C552" s="1" t="s">
        <v>909</v>
      </c>
      <c r="D552" s="1" t="str">
        <f t="shared" si="2"/>
        <v>Private Equity</v>
      </c>
      <c r="E552" s="1" t="s">
        <v>43</v>
      </c>
      <c r="F552" s="1" t="s">
        <v>43</v>
      </c>
      <c r="G552" s="1" t="s">
        <v>909</v>
      </c>
      <c r="H552" s="1" t="s">
        <v>776</v>
      </c>
      <c r="I552" s="1" t="s">
        <v>318</v>
      </c>
      <c r="J552" s="1" t="s">
        <v>121</v>
      </c>
      <c r="K552" s="1" t="s">
        <v>122</v>
      </c>
      <c r="L552" s="1" t="s">
        <v>127</v>
      </c>
      <c r="N552" s="6">
        <v>2025.0</v>
      </c>
      <c r="O552" s="10">
        <f t="shared" ref="O552:R552" si="591">IFERROR(V552*INDEX($AH$4:$AH$8,MATCH($AA552,$AG$4:$AG$8,0)),"")</f>
        <v>42961494</v>
      </c>
      <c r="P552" s="10">
        <f t="shared" si="591"/>
        <v>42961493.74</v>
      </c>
      <c r="Q552" s="10">
        <f t="shared" si="591"/>
        <v>42028906.46</v>
      </c>
      <c r="R552" s="10">
        <f t="shared" si="591"/>
        <v>0</v>
      </c>
      <c r="S552" s="10">
        <f t="shared" si="4"/>
        <v>42028906.46</v>
      </c>
      <c r="T552" s="10">
        <f t="shared" si="5"/>
        <v>0.26</v>
      </c>
      <c r="U552" s="8">
        <v>45941.0</v>
      </c>
      <c r="V552" s="7">
        <v>4.2961494E7</v>
      </c>
      <c r="W552" s="7">
        <v>4.296149374E7</v>
      </c>
      <c r="X552" s="7">
        <v>4.202890646E7</v>
      </c>
      <c r="Y552" s="7">
        <v>0.0</v>
      </c>
      <c r="Z552" s="7">
        <v>0.26</v>
      </c>
      <c r="AA552" s="6" t="s">
        <v>52</v>
      </c>
      <c r="AB552" s="11" t="str">
        <f t="shared" si="6"/>
        <v>Exclude</v>
      </c>
    </row>
    <row r="553" ht="15.0" customHeight="1">
      <c r="B553" s="6">
        <f t="shared" si="8"/>
        <v>551</v>
      </c>
      <c r="C553" s="1" t="s">
        <v>910</v>
      </c>
      <c r="D553" s="1" t="str">
        <f t="shared" si="2"/>
        <v>VC &amp; Growth</v>
      </c>
      <c r="E553" s="1" t="s">
        <v>270</v>
      </c>
      <c r="F553" s="1" t="s">
        <v>43</v>
      </c>
      <c r="G553" s="1" t="s">
        <v>910</v>
      </c>
      <c r="H553" s="1" t="s">
        <v>858</v>
      </c>
      <c r="I553" s="1" t="s">
        <v>318</v>
      </c>
      <c r="J553" s="1" t="s">
        <v>126</v>
      </c>
      <c r="K553" s="1" t="s">
        <v>126</v>
      </c>
      <c r="L553" s="1" t="s">
        <v>126</v>
      </c>
      <c r="N553" s="6">
        <v>2025.0</v>
      </c>
      <c r="O553" s="10">
        <f t="shared" ref="O553:R553" si="592">IFERROR(V553*INDEX($AH$4:$AH$8,MATCH($AA553,$AG$4:$AG$8,0)),"")</f>
        <v>100000000</v>
      </c>
      <c r="P553" s="10">
        <f t="shared" si="592"/>
        <v>18089726.01</v>
      </c>
      <c r="Q553" s="10">
        <f t="shared" si="592"/>
        <v>0</v>
      </c>
      <c r="R553" s="10">
        <f t="shared" si="592"/>
        <v>-782807</v>
      </c>
      <c r="S553" s="10">
        <f t="shared" si="4"/>
        <v>-782807</v>
      </c>
      <c r="T553" s="10">
        <f t="shared" si="5"/>
        <v>81910228.99</v>
      </c>
      <c r="U553" s="8">
        <v>46112.0</v>
      </c>
      <c r="V553" s="7">
        <v>1.0E8</v>
      </c>
      <c r="W553" s="7">
        <v>1.808972601E7</v>
      </c>
      <c r="X553" s="7">
        <v>0.0</v>
      </c>
      <c r="Y553" s="7">
        <v>-782807.0</v>
      </c>
      <c r="Z553" s="7">
        <v>8.191022899E7</v>
      </c>
      <c r="AA553" s="6" t="s">
        <v>52</v>
      </c>
      <c r="AB553" s="11" t="str">
        <f t="shared" si="6"/>
        <v>Exclude</v>
      </c>
    </row>
    <row r="554" ht="15.0" customHeight="1">
      <c r="B554" s="6">
        <f t="shared" si="8"/>
        <v>552</v>
      </c>
      <c r="C554" s="1" t="s">
        <v>911</v>
      </c>
      <c r="D554" s="1" t="str">
        <f t="shared" si="2"/>
        <v>Private Equity</v>
      </c>
      <c r="E554" s="1" t="s">
        <v>43</v>
      </c>
      <c r="F554" s="1" t="s">
        <v>43</v>
      </c>
      <c r="G554" s="1" t="s">
        <v>911</v>
      </c>
      <c r="H554" s="1" t="s">
        <v>886</v>
      </c>
      <c r="I554" s="1" t="s">
        <v>318</v>
      </c>
      <c r="J554" s="1" t="s">
        <v>121</v>
      </c>
      <c r="K554" s="1" t="s">
        <v>122</v>
      </c>
      <c r="L554" s="1" t="s">
        <v>127</v>
      </c>
      <c r="N554" s="6">
        <v>2025.0</v>
      </c>
      <c r="O554" s="10">
        <f t="shared" ref="O554:R554" si="593">IFERROR(V554*INDEX($AH$4:$AH$8,MATCH($AA554,$AG$4:$AG$8,0)),"")</f>
        <v>150000000</v>
      </c>
      <c r="P554" s="10">
        <f t="shared" si="593"/>
        <v>0</v>
      </c>
      <c r="Q554" s="10">
        <f t="shared" si="593"/>
        <v>0</v>
      </c>
      <c r="R554" s="10">
        <f t="shared" si="593"/>
        <v>0</v>
      </c>
      <c r="S554" s="10">
        <f t="shared" si="4"/>
        <v>0</v>
      </c>
      <c r="T554" s="10">
        <f t="shared" si="5"/>
        <v>150000000</v>
      </c>
      <c r="U554" s="8"/>
      <c r="V554" s="7">
        <v>1.5E8</v>
      </c>
      <c r="W554" s="7">
        <v>0.0</v>
      </c>
      <c r="X554" s="7">
        <v>0.0</v>
      </c>
      <c r="Y554" s="7"/>
      <c r="Z554" s="7">
        <v>1.5E8</v>
      </c>
      <c r="AA554" s="6" t="s">
        <v>52</v>
      </c>
      <c r="AB554" s="11" t="str">
        <f t="shared" si="6"/>
        <v>Exclude</v>
      </c>
    </row>
    <row r="555" ht="15.0" customHeight="1">
      <c r="B555" s="6">
        <f t="shared" si="8"/>
        <v>553</v>
      </c>
      <c r="C555" s="1" t="s">
        <v>912</v>
      </c>
      <c r="D555" s="1" t="str">
        <f t="shared" si="2"/>
        <v>Private Equity</v>
      </c>
      <c r="E555" s="1" t="s">
        <v>43</v>
      </c>
      <c r="F555" s="1" t="s">
        <v>43</v>
      </c>
      <c r="G555" s="1" t="s">
        <v>913</v>
      </c>
      <c r="H555" s="1" t="s">
        <v>273</v>
      </c>
      <c r="I555" s="1" t="s">
        <v>318</v>
      </c>
      <c r="J555" s="1" t="s">
        <v>121</v>
      </c>
      <c r="K555" s="1" t="s">
        <v>274</v>
      </c>
      <c r="L555" s="1" t="s">
        <v>275</v>
      </c>
      <c r="N555" s="6">
        <v>2026.0</v>
      </c>
      <c r="O555" s="10">
        <f t="shared" ref="O555:R555" si="594">IFERROR(V555*INDEX($AH$4:$AH$8,MATCH($AA555,$AG$4:$AG$8,0)),"")</f>
        <v>200000000</v>
      </c>
      <c r="P555" s="10">
        <f t="shared" si="594"/>
        <v>95500000</v>
      </c>
      <c r="Q555" s="10">
        <f t="shared" si="594"/>
        <v>0</v>
      </c>
      <c r="R555" s="10">
        <f t="shared" si="594"/>
        <v>0</v>
      </c>
      <c r="S555" s="10">
        <f t="shared" si="4"/>
        <v>0</v>
      </c>
      <c r="T555" s="10">
        <f t="shared" si="5"/>
        <v>104500000</v>
      </c>
      <c r="U555" s="8"/>
      <c r="V555" s="7">
        <v>2.0E8</v>
      </c>
      <c r="W555" s="7">
        <v>9.55E7</v>
      </c>
      <c r="X555" s="7">
        <v>0.0</v>
      </c>
      <c r="Y555" s="7"/>
      <c r="Z555" s="7">
        <v>1.045E8</v>
      </c>
      <c r="AA555" s="6" t="s">
        <v>52</v>
      </c>
      <c r="AB555" s="11" t="str">
        <f t="shared" si="6"/>
        <v>Exclude</v>
      </c>
    </row>
    <row r="556" ht="15.0" customHeight="1">
      <c r="B556" s="6">
        <f t="shared" si="8"/>
        <v>554</v>
      </c>
      <c r="C556" s="1" t="s">
        <v>914</v>
      </c>
      <c r="D556" s="1" t="str">
        <f t="shared" si="2"/>
        <v>Private Equity</v>
      </c>
      <c r="E556" s="1" t="s">
        <v>43</v>
      </c>
      <c r="F556" s="1" t="s">
        <v>43</v>
      </c>
      <c r="G556" s="1" t="s">
        <v>915</v>
      </c>
      <c r="H556" s="1" t="s">
        <v>273</v>
      </c>
      <c r="I556" s="1" t="s">
        <v>318</v>
      </c>
      <c r="J556" s="1" t="s">
        <v>121</v>
      </c>
      <c r="K556" s="1" t="s">
        <v>274</v>
      </c>
      <c r="L556" s="1" t="s">
        <v>275</v>
      </c>
      <c r="N556" s="6">
        <v>2026.0</v>
      </c>
      <c r="O556" s="10">
        <f t="shared" ref="O556:R556" si="595">IFERROR(V556*INDEX($AH$4:$AH$8,MATCH($AA556,$AG$4:$AG$8,0)),"")</f>
        <v>0</v>
      </c>
      <c r="P556" s="10">
        <f t="shared" si="595"/>
        <v>0</v>
      </c>
      <c r="Q556" s="10">
        <f t="shared" si="595"/>
        <v>0</v>
      </c>
      <c r="R556" s="10">
        <f t="shared" si="595"/>
        <v>0</v>
      </c>
      <c r="S556" s="10">
        <f t="shared" si="4"/>
        <v>0</v>
      </c>
      <c r="T556" s="10">
        <f t="shared" si="5"/>
        <v>0</v>
      </c>
      <c r="U556" s="8"/>
      <c r="V556" s="7">
        <v>0.0</v>
      </c>
      <c r="W556" s="7">
        <v>0.0</v>
      </c>
      <c r="X556" s="7">
        <v>0.0</v>
      </c>
      <c r="Y556" s="7"/>
      <c r="Z556" s="7">
        <v>0.0</v>
      </c>
      <c r="AA556" s="6" t="s">
        <v>52</v>
      </c>
      <c r="AB556" s="11" t="str">
        <f t="shared" si="6"/>
        <v>Exclude</v>
      </c>
    </row>
    <row r="557" ht="15.0" customHeight="1">
      <c r="B557" s="6">
        <f t="shared" si="8"/>
        <v>555</v>
      </c>
      <c r="C557" s="1" t="s">
        <v>916</v>
      </c>
      <c r="D557" s="1" t="str">
        <f t="shared" si="2"/>
        <v>Real Estate &amp; Infra</v>
      </c>
      <c r="E557" s="1" t="s">
        <v>44</v>
      </c>
      <c r="F557" s="1" t="s">
        <v>44</v>
      </c>
      <c r="G557" s="1" t="s">
        <v>916</v>
      </c>
      <c r="H557" s="1" t="s">
        <v>917</v>
      </c>
      <c r="I557" s="1" t="s">
        <v>318</v>
      </c>
      <c r="J557" s="1" t="s">
        <v>918</v>
      </c>
      <c r="K557" s="1" t="s">
        <v>62</v>
      </c>
      <c r="L557" s="1" t="s">
        <v>289</v>
      </c>
      <c r="N557" s="6">
        <v>1997.0</v>
      </c>
      <c r="O557" s="10">
        <f t="shared" ref="O557:R557" si="596">IFERROR(V557*INDEX($AH$4:$AH$8,MATCH($AA557,$AG$4:$AG$8,0)),"")</f>
        <v>75000000</v>
      </c>
      <c r="P557" s="10">
        <f t="shared" si="596"/>
        <v>73781475</v>
      </c>
      <c r="Q557" s="10">
        <f t="shared" si="596"/>
        <v>149243645</v>
      </c>
      <c r="R557" s="10">
        <f t="shared" si="596"/>
        <v>0</v>
      </c>
      <c r="S557" s="10">
        <f t="shared" si="4"/>
        <v>149243645</v>
      </c>
      <c r="T557" s="10">
        <f t="shared" si="5"/>
        <v>0</v>
      </c>
      <c r="U557" s="8">
        <v>40189.0</v>
      </c>
      <c r="V557" s="7">
        <v>7.5E7</v>
      </c>
      <c r="W557" s="7">
        <v>7.3781475E7</v>
      </c>
      <c r="X557" s="7">
        <v>1.49243645E8</v>
      </c>
      <c r="Y557" s="7">
        <v>0.0</v>
      </c>
      <c r="Z557" s="7">
        <v>0.0</v>
      </c>
      <c r="AA557" s="6" t="s">
        <v>52</v>
      </c>
      <c r="AB557" s="11" t="str">
        <f t="shared" si="6"/>
        <v>Exclude</v>
      </c>
    </row>
    <row r="558" ht="15.0" customHeight="1">
      <c r="B558" s="6">
        <f t="shared" si="8"/>
        <v>556</v>
      </c>
      <c r="C558" s="1" t="s">
        <v>919</v>
      </c>
      <c r="D558" s="1" t="str">
        <f t="shared" si="2"/>
        <v>Real Estate &amp; Infra</v>
      </c>
      <c r="E558" s="1" t="s">
        <v>44</v>
      </c>
      <c r="F558" s="1" t="s">
        <v>44</v>
      </c>
      <c r="G558" s="1" t="s">
        <v>919</v>
      </c>
      <c r="H558" s="1" t="s">
        <v>920</v>
      </c>
      <c r="I558" s="1" t="s">
        <v>318</v>
      </c>
      <c r="J558" s="1" t="s">
        <v>918</v>
      </c>
      <c r="K558" s="1" t="s">
        <v>281</v>
      </c>
      <c r="L558" s="1" t="s">
        <v>282</v>
      </c>
      <c r="N558" s="6">
        <v>1996.0</v>
      </c>
      <c r="O558" s="10">
        <f t="shared" ref="O558:R558" si="597">IFERROR(V558*INDEX($AH$4:$AH$8,MATCH($AA558,$AG$4:$AG$8,0)),"")</f>
        <v>150000000</v>
      </c>
      <c r="P558" s="10">
        <f t="shared" si="597"/>
        <v>150000000</v>
      </c>
      <c r="Q558" s="10">
        <f t="shared" si="597"/>
        <v>266967401</v>
      </c>
      <c r="R558" s="10">
        <f t="shared" si="597"/>
        <v>0</v>
      </c>
      <c r="S558" s="10">
        <f t="shared" si="4"/>
        <v>266967401</v>
      </c>
      <c r="T558" s="10">
        <f t="shared" si="5"/>
        <v>0</v>
      </c>
      <c r="U558" s="8">
        <v>44714.0</v>
      </c>
      <c r="V558" s="7">
        <v>1.5E8</v>
      </c>
      <c r="W558" s="7">
        <v>1.5E8</v>
      </c>
      <c r="X558" s="7">
        <v>2.6696740097E8</v>
      </c>
      <c r="Y558" s="7">
        <v>0.0</v>
      </c>
      <c r="Z558" s="7">
        <v>0.0</v>
      </c>
      <c r="AA558" s="6" t="s">
        <v>52</v>
      </c>
      <c r="AB558" s="11" t="str">
        <f t="shared" si="6"/>
        <v>Exclude</v>
      </c>
    </row>
    <row r="559" ht="15.0" customHeight="1">
      <c r="B559" s="6">
        <f t="shared" si="8"/>
        <v>557</v>
      </c>
      <c r="C559" s="1" t="s">
        <v>921</v>
      </c>
      <c r="D559" s="1" t="str">
        <f t="shared" si="2"/>
        <v>Real Estate &amp; Infra</v>
      </c>
      <c r="E559" s="1" t="s">
        <v>44</v>
      </c>
      <c r="F559" s="1" t="s">
        <v>44</v>
      </c>
      <c r="G559" s="1" t="s">
        <v>921</v>
      </c>
      <c r="H559" s="1" t="s">
        <v>920</v>
      </c>
      <c r="I559" s="1" t="s">
        <v>318</v>
      </c>
      <c r="J559" s="1" t="s">
        <v>918</v>
      </c>
      <c r="K559" s="1" t="s">
        <v>281</v>
      </c>
      <c r="L559" s="1" t="s">
        <v>282</v>
      </c>
      <c r="N559" s="6">
        <v>1997.0</v>
      </c>
      <c r="O559" s="10">
        <f t="shared" ref="O559:R559" si="598">IFERROR(V559*INDEX($AH$4:$AH$8,MATCH($AA559,$AG$4:$AG$8,0)),"")</f>
        <v>150000000</v>
      </c>
      <c r="P559" s="10">
        <f t="shared" si="598"/>
        <v>149999997</v>
      </c>
      <c r="Q559" s="10">
        <f t="shared" si="598"/>
        <v>177137916.5</v>
      </c>
      <c r="R559" s="10">
        <f t="shared" si="598"/>
        <v>0</v>
      </c>
      <c r="S559" s="10">
        <f t="shared" si="4"/>
        <v>177137916.5</v>
      </c>
      <c r="T559" s="10">
        <f t="shared" si="5"/>
        <v>3</v>
      </c>
      <c r="U559" s="8">
        <v>41274.0</v>
      </c>
      <c r="V559" s="7">
        <v>1.5E8</v>
      </c>
      <c r="W559" s="7">
        <v>1.49999997E8</v>
      </c>
      <c r="X559" s="7">
        <v>1.7713791646E8</v>
      </c>
      <c r="Y559" s="7">
        <v>0.0</v>
      </c>
      <c r="Z559" s="7">
        <v>3.0</v>
      </c>
      <c r="AA559" s="6" t="s">
        <v>52</v>
      </c>
      <c r="AB559" s="11" t="str">
        <f t="shared" si="6"/>
        <v>Exclude</v>
      </c>
    </row>
    <row r="560" ht="15.0" customHeight="1">
      <c r="B560" s="6">
        <f t="shared" si="8"/>
        <v>558</v>
      </c>
      <c r="C560" s="1" t="s">
        <v>922</v>
      </c>
      <c r="D560" s="1" t="str">
        <f t="shared" si="2"/>
        <v>Real Estate &amp; Infra</v>
      </c>
      <c r="E560" s="1" t="s">
        <v>44</v>
      </c>
      <c r="F560" s="1" t="s">
        <v>44</v>
      </c>
      <c r="G560" s="1" t="s">
        <v>923</v>
      </c>
      <c r="H560" s="1" t="s">
        <v>542</v>
      </c>
      <c r="I560" s="1" t="s">
        <v>318</v>
      </c>
      <c r="J560" s="1" t="s">
        <v>918</v>
      </c>
      <c r="K560" s="1" t="s">
        <v>281</v>
      </c>
      <c r="L560" s="1" t="s">
        <v>282</v>
      </c>
      <c r="N560" s="6">
        <v>1995.0</v>
      </c>
      <c r="O560" s="10">
        <f t="shared" ref="O560:R560" si="599">IFERROR(V560*INDEX($AH$4:$AH$8,MATCH($AA560,$AG$4:$AG$8,0)),"")</f>
        <v>150000000</v>
      </c>
      <c r="P560" s="10">
        <f t="shared" si="599"/>
        <v>156162032</v>
      </c>
      <c r="Q560" s="10">
        <f t="shared" si="599"/>
        <v>359617266.4</v>
      </c>
      <c r="R560" s="10">
        <f t="shared" si="599"/>
        <v>0</v>
      </c>
      <c r="S560" s="10">
        <f t="shared" si="4"/>
        <v>359617266.4</v>
      </c>
      <c r="T560" s="10">
        <f t="shared" si="5"/>
        <v>-1</v>
      </c>
      <c r="U560" s="8">
        <v>43038.0</v>
      </c>
      <c r="V560" s="7">
        <v>1.5E8</v>
      </c>
      <c r="W560" s="7">
        <v>1.56162032E8</v>
      </c>
      <c r="X560" s="7">
        <v>3.5961726642E8</v>
      </c>
      <c r="Y560" s="7">
        <v>0.0</v>
      </c>
      <c r="Z560" s="7">
        <v>-1.0</v>
      </c>
      <c r="AA560" s="6" t="s">
        <v>52</v>
      </c>
      <c r="AB560" s="11" t="str">
        <f t="shared" si="6"/>
        <v>Exclude</v>
      </c>
    </row>
    <row r="561" ht="15.0" customHeight="1">
      <c r="B561" s="6">
        <f t="shared" si="8"/>
        <v>559</v>
      </c>
      <c r="C561" s="1" t="s">
        <v>924</v>
      </c>
      <c r="D561" s="1" t="str">
        <f t="shared" si="2"/>
        <v>Real Estate &amp; Infra</v>
      </c>
      <c r="E561" s="1" t="s">
        <v>44</v>
      </c>
      <c r="F561" s="1" t="s">
        <v>44</v>
      </c>
      <c r="G561" s="1" t="s">
        <v>924</v>
      </c>
      <c r="H561" s="1" t="s">
        <v>925</v>
      </c>
      <c r="I561" s="1" t="s">
        <v>318</v>
      </c>
      <c r="J561" s="1" t="s">
        <v>918</v>
      </c>
      <c r="K561" s="1" t="s">
        <v>281</v>
      </c>
      <c r="L561" s="1" t="s">
        <v>282</v>
      </c>
      <c r="N561" s="6">
        <v>1995.0</v>
      </c>
      <c r="O561" s="10">
        <f t="shared" ref="O561:R561" si="600">IFERROR(V561*INDEX($AH$4:$AH$8,MATCH($AA561,$AG$4:$AG$8,0)),"")</f>
        <v>63500000</v>
      </c>
      <c r="P561" s="10">
        <f t="shared" si="600"/>
        <v>69295047</v>
      </c>
      <c r="Q561" s="10">
        <f t="shared" si="600"/>
        <v>149559566</v>
      </c>
      <c r="R561" s="10">
        <f t="shared" si="600"/>
        <v>0</v>
      </c>
      <c r="S561" s="10">
        <f t="shared" si="4"/>
        <v>149559566</v>
      </c>
      <c r="T561" s="10">
        <f t="shared" si="5"/>
        <v>0</v>
      </c>
      <c r="U561" s="8">
        <v>41729.0</v>
      </c>
      <c r="V561" s="7">
        <v>6.35E7</v>
      </c>
      <c r="W561" s="7">
        <v>6.9295047E7</v>
      </c>
      <c r="X561" s="7">
        <v>1.49559566E8</v>
      </c>
      <c r="Y561" s="7">
        <v>0.0</v>
      </c>
      <c r="Z561" s="7">
        <v>0.0</v>
      </c>
      <c r="AA561" s="6" t="s">
        <v>52</v>
      </c>
      <c r="AB561" s="11" t="str">
        <f t="shared" si="6"/>
        <v>Exclude</v>
      </c>
    </row>
    <row r="562" ht="15.0" customHeight="1">
      <c r="B562" s="6">
        <f t="shared" si="8"/>
        <v>560</v>
      </c>
      <c r="C562" s="1" t="s">
        <v>926</v>
      </c>
      <c r="D562" s="1" t="str">
        <f t="shared" si="2"/>
        <v>Real Estate &amp; Infra</v>
      </c>
      <c r="E562" s="1" t="s">
        <v>44</v>
      </c>
      <c r="F562" s="1" t="s">
        <v>44</v>
      </c>
      <c r="G562" s="1" t="s">
        <v>926</v>
      </c>
      <c r="H562" s="1" t="s">
        <v>927</v>
      </c>
      <c r="I562" s="1" t="s">
        <v>318</v>
      </c>
      <c r="J562" s="1" t="s">
        <v>918</v>
      </c>
      <c r="K562" s="1" t="s">
        <v>281</v>
      </c>
      <c r="L562" s="1" t="s">
        <v>282</v>
      </c>
      <c r="N562" s="6">
        <v>1992.0</v>
      </c>
      <c r="O562" s="10">
        <f t="shared" ref="O562:R562" si="601">IFERROR(V562*INDEX($AH$4:$AH$8,MATCH($AA562,$AG$4:$AG$8,0)),"")</f>
        <v>40000000</v>
      </c>
      <c r="P562" s="10">
        <f t="shared" si="601"/>
        <v>38549067.58</v>
      </c>
      <c r="Q562" s="10">
        <f t="shared" si="601"/>
        <v>68154912.61</v>
      </c>
      <c r="R562" s="10">
        <f t="shared" si="601"/>
        <v>0</v>
      </c>
      <c r="S562" s="10">
        <f t="shared" si="4"/>
        <v>68154912.61</v>
      </c>
      <c r="T562" s="10">
        <f t="shared" si="5"/>
        <v>0</v>
      </c>
      <c r="U562" s="8">
        <v>39447.0</v>
      </c>
      <c r="V562" s="7">
        <v>4.0E7</v>
      </c>
      <c r="W562" s="7">
        <v>3.854906758E7</v>
      </c>
      <c r="X562" s="7">
        <v>6.815491261E7</v>
      </c>
      <c r="Y562" s="7">
        <v>0.0</v>
      </c>
      <c r="Z562" s="7">
        <v>0.0</v>
      </c>
      <c r="AA562" s="6" t="s">
        <v>52</v>
      </c>
      <c r="AB562" s="11" t="str">
        <f t="shared" si="6"/>
        <v>Exclude</v>
      </c>
    </row>
    <row r="563" ht="15.0" customHeight="1">
      <c r="B563" s="6">
        <f t="shared" si="8"/>
        <v>561</v>
      </c>
      <c r="C563" s="1" t="s">
        <v>928</v>
      </c>
      <c r="D563" s="1" t="str">
        <f t="shared" si="2"/>
        <v>Real Estate &amp; Infra</v>
      </c>
      <c r="E563" s="1" t="s">
        <v>44</v>
      </c>
      <c r="F563" s="1" t="s">
        <v>44</v>
      </c>
      <c r="G563" s="1" t="s">
        <v>928</v>
      </c>
      <c r="H563" s="1" t="s">
        <v>927</v>
      </c>
      <c r="I563" s="1" t="s">
        <v>318</v>
      </c>
      <c r="J563" s="1" t="s">
        <v>918</v>
      </c>
      <c r="K563" s="1" t="s">
        <v>281</v>
      </c>
      <c r="L563" s="1" t="s">
        <v>282</v>
      </c>
      <c r="N563" s="6">
        <v>1994.0</v>
      </c>
      <c r="O563" s="10">
        <f t="shared" ref="O563:R563" si="602">IFERROR(V563*INDEX($AH$4:$AH$8,MATCH($AA563,$AG$4:$AG$8,0)),"")</f>
        <v>60000000</v>
      </c>
      <c r="P563" s="10">
        <f t="shared" si="602"/>
        <v>57668246.06</v>
      </c>
      <c r="Q563" s="10">
        <f t="shared" si="602"/>
        <v>135939757.2</v>
      </c>
      <c r="R563" s="10">
        <f t="shared" si="602"/>
        <v>0</v>
      </c>
      <c r="S563" s="10">
        <f t="shared" si="4"/>
        <v>135939757.2</v>
      </c>
      <c r="T563" s="10">
        <f t="shared" si="5"/>
        <v>-0.06</v>
      </c>
      <c r="U563" s="8">
        <v>41619.0</v>
      </c>
      <c r="V563" s="7">
        <v>6.0E7</v>
      </c>
      <c r="W563" s="7">
        <v>5.766824606E7</v>
      </c>
      <c r="X563" s="7">
        <v>1.3593975723E8</v>
      </c>
      <c r="Y563" s="7">
        <v>0.0</v>
      </c>
      <c r="Z563" s="7">
        <v>-0.06</v>
      </c>
      <c r="AA563" s="6" t="s">
        <v>52</v>
      </c>
      <c r="AB563" s="11" t="str">
        <f t="shared" si="6"/>
        <v>Exclude</v>
      </c>
    </row>
    <row r="564" ht="15.0" customHeight="1">
      <c r="B564" s="6">
        <f t="shared" si="8"/>
        <v>562</v>
      </c>
      <c r="C564" s="1" t="s">
        <v>929</v>
      </c>
      <c r="D564" s="1" t="str">
        <f t="shared" si="2"/>
        <v>Real Estate &amp; Infra</v>
      </c>
      <c r="E564" s="1" t="s">
        <v>44</v>
      </c>
      <c r="F564" s="1" t="s">
        <v>44</v>
      </c>
      <c r="G564" s="1" t="s">
        <v>929</v>
      </c>
      <c r="H564" s="1" t="s">
        <v>927</v>
      </c>
      <c r="I564" s="1" t="s">
        <v>318</v>
      </c>
      <c r="J564" s="1" t="s">
        <v>918</v>
      </c>
      <c r="K564" s="1" t="s">
        <v>281</v>
      </c>
      <c r="L564" s="1" t="s">
        <v>282</v>
      </c>
      <c r="N564" s="6">
        <v>1995.0</v>
      </c>
      <c r="O564" s="10">
        <f t="shared" ref="O564:R564" si="603">IFERROR(V564*INDEX($AH$4:$AH$8,MATCH($AA564,$AG$4:$AG$8,0)),"")</f>
        <v>10272661</v>
      </c>
      <c r="P564" s="10">
        <f t="shared" si="603"/>
        <v>10272660.92</v>
      </c>
      <c r="Q564" s="10">
        <f t="shared" si="603"/>
        <v>18026722.79</v>
      </c>
      <c r="R564" s="10">
        <f t="shared" si="603"/>
        <v>0</v>
      </c>
      <c r="S564" s="10">
        <f t="shared" si="4"/>
        <v>18026722.79</v>
      </c>
      <c r="T564" s="10">
        <f t="shared" si="5"/>
        <v>0.08</v>
      </c>
      <c r="U564" s="8">
        <v>39447.0</v>
      </c>
      <c r="V564" s="7">
        <v>1.0272661E7</v>
      </c>
      <c r="W564" s="7">
        <v>1.027266092E7</v>
      </c>
      <c r="X564" s="7">
        <v>1.802672279E7</v>
      </c>
      <c r="Y564" s="7">
        <v>0.0</v>
      </c>
      <c r="Z564" s="7">
        <v>0.08</v>
      </c>
      <c r="AA564" s="6" t="s">
        <v>52</v>
      </c>
      <c r="AB564" s="11" t="str">
        <f t="shared" si="6"/>
        <v>Exclude</v>
      </c>
    </row>
    <row r="565" ht="15.0" customHeight="1">
      <c r="B565" s="6">
        <f t="shared" si="8"/>
        <v>563</v>
      </c>
      <c r="C565" s="1" t="s">
        <v>930</v>
      </c>
      <c r="D565" s="1" t="str">
        <f t="shared" si="2"/>
        <v>Real Estate &amp; Infra</v>
      </c>
      <c r="E565" s="1" t="s">
        <v>44</v>
      </c>
      <c r="F565" s="1" t="s">
        <v>44</v>
      </c>
      <c r="G565" s="1" t="s">
        <v>930</v>
      </c>
      <c r="H565" s="1" t="s">
        <v>927</v>
      </c>
      <c r="I565" s="1" t="s">
        <v>318</v>
      </c>
      <c r="J565" s="1" t="s">
        <v>918</v>
      </c>
      <c r="K565" s="1" t="s">
        <v>281</v>
      </c>
      <c r="L565" s="1" t="s">
        <v>314</v>
      </c>
      <c r="N565" s="6">
        <v>1996.0</v>
      </c>
      <c r="O565" s="10">
        <f t="shared" ref="O565:R565" si="604">IFERROR(V565*INDEX($AH$4:$AH$8,MATCH($AA565,$AG$4:$AG$8,0)),"")</f>
        <v>100000000</v>
      </c>
      <c r="P565" s="10">
        <f t="shared" si="604"/>
        <v>96092962.94</v>
      </c>
      <c r="Q565" s="10">
        <f t="shared" si="604"/>
        <v>154892498.8</v>
      </c>
      <c r="R565" s="10">
        <f t="shared" si="604"/>
        <v>0</v>
      </c>
      <c r="S565" s="10">
        <f t="shared" si="4"/>
        <v>154892498.8</v>
      </c>
      <c r="T565" s="10">
        <f t="shared" si="5"/>
        <v>0.06</v>
      </c>
      <c r="U565" s="8">
        <v>41816.0</v>
      </c>
      <c r="V565" s="7">
        <v>1.0E8</v>
      </c>
      <c r="W565" s="7">
        <v>9.609296294E7</v>
      </c>
      <c r="X565" s="7">
        <v>1.5489249881E8</v>
      </c>
      <c r="Y565" s="7">
        <v>0.0</v>
      </c>
      <c r="Z565" s="7">
        <v>0.06</v>
      </c>
      <c r="AA565" s="6" t="s">
        <v>52</v>
      </c>
      <c r="AB565" s="11" t="str">
        <f t="shared" si="6"/>
        <v>Exclude</v>
      </c>
    </row>
    <row r="566" ht="15.0" customHeight="1">
      <c r="B566" s="6">
        <f t="shared" si="8"/>
        <v>564</v>
      </c>
      <c r="C566" s="1" t="s">
        <v>931</v>
      </c>
      <c r="D566" s="1" t="str">
        <f t="shared" si="2"/>
        <v>Real Estate &amp; Infra</v>
      </c>
      <c r="E566" s="1" t="s">
        <v>44</v>
      </c>
      <c r="F566" s="1" t="s">
        <v>44</v>
      </c>
      <c r="G566" s="1" t="s">
        <v>931</v>
      </c>
      <c r="H566" s="1" t="s">
        <v>932</v>
      </c>
      <c r="I566" s="1" t="s">
        <v>318</v>
      </c>
      <c r="J566" s="1" t="s">
        <v>918</v>
      </c>
      <c r="K566" s="1" t="s">
        <v>281</v>
      </c>
      <c r="L566" s="1" t="s">
        <v>282</v>
      </c>
      <c r="N566" s="6">
        <v>1998.0</v>
      </c>
      <c r="O566" s="10">
        <f t="shared" ref="O566:R566" si="605">IFERROR(V566*INDEX($AH$4:$AH$8,MATCH($AA566,$AG$4:$AG$8,0)),"")</f>
        <v>50000000</v>
      </c>
      <c r="P566" s="10">
        <f t="shared" si="605"/>
        <v>50389205.48</v>
      </c>
      <c r="Q566" s="10">
        <f t="shared" si="605"/>
        <v>74591476.75</v>
      </c>
      <c r="R566" s="10">
        <f t="shared" si="605"/>
        <v>0</v>
      </c>
      <c r="S566" s="10">
        <f t="shared" si="4"/>
        <v>74591476.75</v>
      </c>
      <c r="T566" s="10">
        <f t="shared" si="5"/>
        <v>0</v>
      </c>
      <c r="U566" s="8">
        <v>42277.0</v>
      </c>
      <c r="V566" s="7">
        <v>5.0E7</v>
      </c>
      <c r="W566" s="7">
        <v>5.038920548E7</v>
      </c>
      <c r="X566" s="7">
        <v>7.459147675E7</v>
      </c>
      <c r="Y566" s="7">
        <v>0.0</v>
      </c>
      <c r="Z566" s="7">
        <v>0.0</v>
      </c>
      <c r="AA566" s="6" t="s">
        <v>52</v>
      </c>
      <c r="AB566" s="11" t="str">
        <f t="shared" si="6"/>
        <v>Exclude</v>
      </c>
    </row>
    <row r="567" ht="15.0" customHeight="1">
      <c r="B567" s="6">
        <f t="shared" si="8"/>
        <v>565</v>
      </c>
      <c r="C567" s="1" t="s">
        <v>933</v>
      </c>
      <c r="D567" s="1" t="str">
        <f t="shared" si="2"/>
        <v>Real Estate &amp; Infra</v>
      </c>
      <c r="E567" s="1" t="s">
        <v>44</v>
      </c>
      <c r="F567" s="1" t="s">
        <v>44</v>
      </c>
      <c r="G567" s="1" t="s">
        <v>933</v>
      </c>
      <c r="H567" s="1" t="s">
        <v>917</v>
      </c>
      <c r="I567" s="1" t="s">
        <v>318</v>
      </c>
      <c r="J567" s="1" t="s">
        <v>918</v>
      </c>
      <c r="K567" s="1" t="s">
        <v>62</v>
      </c>
      <c r="L567" s="1" t="s">
        <v>289</v>
      </c>
      <c r="N567" s="6">
        <v>1999.0</v>
      </c>
      <c r="O567" s="10">
        <f t="shared" ref="O567:R567" si="606">IFERROR(V567*INDEX($AH$4:$AH$8,MATCH($AA567,$AG$4:$AG$8,0)),"")</f>
        <v>50000000</v>
      </c>
      <c r="P567" s="10">
        <f t="shared" si="606"/>
        <v>47106023</v>
      </c>
      <c r="Q567" s="10">
        <f t="shared" si="606"/>
        <v>86720357.74</v>
      </c>
      <c r="R567" s="10">
        <f t="shared" si="606"/>
        <v>0</v>
      </c>
      <c r="S567" s="10">
        <f t="shared" si="4"/>
        <v>86720357.74</v>
      </c>
      <c r="T567" s="10">
        <f t="shared" si="5"/>
        <v>0</v>
      </c>
      <c r="U567" s="8">
        <v>43829.0</v>
      </c>
      <c r="V567" s="7">
        <v>5.0E7</v>
      </c>
      <c r="W567" s="7">
        <v>4.7106023E7</v>
      </c>
      <c r="X567" s="7">
        <v>8.672035774E7</v>
      </c>
      <c r="Y567" s="7">
        <v>0.0</v>
      </c>
      <c r="Z567" s="7">
        <v>0.0</v>
      </c>
      <c r="AA567" s="6" t="s">
        <v>52</v>
      </c>
      <c r="AB567" s="11" t="str">
        <f t="shared" si="6"/>
        <v>Exclude</v>
      </c>
    </row>
    <row r="568" ht="15.0" customHeight="1">
      <c r="B568" s="6">
        <f t="shared" si="8"/>
        <v>566</v>
      </c>
      <c r="C568" s="1" t="s">
        <v>934</v>
      </c>
      <c r="D568" s="1" t="str">
        <f t="shared" si="2"/>
        <v>Real Estate &amp; Infra</v>
      </c>
      <c r="E568" s="1" t="s">
        <v>44</v>
      </c>
      <c r="F568" s="1" t="s">
        <v>44</v>
      </c>
      <c r="G568" s="1" t="s">
        <v>934</v>
      </c>
      <c r="H568" s="1" t="s">
        <v>935</v>
      </c>
      <c r="I568" s="1" t="s">
        <v>318</v>
      </c>
      <c r="J568" s="1" t="s">
        <v>918</v>
      </c>
      <c r="K568" s="1" t="s">
        <v>281</v>
      </c>
      <c r="L568" s="1" t="s">
        <v>314</v>
      </c>
      <c r="N568" s="6">
        <v>1998.0</v>
      </c>
      <c r="O568" s="10">
        <f t="shared" ref="O568:R568" si="607">IFERROR(V568*INDEX($AH$4:$AH$8,MATCH($AA568,$AG$4:$AG$8,0)),"")</f>
        <v>100000000</v>
      </c>
      <c r="P568" s="10">
        <f t="shared" si="607"/>
        <v>89031934.48</v>
      </c>
      <c r="Q568" s="10">
        <f t="shared" si="607"/>
        <v>158003214.7</v>
      </c>
      <c r="R568" s="10">
        <f t="shared" si="607"/>
        <v>0</v>
      </c>
      <c r="S568" s="10">
        <f t="shared" si="4"/>
        <v>158003214.7</v>
      </c>
      <c r="T568" s="10">
        <f t="shared" si="5"/>
        <v>0</v>
      </c>
      <c r="U568" s="8">
        <v>45639.0</v>
      </c>
      <c r="V568" s="7">
        <v>1.0E8</v>
      </c>
      <c r="W568" s="7">
        <v>8.903193448E7</v>
      </c>
      <c r="X568" s="7">
        <v>1.580032147E8</v>
      </c>
      <c r="Y568" s="7">
        <v>0.0</v>
      </c>
      <c r="Z568" s="7">
        <v>0.0</v>
      </c>
      <c r="AA568" s="6" t="s">
        <v>52</v>
      </c>
      <c r="AB568" s="11" t="str">
        <f t="shared" si="6"/>
        <v>Exclude</v>
      </c>
    </row>
    <row r="569" ht="15.0" customHeight="1">
      <c r="B569" s="6">
        <f t="shared" si="8"/>
        <v>567</v>
      </c>
      <c r="C569" s="1" t="s">
        <v>936</v>
      </c>
      <c r="D569" s="1" t="str">
        <f t="shared" si="2"/>
        <v>Real Estate &amp; Infra</v>
      </c>
      <c r="E569" s="1" t="s">
        <v>44</v>
      </c>
      <c r="F569" s="1" t="s">
        <v>44</v>
      </c>
      <c r="G569" s="1" t="s">
        <v>936</v>
      </c>
      <c r="H569" s="1" t="s">
        <v>530</v>
      </c>
      <c r="I569" s="1" t="s">
        <v>318</v>
      </c>
      <c r="J569" s="1" t="s">
        <v>918</v>
      </c>
      <c r="K569" s="1" t="s">
        <v>281</v>
      </c>
      <c r="L569" s="1" t="s">
        <v>282</v>
      </c>
      <c r="N569" s="6">
        <v>1999.0</v>
      </c>
      <c r="O569" s="10">
        <f t="shared" ref="O569:R569" si="608">IFERROR(V569*INDEX($AH$4:$AH$8,MATCH($AA569,$AG$4:$AG$8,0)),"")</f>
        <v>200000000</v>
      </c>
      <c r="P569" s="10">
        <f t="shared" si="608"/>
        <v>185945362.4</v>
      </c>
      <c r="Q569" s="10">
        <f t="shared" si="608"/>
        <v>305323901.6</v>
      </c>
      <c r="R569" s="10">
        <f t="shared" si="608"/>
        <v>0</v>
      </c>
      <c r="S569" s="10">
        <f t="shared" si="4"/>
        <v>305323901.6</v>
      </c>
      <c r="T569" s="10">
        <f t="shared" si="5"/>
        <v>0</v>
      </c>
      <c r="U569" s="8">
        <v>44575.0</v>
      </c>
      <c r="V569" s="7">
        <v>2.0E8</v>
      </c>
      <c r="W569" s="7">
        <v>1.8594536242E8</v>
      </c>
      <c r="X569" s="7">
        <v>3.053239016E8</v>
      </c>
      <c r="Y569" s="7">
        <v>0.0</v>
      </c>
      <c r="Z569" s="7">
        <v>0.0</v>
      </c>
      <c r="AA569" s="6" t="s">
        <v>52</v>
      </c>
      <c r="AB569" s="11" t="str">
        <f t="shared" si="6"/>
        <v>Exclude</v>
      </c>
    </row>
    <row r="570" ht="15.0" customHeight="1">
      <c r="B570" s="6">
        <f t="shared" si="8"/>
        <v>568</v>
      </c>
      <c r="C570" s="1" t="s">
        <v>937</v>
      </c>
      <c r="D570" s="1" t="str">
        <f t="shared" si="2"/>
        <v>Real Estate &amp; Infra</v>
      </c>
      <c r="E570" s="1" t="s">
        <v>44</v>
      </c>
      <c r="F570" s="1" t="s">
        <v>44</v>
      </c>
      <c r="G570" s="1" t="s">
        <v>937</v>
      </c>
      <c r="H570" s="1" t="s">
        <v>938</v>
      </c>
      <c r="I570" s="1" t="s">
        <v>318</v>
      </c>
      <c r="J570" s="1" t="s">
        <v>918</v>
      </c>
      <c r="K570" s="1" t="s">
        <v>281</v>
      </c>
      <c r="L570" s="1" t="s">
        <v>282</v>
      </c>
      <c r="N570" s="6">
        <v>2000.0</v>
      </c>
      <c r="O570" s="10">
        <f t="shared" ref="O570:R570" si="609">IFERROR(V570*INDEX($AH$4:$AH$8,MATCH($AA570,$AG$4:$AG$8,0)),"")</f>
        <v>200000000</v>
      </c>
      <c r="P570" s="10">
        <f t="shared" si="609"/>
        <v>195446950.2</v>
      </c>
      <c r="Q570" s="10">
        <f t="shared" si="609"/>
        <v>535831773.8</v>
      </c>
      <c r="R570" s="10">
        <f t="shared" si="609"/>
        <v>0</v>
      </c>
      <c r="S570" s="10">
        <f t="shared" si="4"/>
        <v>535831773.8</v>
      </c>
      <c r="T570" s="10">
        <f t="shared" si="5"/>
        <v>0.23</v>
      </c>
      <c r="U570" s="8">
        <v>44798.0</v>
      </c>
      <c r="V570" s="7">
        <v>2.0E8</v>
      </c>
      <c r="W570" s="7">
        <v>1.9544695019E8</v>
      </c>
      <c r="X570" s="7">
        <v>5.3583177378E8</v>
      </c>
      <c r="Y570" s="7">
        <v>0.0</v>
      </c>
      <c r="Z570" s="7">
        <v>0.23</v>
      </c>
      <c r="AA570" s="6" t="s">
        <v>52</v>
      </c>
      <c r="AB570" s="11" t="str">
        <f t="shared" si="6"/>
        <v>Exclude</v>
      </c>
    </row>
    <row r="571" ht="15.0" customHeight="1">
      <c r="B571" s="6">
        <f t="shared" si="8"/>
        <v>569</v>
      </c>
      <c r="C571" s="1" t="s">
        <v>939</v>
      </c>
      <c r="D571" s="1" t="str">
        <f t="shared" si="2"/>
        <v>Real Estate &amp; Infra</v>
      </c>
      <c r="E571" s="1" t="s">
        <v>44</v>
      </c>
      <c r="F571" s="1" t="s">
        <v>44</v>
      </c>
      <c r="G571" s="1" t="s">
        <v>939</v>
      </c>
      <c r="H571" s="1" t="s">
        <v>279</v>
      </c>
      <c r="I571" s="1" t="s">
        <v>318</v>
      </c>
      <c r="J571" s="1" t="s">
        <v>918</v>
      </c>
      <c r="K571" s="1" t="s">
        <v>281</v>
      </c>
      <c r="L571" s="1" t="s">
        <v>282</v>
      </c>
      <c r="N571" s="6">
        <v>2000.0</v>
      </c>
      <c r="O571" s="10">
        <f t="shared" ref="O571:R571" si="610">IFERROR(V571*INDEX($AH$4:$AH$8,MATCH($AA571,$AG$4:$AG$8,0)),"")</f>
        <v>408465517</v>
      </c>
      <c r="P571" s="10">
        <f t="shared" si="610"/>
        <v>557364929</v>
      </c>
      <c r="Q571" s="10">
        <f t="shared" si="610"/>
        <v>696827496</v>
      </c>
      <c r="R571" s="10">
        <f t="shared" si="610"/>
        <v>768566030</v>
      </c>
      <c r="S571" s="10">
        <f t="shared" si="4"/>
        <v>1465393526</v>
      </c>
      <c r="T571" s="10">
        <f t="shared" si="5"/>
        <v>8458698</v>
      </c>
      <c r="U571" s="8">
        <v>46112.0</v>
      </c>
      <c r="V571" s="7">
        <v>4.08465517E8</v>
      </c>
      <c r="W571" s="7">
        <v>5.573649289552E8</v>
      </c>
      <c r="X571" s="7">
        <v>6.968274959552E8</v>
      </c>
      <c r="Y571" s="7">
        <v>7.6856603E8</v>
      </c>
      <c r="Z571" s="7">
        <v>8458698.0</v>
      </c>
      <c r="AA571" s="6" t="s">
        <v>52</v>
      </c>
      <c r="AB571" s="11" t="str">
        <f t="shared" si="6"/>
        <v>Include</v>
      </c>
      <c r="AC571" s="1">
        <f>S571/P571</f>
        <v>2.629145556</v>
      </c>
    </row>
    <row r="572" ht="15.0" customHeight="1">
      <c r="B572" s="6">
        <f t="shared" si="8"/>
        <v>570</v>
      </c>
      <c r="C572" s="1" t="s">
        <v>940</v>
      </c>
      <c r="D572" s="1" t="str">
        <f t="shared" si="2"/>
        <v>Real Estate &amp; Infra</v>
      </c>
      <c r="E572" s="1" t="s">
        <v>44</v>
      </c>
      <c r="F572" s="1" t="s">
        <v>44</v>
      </c>
      <c r="G572" s="1" t="s">
        <v>940</v>
      </c>
      <c r="H572" s="1" t="s">
        <v>941</v>
      </c>
      <c r="I572" s="1" t="s">
        <v>318</v>
      </c>
      <c r="J572" s="1" t="s">
        <v>918</v>
      </c>
      <c r="K572" s="1" t="s">
        <v>281</v>
      </c>
      <c r="L572" s="1" t="s">
        <v>314</v>
      </c>
      <c r="N572" s="6">
        <v>2001.0</v>
      </c>
      <c r="O572" s="10">
        <f t="shared" ref="O572:R572" si="611">IFERROR(V572*INDEX($AH$4:$AH$8,MATCH($AA572,$AG$4:$AG$8,0)),"")</f>
        <v>76662500</v>
      </c>
      <c r="P572" s="10">
        <f t="shared" si="611"/>
        <v>74788678</v>
      </c>
      <c r="Q572" s="10">
        <f t="shared" si="611"/>
        <v>70783878.11</v>
      </c>
      <c r="R572" s="10">
        <f t="shared" si="611"/>
        <v>0</v>
      </c>
      <c r="S572" s="10">
        <f t="shared" si="4"/>
        <v>70783878.11</v>
      </c>
      <c r="T572" s="10">
        <f t="shared" si="5"/>
        <v>0</v>
      </c>
      <c r="U572" s="8">
        <v>42277.0</v>
      </c>
      <c r="V572" s="7">
        <v>7.66625E7</v>
      </c>
      <c r="W572" s="7">
        <v>7.4788678E7</v>
      </c>
      <c r="X572" s="7">
        <v>7.078387811E7</v>
      </c>
      <c r="Y572" s="7">
        <v>0.0</v>
      </c>
      <c r="Z572" s="7">
        <v>0.0</v>
      </c>
      <c r="AA572" s="6" t="s">
        <v>52</v>
      </c>
      <c r="AB572" s="11" t="str">
        <f t="shared" si="6"/>
        <v>Exclude</v>
      </c>
    </row>
    <row r="573" ht="15.0" customHeight="1">
      <c r="B573" s="6">
        <f t="shared" si="8"/>
        <v>571</v>
      </c>
      <c r="C573" s="1" t="s">
        <v>942</v>
      </c>
      <c r="D573" s="1" t="str">
        <f t="shared" si="2"/>
        <v>Real Estate &amp; Infra</v>
      </c>
      <c r="E573" s="1" t="s">
        <v>44</v>
      </c>
      <c r="F573" s="1" t="s">
        <v>44</v>
      </c>
      <c r="G573" s="1" t="s">
        <v>942</v>
      </c>
      <c r="H573" s="1" t="s">
        <v>932</v>
      </c>
      <c r="I573" s="1" t="s">
        <v>318</v>
      </c>
      <c r="J573" s="1" t="s">
        <v>918</v>
      </c>
      <c r="K573" s="1" t="s">
        <v>281</v>
      </c>
      <c r="L573" s="1" t="s">
        <v>282</v>
      </c>
      <c r="N573" s="6">
        <v>2001.0</v>
      </c>
      <c r="O573" s="10">
        <f t="shared" ref="O573:R573" si="612">IFERROR(V573*INDEX($AH$4:$AH$8,MATCH($AA573,$AG$4:$AG$8,0)),"")</f>
        <v>150000000</v>
      </c>
      <c r="P573" s="10">
        <f t="shared" si="612"/>
        <v>150018381.9</v>
      </c>
      <c r="Q573" s="10">
        <f t="shared" si="612"/>
        <v>226708124.3</v>
      </c>
      <c r="R573" s="10">
        <f t="shared" si="612"/>
        <v>0</v>
      </c>
      <c r="S573" s="10">
        <f t="shared" si="4"/>
        <v>226708124.3</v>
      </c>
      <c r="T573" s="10">
        <f t="shared" si="5"/>
        <v>0.47</v>
      </c>
      <c r="U573" s="8">
        <v>42277.0</v>
      </c>
      <c r="V573" s="7">
        <v>1.5E8</v>
      </c>
      <c r="W573" s="7">
        <v>1.5001838186E8</v>
      </c>
      <c r="X573" s="7">
        <v>2.2670812434E8</v>
      </c>
      <c r="Y573" s="7">
        <v>0.0</v>
      </c>
      <c r="Z573" s="7">
        <v>0.47</v>
      </c>
      <c r="AA573" s="6" t="s">
        <v>52</v>
      </c>
      <c r="AB573" s="11" t="str">
        <f t="shared" si="6"/>
        <v>Exclude</v>
      </c>
    </row>
    <row r="574" ht="15.0" customHeight="1">
      <c r="B574" s="6">
        <f t="shared" si="8"/>
        <v>572</v>
      </c>
      <c r="C574" s="1" t="s">
        <v>943</v>
      </c>
      <c r="D574" s="1" t="str">
        <f t="shared" si="2"/>
        <v>Real Estate &amp; Infra</v>
      </c>
      <c r="E574" s="1" t="s">
        <v>44</v>
      </c>
      <c r="F574" s="1" t="s">
        <v>44</v>
      </c>
      <c r="G574" s="1" t="s">
        <v>943</v>
      </c>
      <c r="H574" s="1" t="s">
        <v>97</v>
      </c>
      <c r="I574" s="1" t="s">
        <v>318</v>
      </c>
      <c r="J574" s="1" t="s">
        <v>918</v>
      </c>
      <c r="K574" s="1" t="s">
        <v>281</v>
      </c>
      <c r="L574" s="1" t="s">
        <v>282</v>
      </c>
      <c r="N574" s="6">
        <v>2001.0</v>
      </c>
      <c r="O574" s="10">
        <f t="shared" ref="O574:R574" si="613">IFERROR(V574*INDEX($AH$4:$AH$8,MATCH($AA574,$AG$4:$AG$8,0)),"")</f>
        <v>141016667</v>
      </c>
      <c r="P574" s="10">
        <f t="shared" si="613"/>
        <v>115548746.1</v>
      </c>
      <c r="Q574" s="10">
        <f t="shared" si="613"/>
        <v>379341968.5</v>
      </c>
      <c r="R574" s="10">
        <f t="shared" si="613"/>
        <v>0</v>
      </c>
      <c r="S574" s="10">
        <f t="shared" si="4"/>
        <v>379341968.5</v>
      </c>
      <c r="T574" s="10">
        <f t="shared" si="5"/>
        <v>0</v>
      </c>
      <c r="U574" s="8">
        <v>44651.0</v>
      </c>
      <c r="V574" s="7">
        <v>1.41016667E8</v>
      </c>
      <c r="W574" s="7">
        <v>1.1554874611E8</v>
      </c>
      <c r="X574" s="7">
        <v>3.7934196853E8</v>
      </c>
      <c r="Y574" s="7">
        <v>0.0</v>
      </c>
      <c r="Z574" s="7">
        <v>0.0</v>
      </c>
      <c r="AA574" s="6" t="s">
        <v>52</v>
      </c>
      <c r="AB574" s="11" t="str">
        <f t="shared" si="6"/>
        <v>Exclude</v>
      </c>
    </row>
    <row r="575" ht="15.0" customHeight="1">
      <c r="B575" s="6">
        <f t="shared" si="8"/>
        <v>573</v>
      </c>
      <c r="C575" s="1" t="s">
        <v>944</v>
      </c>
      <c r="D575" s="1" t="str">
        <f t="shared" si="2"/>
        <v>Real Estate &amp; Infra</v>
      </c>
      <c r="E575" s="1" t="s">
        <v>44</v>
      </c>
      <c r="F575" s="1" t="s">
        <v>44</v>
      </c>
      <c r="G575" s="1" t="s">
        <v>944</v>
      </c>
      <c r="H575" s="1" t="s">
        <v>917</v>
      </c>
      <c r="I575" s="1" t="s">
        <v>318</v>
      </c>
      <c r="J575" s="1" t="s">
        <v>918</v>
      </c>
      <c r="K575" s="1" t="s">
        <v>62</v>
      </c>
      <c r="L575" s="1" t="s">
        <v>289</v>
      </c>
      <c r="N575" s="6">
        <v>2001.0</v>
      </c>
      <c r="O575" s="10">
        <f t="shared" ref="O575:R575" si="614">IFERROR(V575*INDEX($AH$4:$AH$8,MATCH($AA575,$AG$4:$AG$8,0)),"")</f>
        <v>100000000</v>
      </c>
      <c r="P575" s="10">
        <f t="shared" si="614"/>
        <v>65703742</v>
      </c>
      <c r="Q575" s="10">
        <f t="shared" si="614"/>
        <v>174852999</v>
      </c>
      <c r="R575" s="10">
        <f t="shared" si="614"/>
        <v>0</v>
      </c>
      <c r="S575" s="10">
        <f t="shared" si="4"/>
        <v>174852999</v>
      </c>
      <c r="T575" s="10">
        <f t="shared" si="5"/>
        <v>0</v>
      </c>
      <c r="U575" s="8">
        <v>44196.0</v>
      </c>
      <c r="V575" s="7">
        <v>1.0E8</v>
      </c>
      <c r="W575" s="7">
        <v>6.5703742E7</v>
      </c>
      <c r="X575" s="7">
        <v>1.74852999E8</v>
      </c>
      <c r="Y575" s="7">
        <v>0.0</v>
      </c>
      <c r="Z575" s="7">
        <v>0.0</v>
      </c>
      <c r="AA575" s="6" t="s">
        <v>52</v>
      </c>
      <c r="AB575" s="11" t="str">
        <f t="shared" si="6"/>
        <v>Exclude</v>
      </c>
    </row>
    <row r="576" ht="15.0" customHeight="1">
      <c r="B576" s="6">
        <f t="shared" si="8"/>
        <v>574</v>
      </c>
      <c r="C576" s="1" t="s">
        <v>945</v>
      </c>
      <c r="D576" s="1" t="str">
        <f t="shared" si="2"/>
        <v>Real Estate &amp; Infra</v>
      </c>
      <c r="E576" s="1" t="s">
        <v>44</v>
      </c>
      <c r="F576" s="1" t="s">
        <v>44</v>
      </c>
      <c r="G576" s="1" t="s">
        <v>945</v>
      </c>
      <c r="H576" s="1" t="s">
        <v>946</v>
      </c>
      <c r="I576" s="1" t="s">
        <v>318</v>
      </c>
      <c r="J576" s="1" t="s">
        <v>918</v>
      </c>
      <c r="K576" s="1" t="s">
        <v>281</v>
      </c>
      <c r="L576" s="1" t="s">
        <v>282</v>
      </c>
      <c r="N576" s="6">
        <v>2001.0</v>
      </c>
      <c r="O576" s="10">
        <f t="shared" ref="O576:R576" si="615">IFERROR(V576*INDEX($AH$4:$AH$8,MATCH($AA576,$AG$4:$AG$8,0)),"")</f>
        <v>300000000</v>
      </c>
      <c r="P576" s="10">
        <f t="shared" si="615"/>
        <v>139915478.4</v>
      </c>
      <c r="Q576" s="10">
        <f t="shared" si="615"/>
        <v>293141790.5</v>
      </c>
      <c r="R576" s="10">
        <f t="shared" si="615"/>
        <v>0</v>
      </c>
      <c r="S576" s="10">
        <f t="shared" si="4"/>
        <v>293141790.5</v>
      </c>
      <c r="T576" s="10">
        <f t="shared" si="5"/>
        <v>-0.01</v>
      </c>
      <c r="U576" s="8">
        <v>45194.0</v>
      </c>
      <c r="V576" s="7">
        <v>3.0E8</v>
      </c>
      <c r="W576" s="7">
        <v>1.3991547839E8</v>
      </c>
      <c r="X576" s="7">
        <v>2.9314179052E8</v>
      </c>
      <c r="Y576" s="7">
        <v>0.0</v>
      </c>
      <c r="Z576" s="7">
        <v>-0.01</v>
      </c>
      <c r="AA576" s="6" t="s">
        <v>52</v>
      </c>
      <c r="AB576" s="11" t="str">
        <f t="shared" si="6"/>
        <v>Exclude</v>
      </c>
    </row>
    <row r="577" ht="15.0" customHeight="1">
      <c r="B577" s="6">
        <f t="shared" si="8"/>
        <v>575</v>
      </c>
      <c r="C577" s="1" t="s">
        <v>947</v>
      </c>
      <c r="D577" s="1" t="str">
        <f t="shared" si="2"/>
        <v>Real Estate &amp; Infra</v>
      </c>
      <c r="E577" s="1" t="s">
        <v>44</v>
      </c>
      <c r="F577" s="1" t="s">
        <v>44</v>
      </c>
      <c r="G577" s="1" t="s">
        <v>947</v>
      </c>
      <c r="H577" s="1" t="s">
        <v>542</v>
      </c>
      <c r="I577" s="1" t="s">
        <v>318</v>
      </c>
      <c r="J577" s="1" t="s">
        <v>918</v>
      </c>
      <c r="K577" s="1" t="s">
        <v>281</v>
      </c>
      <c r="L577" s="1" t="s">
        <v>314</v>
      </c>
      <c r="N577" s="6">
        <v>2000.0</v>
      </c>
      <c r="O577" s="10">
        <f t="shared" ref="O577:R577" si="616">IFERROR(V577*INDEX($AH$4:$AH$8,MATCH($AA577,$AG$4:$AG$8,0)),"")</f>
        <v>200000000</v>
      </c>
      <c r="P577" s="10">
        <f t="shared" si="616"/>
        <v>216349548</v>
      </c>
      <c r="Q577" s="10">
        <f t="shared" si="616"/>
        <v>474517677.3</v>
      </c>
      <c r="R577" s="10">
        <f t="shared" si="616"/>
        <v>0</v>
      </c>
      <c r="S577" s="10">
        <f t="shared" si="4"/>
        <v>474517677.3</v>
      </c>
      <c r="T577" s="10">
        <f t="shared" si="5"/>
        <v>0</v>
      </c>
      <c r="U577" s="8">
        <v>42277.0</v>
      </c>
      <c r="V577" s="7">
        <v>2.0E8</v>
      </c>
      <c r="W577" s="7">
        <v>2.16349548E8</v>
      </c>
      <c r="X577" s="7">
        <v>4.7451767727E8</v>
      </c>
      <c r="Y577" s="7">
        <v>0.0</v>
      </c>
      <c r="Z577" s="7">
        <v>0.0</v>
      </c>
      <c r="AA577" s="6" t="s">
        <v>52</v>
      </c>
      <c r="AB577" s="11" t="str">
        <f t="shared" si="6"/>
        <v>Exclude</v>
      </c>
    </row>
    <row r="578" ht="15.0" customHeight="1">
      <c r="B578" s="6">
        <f t="shared" si="8"/>
        <v>576</v>
      </c>
      <c r="C578" s="1" t="s">
        <v>948</v>
      </c>
      <c r="D578" s="1" t="str">
        <f t="shared" si="2"/>
        <v>Real Estate &amp; Infra</v>
      </c>
      <c r="E578" s="1" t="s">
        <v>44</v>
      </c>
      <c r="F578" s="1" t="s">
        <v>44</v>
      </c>
      <c r="G578" s="1" t="s">
        <v>948</v>
      </c>
      <c r="H578" s="1" t="s">
        <v>542</v>
      </c>
      <c r="I578" s="1" t="s">
        <v>318</v>
      </c>
      <c r="J578" s="1" t="s">
        <v>918</v>
      </c>
      <c r="K578" s="1" t="s">
        <v>281</v>
      </c>
      <c r="L578" s="1" t="s">
        <v>282</v>
      </c>
      <c r="N578" s="6">
        <v>2000.0</v>
      </c>
      <c r="O578" s="10">
        <f t="shared" ref="O578:R578" si="617">IFERROR(V578*INDEX($AH$4:$AH$8,MATCH($AA578,$AG$4:$AG$8,0)),"")</f>
        <v>100000000</v>
      </c>
      <c r="P578" s="10">
        <f t="shared" si="617"/>
        <v>113898771</v>
      </c>
      <c r="Q578" s="10">
        <f t="shared" si="617"/>
        <v>131599738.3</v>
      </c>
      <c r="R578" s="10">
        <f t="shared" si="617"/>
        <v>0</v>
      </c>
      <c r="S578" s="10">
        <f t="shared" si="4"/>
        <v>131599738.3</v>
      </c>
      <c r="T578" s="10">
        <f t="shared" si="5"/>
        <v>-0.01</v>
      </c>
      <c r="U578" s="8">
        <v>42277.0</v>
      </c>
      <c r="V578" s="7">
        <v>1.0E8</v>
      </c>
      <c r="W578" s="7">
        <v>1.1389877101E8</v>
      </c>
      <c r="X578" s="7">
        <v>1.3159973826E8</v>
      </c>
      <c r="Y578" s="7">
        <v>0.0</v>
      </c>
      <c r="Z578" s="7">
        <v>-0.01</v>
      </c>
      <c r="AA578" s="6" t="s">
        <v>52</v>
      </c>
      <c r="AB578" s="11" t="str">
        <f t="shared" si="6"/>
        <v>Exclude</v>
      </c>
    </row>
    <row r="579" ht="15.0" customHeight="1">
      <c r="B579" s="6">
        <f t="shared" si="8"/>
        <v>577</v>
      </c>
      <c r="C579" s="1" t="s">
        <v>949</v>
      </c>
      <c r="D579" s="1" t="str">
        <f t="shared" si="2"/>
        <v>Real Estate &amp; Infra</v>
      </c>
      <c r="E579" s="1" t="s">
        <v>44</v>
      </c>
      <c r="F579" s="1" t="s">
        <v>44</v>
      </c>
      <c r="G579" s="1" t="s">
        <v>949</v>
      </c>
      <c r="H579" s="1" t="s">
        <v>917</v>
      </c>
      <c r="I579" s="1" t="s">
        <v>318</v>
      </c>
      <c r="J579" s="1" t="s">
        <v>918</v>
      </c>
      <c r="K579" s="1" t="s">
        <v>62</v>
      </c>
      <c r="L579" s="1" t="s">
        <v>289</v>
      </c>
      <c r="N579" s="6">
        <v>2002.0</v>
      </c>
      <c r="O579" s="10">
        <f t="shared" ref="O579:R579" si="618">IFERROR(V579*INDEX($AH$4:$AH$8,MATCH($AA579,$AG$4:$AG$8,0)),"")</f>
        <v>87500000</v>
      </c>
      <c r="P579" s="10">
        <f t="shared" si="618"/>
        <v>84251339.01</v>
      </c>
      <c r="Q579" s="10">
        <f t="shared" si="618"/>
        <v>146688639.4</v>
      </c>
      <c r="R579" s="10">
        <f t="shared" si="618"/>
        <v>0</v>
      </c>
      <c r="S579" s="10">
        <f t="shared" si="4"/>
        <v>146688639.4</v>
      </c>
      <c r="T579" s="10">
        <f t="shared" si="5"/>
        <v>-0.01</v>
      </c>
      <c r="U579" s="8">
        <v>42277.0</v>
      </c>
      <c r="V579" s="7">
        <v>8.75E7</v>
      </c>
      <c r="W579" s="7">
        <v>8.425133901E7</v>
      </c>
      <c r="X579" s="7">
        <v>1.4668863938E8</v>
      </c>
      <c r="Y579" s="7">
        <v>0.0</v>
      </c>
      <c r="Z579" s="7">
        <v>-0.01</v>
      </c>
      <c r="AA579" s="6" t="s">
        <v>52</v>
      </c>
      <c r="AB579" s="11" t="str">
        <f t="shared" si="6"/>
        <v>Exclude</v>
      </c>
    </row>
    <row r="580" ht="15.0" customHeight="1">
      <c r="B580" s="6">
        <f t="shared" si="8"/>
        <v>578</v>
      </c>
      <c r="C580" s="1" t="s">
        <v>950</v>
      </c>
      <c r="D580" s="1" t="str">
        <f t="shared" si="2"/>
        <v>Real Estate &amp; Infra</v>
      </c>
      <c r="E580" s="1" t="s">
        <v>44</v>
      </c>
      <c r="F580" s="1" t="s">
        <v>44</v>
      </c>
      <c r="G580" s="1" t="s">
        <v>950</v>
      </c>
      <c r="H580" s="1" t="s">
        <v>951</v>
      </c>
      <c r="I580" s="1" t="s">
        <v>318</v>
      </c>
      <c r="J580" s="1" t="s">
        <v>918</v>
      </c>
      <c r="K580" s="1" t="s">
        <v>62</v>
      </c>
      <c r="L580" s="1" t="s">
        <v>289</v>
      </c>
      <c r="N580" s="6">
        <v>2002.0</v>
      </c>
      <c r="O580" s="10">
        <f t="shared" ref="O580:R580" si="619">IFERROR(V580*INDEX($AH$4:$AH$8,MATCH($AA580,$AG$4:$AG$8,0)),"")</f>
        <v>90000000</v>
      </c>
      <c r="P580" s="10">
        <f t="shared" si="619"/>
        <v>90172793</v>
      </c>
      <c r="Q580" s="10">
        <f t="shared" si="619"/>
        <v>144456714.5</v>
      </c>
      <c r="R580" s="10">
        <f t="shared" si="619"/>
        <v>0</v>
      </c>
      <c r="S580" s="10">
        <f t="shared" si="4"/>
        <v>144456714.5</v>
      </c>
      <c r="T580" s="10">
        <f t="shared" si="5"/>
        <v>0</v>
      </c>
      <c r="U580" s="8">
        <v>40359.0</v>
      </c>
      <c r="V580" s="7">
        <v>9.0E7</v>
      </c>
      <c r="W580" s="7">
        <v>9.0172793E7</v>
      </c>
      <c r="X580" s="7">
        <v>1.4445671453E8</v>
      </c>
      <c r="Y580" s="7">
        <v>0.0</v>
      </c>
      <c r="Z580" s="7">
        <v>0.0</v>
      </c>
      <c r="AA580" s="6" t="s">
        <v>52</v>
      </c>
      <c r="AB580" s="11" t="str">
        <f t="shared" si="6"/>
        <v>Exclude</v>
      </c>
    </row>
    <row r="581" ht="15.0" customHeight="1">
      <c r="B581" s="6">
        <f t="shared" si="8"/>
        <v>579</v>
      </c>
      <c r="C581" s="1" t="s">
        <v>952</v>
      </c>
      <c r="D581" s="1" t="str">
        <f t="shared" si="2"/>
        <v>Real Estate &amp; Infra</v>
      </c>
      <c r="E581" s="1" t="s">
        <v>44</v>
      </c>
      <c r="F581" s="1" t="s">
        <v>44</v>
      </c>
      <c r="G581" s="1" t="s">
        <v>952</v>
      </c>
      <c r="H581" s="1" t="s">
        <v>400</v>
      </c>
      <c r="I581" s="1" t="s">
        <v>318</v>
      </c>
      <c r="J581" s="1" t="s">
        <v>918</v>
      </c>
      <c r="K581" s="1" t="s">
        <v>62</v>
      </c>
      <c r="L581" s="1" t="s">
        <v>289</v>
      </c>
      <c r="N581" s="6">
        <v>2002.0</v>
      </c>
      <c r="O581" s="10">
        <f t="shared" ref="O581:R581" si="620">IFERROR(V581*INDEX($AH$4:$AH$8,MATCH($AA581,$AG$4:$AG$8,0)),"")</f>
        <v>57640625</v>
      </c>
      <c r="P581" s="10">
        <f t="shared" si="620"/>
        <v>56934990.85</v>
      </c>
      <c r="Q581" s="10">
        <f t="shared" si="620"/>
        <v>57817067.19</v>
      </c>
      <c r="R581" s="10">
        <f t="shared" si="620"/>
        <v>0</v>
      </c>
      <c r="S581" s="10">
        <f t="shared" si="4"/>
        <v>57817067.19</v>
      </c>
      <c r="T581" s="10">
        <f t="shared" si="5"/>
        <v>0</v>
      </c>
      <c r="U581" s="8">
        <v>42117.0</v>
      </c>
      <c r="V581" s="7">
        <v>5.7640625E7</v>
      </c>
      <c r="W581" s="7">
        <v>5.693499085E7</v>
      </c>
      <c r="X581" s="7">
        <v>5.781706719E7</v>
      </c>
      <c r="Y581" s="7">
        <v>0.0</v>
      </c>
      <c r="Z581" s="7">
        <v>0.0</v>
      </c>
      <c r="AA581" s="6" t="s">
        <v>52</v>
      </c>
      <c r="AB581" s="11" t="str">
        <f t="shared" si="6"/>
        <v>Exclude</v>
      </c>
    </row>
    <row r="582" ht="15.0" customHeight="1">
      <c r="B582" s="6">
        <f t="shared" si="8"/>
        <v>580</v>
      </c>
      <c r="C582" s="1" t="s">
        <v>953</v>
      </c>
      <c r="D582" s="1" t="str">
        <f t="shared" si="2"/>
        <v>Real Estate &amp; Infra</v>
      </c>
      <c r="E582" s="1" t="s">
        <v>44</v>
      </c>
      <c r="F582" s="1" t="s">
        <v>44</v>
      </c>
      <c r="G582" s="1" t="s">
        <v>953</v>
      </c>
      <c r="H582" s="1" t="s">
        <v>37</v>
      </c>
      <c r="I582" s="1" t="s">
        <v>318</v>
      </c>
      <c r="J582" s="1" t="s">
        <v>918</v>
      </c>
      <c r="K582" s="1" t="s">
        <v>281</v>
      </c>
      <c r="L582" s="1" t="s">
        <v>954</v>
      </c>
      <c r="N582" s="6">
        <v>2002.0</v>
      </c>
      <c r="O582" s="10">
        <f t="shared" ref="O582:R582" si="621">IFERROR(V582*INDEX($AH$4:$AH$8,MATCH($AA582,$AG$4:$AG$8,0)),"")</f>
        <v>75000000</v>
      </c>
      <c r="P582" s="10">
        <f t="shared" si="621"/>
        <v>67951365.88</v>
      </c>
      <c r="Q582" s="10">
        <f t="shared" si="621"/>
        <v>103925357</v>
      </c>
      <c r="R582" s="10">
        <f t="shared" si="621"/>
        <v>0</v>
      </c>
      <c r="S582" s="10">
        <f t="shared" si="4"/>
        <v>103925357</v>
      </c>
      <c r="T582" s="10">
        <f t="shared" si="5"/>
        <v>0.12</v>
      </c>
      <c r="U582" s="8">
        <v>43640.0</v>
      </c>
      <c r="V582" s="7">
        <v>7.5E7</v>
      </c>
      <c r="W582" s="7">
        <v>6.795136588E7</v>
      </c>
      <c r="X582" s="7">
        <v>1.03925357E8</v>
      </c>
      <c r="Y582" s="7">
        <v>0.0</v>
      </c>
      <c r="Z582" s="7">
        <v>0.12</v>
      </c>
      <c r="AA582" s="6" t="s">
        <v>52</v>
      </c>
      <c r="AB582" s="11" t="str">
        <f t="shared" si="6"/>
        <v>Exclude</v>
      </c>
    </row>
    <row r="583" ht="15.0" customHeight="1">
      <c r="B583" s="6">
        <f t="shared" si="8"/>
        <v>581</v>
      </c>
      <c r="C583" s="1" t="s">
        <v>955</v>
      </c>
      <c r="D583" s="1" t="str">
        <f t="shared" si="2"/>
        <v>Real Estate &amp; Infra</v>
      </c>
      <c r="E583" s="1" t="s">
        <v>44</v>
      </c>
      <c r="F583" s="1" t="s">
        <v>44</v>
      </c>
      <c r="G583" s="1" t="s">
        <v>955</v>
      </c>
      <c r="H583" s="1" t="s">
        <v>932</v>
      </c>
      <c r="I583" s="1" t="s">
        <v>318</v>
      </c>
      <c r="J583" s="1" t="s">
        <v>918</v>
      </c>
      <c r="K583" s="1" t="s">
        <v>281</v>
      </c>
      <c r="L583" s="1" t="s">
        <v>282</v>
      </c>
      <c r="N583" s="6">
        <v>2004.0</v>
      </c>
      <c r="O583" s="10">
        <f t="shared" ref="O583:R583" si="622">IFERROR(V583*INDEX($AH$4:$AH$8,MATCH($AA583,$AG$4:$AG$8,0)),"")</f>
        <v>100000000</v>
      </c>
      <c r="P583" s="10">
        <f t="shared" si="622"/>
        <v>97646305.29</v>
      </c>
      <c r="Q583" s="10">
        <f t="shared" si="622"/>
        <v>63056593.26</v>
      </c>
      <c r="R583" s="10">
        <f t="shared" si="622"/>
        <v>0</v>
      </c>
      <c r="S583" s="10">
        <f t="shared" si="4"/>
        <v>63056593.26</v>
      </c>
      <c r="T583" s="10">
        <f t="shared" si="5"/>
        <v>0</v>
      </c>
      <c r="U583" s="8">
        <v>42277.0</v>
      </c>
      <c r="V583" s="7">
        <v>1.0E8</v>
      </c>
      <c r="W583" s="7">
        <v>9.764630529E7</v>
      </c>
      <c r="X583" s="7">
        <v>6.305659326E7</v>
      </c>
      <c r="Y583" s="7">
        <v>0.0</v>
      </c>
      <c r="Z583" s="7">
        <v>0.0</v>
      </c>
      <c r="AA583" s="6" t="s">
        <v>52</v>
      </c>
      <c r="AB583" s="11" t="str">
        <f t="shared" si="6"/>
        <v>Exclude</v>
      </c>
    </row>
    <row r="584" ht="15.0" customHeight="1">
      <c r="B584" s="6">
        <f t="shared" si="8"/>
        <v>582</v>
      </c>
      <c r="C584" s="1" t="s">
        <v>956</v>
      </c>
      <c r="D584" s="1" t="str">
        <f t="shared" si="2"/>
        <v>Real Estate &amp; Infra</v>
      </c>
      <c r="E584" s="1" t="s">
        <v>44</v>
      </c>
      <c r="F584" s="1" t="s">
        <v>44</v>
      </c>
      <c r="G584" s="1" t="s">
        <v>956</v>
      </c>
      <c r="H584" s="1" t="s">
        <v>957</v>
      </c>
      <c r="I584" s="1" t="s">
        <v>318</v>
      </c>
      <c r="J584" s="1" t="s">
        <v>918</v>
      </c>
      <c r="K584" s="1" t="s">
        <v>62</v>
      </c>
      <c r="L584" s="1" t="s">
        <v>289</v>
      </c>
      <c r="N584" s="6">
        <v>2003.0</v>
      </c>
      <c r="O584" s="10">
        <f t="shared" ref="O584:R584" si="623">IFERROR(V584*INDEX($AH$4:$AH$8,MATCH($AA584,$AG$4:$AG$8,0)),"")</f>
        <v>100000000</v>
      </c>
      <c r="P584" s="10">
        <f t="shared" si="623"/>
        <v>104317359.4</v>
      </c>
      <c r="Q584" s="10">
        <f t="shared" si="623"/>
        <v>157189721</v>
      </c>
      <c r="R584" s="10">
        <f t="shared" si="623"/>
        <v>0</v>
      </c>
      <c r="S584" s="10">
        <f t="shared" si="4"/>
        <v>157189721</v>
      </c>
      <c r="T584" s="10">
        <f t="shared" si="5"/>
        <v>-0.01</v>
      </c>
      <c r="U584" s="8">
        <v>42726.0</v>
      </c>
      <c r="V584" s="7">
        <v>1.0E8</v>
      </c>
      <c r="W584" s="7">
        <v>1.0431735935E8</v>
      </c>
      <c r="X584" s="7">
        <v>1.57189721E8</v>
      </c>
      <c r="Y584" s="7">
        <v>0.0</v>
      </c>
      <c r="Z584" s="7">
        <v>-0.01</v>
      </c>
      <c r="AA584" s="6" t="s">
        <v>52</v>
      </c>
      <c r="AB584" s="11" t="str">
        <f t="shared" si="6"/>
        <v>Exclude</v>
      </c>
    </row>
    <row r="585" ht="15.0" customHeight="1">
      <c r="B585" s="6">
        <f t="shared" si="8"/>
        <v>583</v>
      </c>
      <c r="C585" s="1" t="s">
        <v>958</v>
      </c>
      <c r="D585" s="1" t="str">
        <f t="shared" si="2"/>
        <v>Real Estate &amp; Infra</v>
      </c>
      <c r="E585" s="1" t="s">
        <v>44</v>
      </c>
      <c r="F585" s="1" t="s">
        <v>44</v>
      </c>
      <c r="G585" s="1" t="s">
        <v>958</v>
      </c>
      <c r="H585" s="1" t="s">
        <v>951</v>
      </c>
      <c r="I585" s="1" t="s">
        <v>318</v>
      </c>
      <c r="J585" s="1" t="s">
        <v>918</v>
      </c>
      <c r="K585" s="1" t="s">
        <v>62</v>
      </c>
      <c r="L585" s="1" t="s">
        <v>349</v>
      </c>
      <c r="N585" s="6">
        <v>2004.0</v>
      </c>
      <c r="O585" s="10">
        <f t="shared" ref="O585:R585" si="624">IFERROR(V585*INDEX($AH$4:$AH$8,MATCH($AA585,$AG$4:$AG$8,0)),"")</f>
        <v>90000000</v>
      </c>
      <c r="P585" s="10">
        <f t="shared" si="624"/>
        <v>90000000</v>
      </c>
      <c r="Q585" s="10">
        <f t="shared" si="624"/>
        <v>71781396.75</v>
      </c>
      <c r="R585" s="10">
        <f t="shared" si="624"/>
        <v>0</v>
      </c>
      <c r="S585" s="10">
        <f t="shared" si="4"/>
        <v>71781396.75</v>
      </c>
      <c r="T585" s="10">
        <f t="shared" si="5"/>
        <v>0</v>
      </c>
      <c r="U585" s="8">
        <v>41660.0</v>
      </c>
      <c r="V585" s="7">
        <v>9.0E7</v>
      </c>
      <c r="W585" s="7">
        <v>9.0E7</v>
      </c>
      <c r="X585" s="7">
        <v>7.178139675E7</v>
      </c>
      <c r="Y585" s="7">
        <v>0.0</v>
      </c>
      <c r="Z585" s="7">
        <v>0.0</v>
      </c>
      <c r="AA585" s="6" t="s">
        <v>52</v>
      </c>
      <c r="AB585" s="11" t="str">
        <f t="shared" si="6"/>
        <v>Exclude</v>
      </c>
    </row>
    <row r="586" ht="15.0" customHeight="1">
      <c r="B586" s="6">
        <f t="shared" si="8"/>
        <v>584</v>
      </c>
      <c r="C586" s="1" t="s">
        <v>959</v>
      </c>
      <c r="D586" s="1" t="str">
        <f t="shared" si="2"/>
        <v>Real Estate &amp; Infra</v>
      </c>
      <c r="E586" s="1" t="s">
        <v>44</v>
      </c>
      <c r="F586" s="1" t="s">
        <v>44</v>
      </c>
      <c r="G586" s="1" t="s">
        <v>959</v>
      </c>
      <c r="H586" s="1" t="s">
        <v>935</v>
      </c>
      <c r="I586" s="1" t="s">
        <v>318</v>
      </c>
      <c r="J586" s="1" t="s">
        <v>918</v>
      </c>
      <c r="K586" s="1" t="s">
        <v>281</v>
      </c>
      <c r="L586" s="1" t="s">
        <v>282</v>
      </c>
      <c r="N586" s="6">
        <v>2004.0</v>
      </c>
      <c r="O586" s="10">
        <f t="shared" ref="O586:R586" si="625">IFERROR(V586*INDEX($AH$4:$AH$8,MATCH($AA586,$AG$4:$AG$8,0)),"")</f>
        <v>100000000</v>
      </c>
      <c r="P586" s="10">
        <f t="shared" si="625"/>
        <v>112110539.9</v>
      </c>
      <c r="Q586" s="10">
        <f t="shared" si="625"/>
        <v>93954251.9</v>
      </c>
      <c r="R586" s="10">
        <f t="shared" si="625"/>
        <v>0</v>
      </c>
      <c r="S586" s="10">
        <f t="shared" si="4"/>
        <v>93954251.9</v>
      </c>
      <c r="T586" s="10">
        <f t="shared" si="5"/>
        <v>0.08</v>
      </c>
      <c r="U586" s="8">
        <v>42551.0</v>
      </c>
      <c r="V586" s="7">
        <v>1.0E8</v>
      </c>
      <c r="W586" s="7">
        <v>1.1211053986E8</v>
      </c>
      <c r="X586" s="7">
        <v>9.39542519E7</v>
      </c>
      <c r="Y586" s="7">
        <v>0.0</v>
      </c>
      <c r="Z586" s="7">
        <v>0.08</v>
      </c>
      <c r="AA586" s="6" t="s">
        <v>52</v>
      </c>
      <c r="AB586" s="11" t="str">
        <f t="shared" si="6"/>
        <v>Exclude</v>
      </c>
    </row>
    <row r="587" ht="15.0" customHeight="1">
      <c r="B587" s="6">
        <f t="shared" si="8"/>
        <v>585</v>
      </c>
      <c r="C587" s="1" t="s">
        <v>960</v>
      </c>
      <c r="D587" s="1" t="str">
        <f t="shared" si="2"/>
        <v>Real Estate &amp; Infra</v>
      </c>
      <c r="E587" s="1" t="s">
        <v>44</v>
      </c>
      <c r="F587" s="1" t="s">
        <v>44</v>
      </c>
      <c r="G587" s="1" t="s">
        <v>960</v>
      </c>
      <c r="H587" s="1" t="s">
        <v>961</v>
      </c>
      <c r="I587" s="1" t="s">
        <v>318</v>
      </c>
      <c r="J587" s="1" t="s">
        <v>918</v>
      </c>
      <c r="K587" s="1" t="s">
        <v>62</v>
      </c>
      <c r="L587" s="1" t="s">
        <v>289</v>
      </c>
      <c r="N587" s="6">
        <v>2005.0</v>
      </c>
      <c r="O587" s="10">
        <f t="shared" ref="O587:R587" si="626">IFERROR(V587*INDEX($AH$4:$AH$8,MATCH($AA587,$AG$4:$AG$8,0)),"")</f>
        <v>75000000</v>
      </c>
      <c r="P587" s="10">
        <f t="shared" si="626"/>
        <v>75000000</v>
      </c>
      <c r="Q587" s="10">
        <f t="shared" si="626"/>
        <v>97028050.02</v>
      </c>
      <c r="R587" s="10">
        <f t="shared" si="626"/>
        <v>0</v>
      </c>
      <c r="S587" s="10">
        <f t="shared" si="4"/>
        <v>97028050.02</v>
      </c>
      <c r="T587" s="10">
        <f t="shared" si="5"/>
        <v>0</v>
      </c>
      <c r="U587" s="8">
        <v>42461.0</v>
      </c>
      <c r="V587" s="7">
        <v>7.5E7</v>
      </c>
      <c r="W587" s="7">
        <v>7.5E7</v>
      </c>
      <c r="X587" s="7">
        <v>9.702805002E7</v>
      </c>
      <c r="Y587" s="7">
        <v>0.0</v>
      </c>
      <c r="Z587" s="7">
        <v>0.0</v>
      </c>
      <c r="AA587" s="6" t="s">
        <v>52</v>
      </c>
      <c r="AB587" s="11" t="str">
        <f t="shared" si="6"/>
        <v>Exclude</v>
      </c>
    </row>
    <row r="588" ht="15.0" customHeight="1">
      <c r="B588" s="6">
        <f t="shared" si="8"/>
        <v>586</v>
      </c>
      <c r="C588" s="1" t="s">
        <v>962</v>
      </c>
      <c r="D588" s="1" t="str">
        <f t="shared" si="2"/>
        <v>Real Estate &amp; Infra</v>
      </c>
      <c r="E588" s="1" t="s">
        <v>44</v>
      </c>
      <c r="F588" s="1" t="s">
        <v>44</v>
      </c>
      <c r="G588" s="1" t="s">
        <v>962</v>
      </c>
      <c r="H588" s="1" t="s">
        <v>530</v>
      </c>
      <c r="I588" s="1" t="s">
        <v>318</v>
      </c>
      <c r="J588" s="1" t="s">
        <v>918</v>
      </c>
      <c r="K588" s="1" t="s">
        <v>281</v>
      </c>
      <c r="L588" s="1" t="s">
        <v>282</v>
      </c>
      <c r="N588" s="6">
        <v>2005.0</v>
      </c>
      <c r="O588" s="10">
        <f t="shared" ref="O588:R588" si="627">IFERROR(V588*INDEX($AH$4:$AH$8,MATCH($AA588,$AG$4:$AG$8,0)),"")</f>
        <v>150000000</v>
      </c>
      <c r="P588" s="10">
        <f t="shared" si="627"/>
        <v>166612777</v>
      </c>
      <c r="Q588" s="10">
        <f t="shared" si="627"/>
        <v>159078845</v>
      </c>
      <c r="R588" s="10">
        <f t="shared" si="627"/>
        <v>0</v>
      </c>
      <c r="S588" s="10">
        <f t="shared" si="4"/>
        <v>159078845</v>
      </c>
      <c r="T588" s="10">
        <f t="shared" si="5"/>
        <v>0</v>
      </c>
      <c r="U588" s="8">
        <v>42277.0</v>
      </c>
      <c r="V588" s="7">
        <v>1.5E8</v>
      </c>
      <c r="W588" s="7">
        <v>1.66612777E8</v>
      </c>
      <c r="X588" s="7">
        <v>1.5907884501E8</v>
      </c>
      <c r="Y588" s="7">
        <v>0.0</v>
      </c>
      <c r="Z588" s="7">
        <v>0.0</v>
      </c>
      <c r="AA588" s="6" t="s">
        <v>52</v>
      </c>
      <c r="AB588" s="11" t="str">
        <f t="shared" si="6"/>
        <v>Exclude</v>
      </c>
    </row>
    <row r="589" ht="15.0" customHeight="1">
      <c r="B589" s="6">
        <f t="shared" si="8"/>
        <v>587</v>
      </c>
      <c r="C589" s="1" t="s">
        <v>963</v>
      </c>
      <c r="D589" s="1" t="str">
        <f t="shared" si="2"/>
        <v>Real Estate &amp; Infra</v>
      </c>
      <c r="E589" s="1" t="s">
        <v>44</v>
      </c>
      <c r="F589" s="1" t="s">
        <v>44</v>
      </c>
      <c r="G589" s="1" t="s">
        <v>963</v>
      </c>
      <c r="H589" s="1" t="s">
        <v>400</v>
      </c>
      <c r="I589" s="1" t="s">
        <v>318</v>
      </c>
      <c r="J589" s="1" t="s">
        <v>918</v>
      </c>
      <c r="K589" s="1" t="s">
        <v>62</v>
      </c>
      <c r="L589" s="1" t="s">
        <v>289</v>
      </c>
      <c r="N589" s="6">
        <v>2005.0</v>
      </c>
      <c r="O589" s="10">
        <f t="shared" ref="O589:R589" si="628">IFERROR(V589*INDEX($AH$4:$AH$8,MATCH($AA589,$AG$4:$AG$8,0)),"")</f>
        <v>100000000</v>
      </c>
      <c r="P589" s="10">
        <f t="shared" si="628"/>
        <v>97396135.56</v>
      </c>
      <c r="Q589" s="10">
        <f t="shared" si="628"/>
        <v>146512451.6</v>
      </c>
      <c r="R589" s="10">
        <f t="shared" si="628"/>
        <v>0</v>
      </c>
      <c r="S589" s="10">
        <f t="shared" si="4"/>
        <v>146512451.6</v>
      </c>
      <c r="T589" s="10">
        <f t="shared" si="5"/>
        <v>0</v>
      </c>
      <c r="U589" s="8">
        <v>45880.0</v>
      </c>
      <c r="V589" s="7">
        <v>1.0E8</v>
      </c>
      <c r="W589" s="7">
        <v>9.739613556E7</v>
      </c>
      <c r="X589" s="7">
        <v>1.4651245164E8</v>
      </c>
      <c r="Y589" s="7">
        <v>0.0</v>
      </c>
      <c r="Z589" s="7">
        <v>0.0</v>
      </c>
      <c r="AA589" s="6" t="s">
        <v>52</v>
      </c>
      <c r="AB589" s="11" t="str">
        <f t="shared" si="6"/>
        <v>Exclude</v>
      </c>
    </row>
    <row r="590" ht="15.0" customHeight="1">
      <c r="B590" s="6">
        <f t="shared" si="8"/>
        <v>588</v>
      </c>
      <c r="C590" s="1" t="s">
        <v>964</v>
      </c>
      <c r="D590" s="1" t="str">
        <f t="shared" si="2"/>
        <v>Real Estate &amp; Infra</v>
      </c>
      <c r="E590" s="1" t="s">
        <v>44</v>
      </c>
      <c r="F590" s="1" t="s">
        <v>44</v>
      </c>
      <c r="G590" s="1" t="s">
        <v>964</v>
      </c>
      <c r="H590" s="1" t="s">
        <v>37</v>
      </c>
      <c r="I590" s="1" t="s">
        <v>318</v>
      </c>
      <c r="J590" s="1" t="s">
        <v>918</v>
      </c>
      <c r="K590" s="1" t="s">
        <v>281</v>
      </c>
      <c r="L590" s="1" t="s">
        <v>954</v>
      </c>
      <c r="N590" s="6">
        <v>2005.0</v>
      </c>
      <c r="O590" s="10">
        <f t="shared" ref="O590:R590" si="629">IFERROR(V590*INDEX($AH$4:$AH$8,MATCH($AA590,$AG$4:$AG$8,0)),"")</f>
        <v>75000000</v>
      </c>
      <c r="P590" s="10">
        <f t="shared" si="629"/>
        <v>80020127</v>
      </c>
      <c r="Q590" s="10">
        <f t="shared" si="629"/>
        <v>50492785.31</v>
      </c>
      <c r="R590" s="10">
        <f t="shared" si="629"/>
        <v>0</v>
      </c>
      <c r="S590" s="10">
        <f t="shared" si="4"/>
        <v>50492785.31</v>
      </c>
      <c r="T590" s="10">
        <f t="shared" si="5"/>
        <v>0</v>
      </c>
      <c r="U590" s="8">
        <v>45569.0</v>
      </c>
      <c r="V590" s="7">
        <v>7.5E7</v>
      </c>
      <c r="W590" s="7">
        <v>8.0020127E7</v>
      </c>
      <c r="X590" s="7">
        <v>5.049278531E7</v>
      </c>
      <c r="Y590" s="7">
        <v>0.0</v>
      </c>
      <c r="Z590" s="7">
        <v>0.0</v>
      </c>
      <c r="AA590" s="6" t="s">
        <v>52</v>
      </c>
      <c r="AB590" s="11" t="str">
        <f t="shared" si="6"/>
        <v>Exclude</v>
      </c>
    </row>
    <row r="591" ht="15.0" customHeight="1">
      <c r="B591" s="6">
        <f t="shared" si="8"/>
        <v>589</v>
      </c>
      <c r="C591" s="1" t="s">
        <v>965</v>
      </c>
      <c r="D591" s="1" t="str">
        <f t="shared" si="2"/>
        <v>Real Estate &amp; Infra</v>
      </c>
      <c r="E591" s="1" t="s">
        <v>44</v>
      </c>
      <c r="F591" s="1" t="s">
        <v>44</v>
      </c>
      <c r="G591" s="1" t="s">
        <v>965</v>
      </c>
      <c r="H591" s="1" t="s">
        <v>97</v>
      </c>
      <c r="I591" s="1" t="s">
        <v>318</v>
      </c>
      <c r="J591" s="1" t="s">
        <v>918</v>
      </c>
      <c r="K591" s="1" t="s">
        <v>281</v>
      </c>
      <c r="L591" s="1" t="s">
        <v>282</v>
      </c>
      <c r="N591" s="6">
        <v>2004.0</v>
      </c>
      <c r="O591" s="10">
        <f t="shared" ref="O591:R591" si="630">IFERROR(V591*INDEX($AH$4:$AH$8,MATCH($AA591,$AG$4:$AG$8,0)),"")</f>
        <v>130000000</v>
      </c>
      <c r="P591" s="10">
        <f t="shared" si="630"/>
        <v>189674261</v>
      </c>
      <c r="Q591" s="10">
        <f t="shared" si="630"/>
        <v>263505006.4</v>
      </c>
      <c r="R591" s="10">
        <f t="shared" si="630"/>
        <v>0</v>
      </c>
      <c r="S591" s="10">
        <f t="shared" si="4"/>
        <v>263505006.4</v>
      </c>
      <c r="T591" s="10">
        <f t="shared" si="5"/>
        <v>0</v>
      </c>
      <c r="U591" s="8">
        <v>44926.0</v>
      </c>
      <c r="V591" s="7">
        <v>1.3E8</v>
      </c>
      <c r="W591" s="7">
        <v>1.89674261E8</v>
      </c>
      <c r="X591" s="7">
        <v>2.6350500643E8</v>
      </c>
      <c r="Y591" s="7">
        <v>0.0</v>
      </c>
      <c r="Z591" s="7">
        <v>0.0</v>
      </c>
      <c r="AA591" s="6" t="s">
        <v>52</v>
      </c>
      <c r="AB591" s="11" t="str">
        <f t="shared" si="6"/>
        <v>Exclude</v>
      </c>
    </row>
    <row r="592" ht="15.0" customHeight="1">
      <c r="B592" s="6">
        <f t="shared" si="8"/>
        <v>590</v>
      </c>
      <c r="C592" s="1" t="s">
        <v>966</v>
      </c>
      <c r="D592" s="1" t="str">
        <f t="shared" si="2"/>
        <v>Real Estate &amp; Infra</v>
      </c>
      <c r="E592" s="1" t="s">
        <v>44</v>
      </c>
      <c r="F592" s="1" t="s">
        <v>44</v>
      </c>
      <c r="G592" s="1" t="s">
        <v>966</v>
      </c>
      <c r="H592" s="1" t="s">
        <v>946</v>
      </c>
      <c r="I592" s="1" t="s">
        <v>318</v>
      </c>
      <c r="J592" s="1" t="s">
        <v>918</v>
      </c>
      <c r="K592" s="1" t="s">
        <v>281</v>
      </c>
      <c r="L592" s="1" t="s">
        <v>282</v>
      </c>
      <c r="N592" s="6">
        <v>2005.0</v>
      </c>
      <c r="O592" s="10">
        <f t="shared" ref="O592:R592" si="631">IFERROR(V592*INDEX($AH$4:$AH$8,MATCH($AA592,$AG$4:$AG$8,0)),"")</f>
        <v>200000000</v>
      </c>
      <c r="P592" s="10">
        <f t="shared" si="631"/>
        <v>208603074.1</v>
      </c>
      <c r="Q592" s="10">
        <f t="shared" si="631"/>
        <v>228690762.8</v>
      </c>
      <c r="R592" s="10">
        <f t="shared" si="631"/>
        <v>0</v>
      </c>
      <c r="S592" s="10">
        <f t="shared" si="4"/>
        <v>228690762.8</v>
      </c>
      <c r="T592" s="10">
        <f t="shared" si="5"/>
        <v>-0.09</v>
      </c>
      <c r="U592" s="8">
        <v>42277.0</v>
      </c>
      <c r="V592" s="7">
        <v>2.0E8</v>
      </c>
      <c r="W592" s="7">
        <v>2.086030741E8</v>
      </c>
      <c r="X592" s="7">
        <v>2.2869076275E8</v>
      </c>
      <c r="Y592" s="7">
        <v>0.0</v>
      </c>
      <c r="Z592" s="7">
        <v>-0.09</v>
      </c>
      <c r="AA592" s="6" t="s">
        <v>52</v>
      </c>
      <c r="AB592" s="11" t="str">
        <f t="shared" si="6"/>
        <v>Exclude</v>
      </c>
    </row>
    <row r="593" ht="15.0" customHeight="1">
      <c r="B593" s="6">
        <f t="shared" si="8"/>
        <v>591</v>
      </c>
      <c r="C593" s="1" t="s">
        <v>967</v>
      </c>
      <c r="D593" s="1" t="str">
        <f t="shared" si="2"/>
        <v>Real Estate &amp; Infra</v>
      </c>
      <c r="E593" s="1" t="s">
        <v>44</v>
      </c>
      <c r="F593" s="1" t="s">
        <v>44</v>
      </c>
      <c r="G593" s="1" t="s">
        <v>967</v>
      </c>
      <c r="H593" s="1" t="s">
        <v>542</v>
      </c>
      <c r="I593" s="1" t="s">
        <v>318</v>
      </c>
      <c r="J593" s="1" t="s">
        <v>918</v>
      </c>
      <c r="K593" s="1" t="s">
        <v>281</v>
      </c>
      <c r="L593" s="1" t="s">
        <v>314</v>
      </c>
      <c r="N593" s="6">
        <v>2005.0</v>
      </c>
      <c r="O593" s="10">
        <f t="shared" ref="O593:R593" si="632">IFERROR(V593*INDEX($AH$4:$AH$8,MATCH($AA593,$AG$4:$AG$8,0)),"")</f>
        <v>200000000</v>
      </c>
      <c r="P593" s="10">
        <f t="shared" si="632"/>
        <v>231798406</v>
      </c>
      <c r="Q593" s="10">
        <f t="shared" si="632"/>
        <v>285311203.6</v>
      </c>
      <c r="R593" s="10">
        <f t="shared" si="632"/>
        <v>0</v>
      </c>
      <c r="S593" s="10">
        <f t="shared" si="4"/>
        <v>285311203.6</v>
      </c>
      <c r="T593" s="10">
        <f t="shared" si="5"/>
        <v>-0.01</v>
      </c>
      <c r="U593" s="8">
        <v>42277.0</v>
      </c>
      <c r="V593" s="7">
        <v>2.0E8</v>
      </c>
      <c r="W593" s="7">
        <v>2.3179840601E8</v>
      </c>
      <c r="X593" s="7">
        <v>2.853112036E8</v>
      </c>
      <c r="Y593" s="7">
        <v>0.0</v>
      </c>
      <c r="Z593" s="7">
        <v>-0.01</v>
      </c>
      <c r="AA593" s="6" t="s">
        <v>52</v>
      </c>
      <c r="AB593" s="11" t="str">
        <f t="shared" si="6"/>
        <v>Exclude</v>
      </c>
    </row>
    <row r="594" ht="15.0" customHeight="1">
      <c r="B594" s="6">
        <f t="shared" si="8"/>
        <v>592</v>
      </c>
      <c r="C594" s="1" t="s">
        <v>968</v>
      </c>
      <c r="D594" s="1" t="str">
        <f t="shared" si="2"/>
        <v>Real Estate &amp; Infra</v>
      </c>
      <c r="E594" s="1" t="s">
        <v>44</v>
      </c>
      <c r="F594" s="1" t="s">
        <v>44</v>
      </c>
      <c r="G594" s="1" t="s">
        <v>968</v>
      </c>
      <c r="H594" s="1" t="s">
        <v>969</v>
      </c>
      <c r="I594" s="1" t="s">
        <v>318</v>
      </c>
      <c r="J594" s="1" t="s">
        <v>918</v>
      </c>
      <c r="K594" s="1" t="s">
        <v>54</v>
      </c>
      <c r="L594" s="1" t="s">
        <v>286</v>
      </c>
      <c r="N594" s="6">
        <v>2006.0</v>
      </c>
      <c r="O594" s="10">
        <f t="shared" ref="O594:R594" si="633">IFERROR(V594*INDEX($AH$4:$AH$8,MATCH($AA594,$AG$4:$AG$8,0)),"")</f>
        <v>200000000</v>
      </c>
      <c r="P594" s="10">
        <f t="shared" si="633"/>
        <v>196687767.4</v>
      </c>
      <c r="Q594" s="10">
        <f t="shared" si="633"/>
        <v>241328904.6</v>
      </c>
      <c r="R594" s="10">
        <f t="shared" si="633"/>
        <v>0</v>
      </c>
      <c r="S594" s="10">
        <f t="shared" si="4"/>
        <v>241328904.6</v>
      </c>
      <c r="T594" s="10">
        <f t="shared" si="5"/>
        <v>0</v>
      </c>
      <c r="U594" s="8">
        <v>41955.0</v>
      </c>
      <c r="V594" s="7">
        <v>2.0E8</v>
      </c>
      <c r="W594" s="7">
        <v>1.966877674E8</v>
      </c>
      <c r="X594" s="7">
        <v>2.4132890461E8</v>
      </c>
      <c r="Y594" s="7">
        <v>0.0</v>
      </c>
      <c r="Z594" s="7">
        <v>0.0</v>
      </c>
      <c r="AA594" s="6" t="s">
        <v>52</v>
      </c>
      <c r="AB594" s="11" t="str">
        <f t="shared" si="6"/>
        <v>Exclude</v>
      </c>
    </row>
    <row r="595" ht="15.0" customHeight="1">
      <c r="B595" s="6">
        <f t="shared" si="8"/>
        <v>593</v>
      </c>
      <c r="C595" s="1" t="s">
        <v>970</v>
      </c>
      <c r="D595" s="1" t="str">
        <f t="shared" si="2"/>
        <v>Real Estate &amp; Infra</v>
      </c>
      <c r="E595" s="1" t="s">
        <v>44</v>
      </c>
      <c r="F595" s="1" t="s">
        <v>44</v>
      </c>
      <c r="G595" s="1" t="s">
        <v>970</v>
      </c>
      <c r="H595" s="1" t="s">
        <v>971</v>
      </c>
      <c r="I595" s="1" t="s">
        <v>318</v>
      </c>
      <c r="J595" s="1" t="s">
        <v>918</v>
      </c>
      <c r="K595" s="1" t="s">
        <v>54</v>
      </c>
      <c r="L595" s="1" t="s">
        <v>286</v>
      </c>
      <c r="N595" s="6">
        <v>2006.0</v>
      </c>
      <c r="O595" s="10">
        <f t="shared" ref="O595:R595" si="634">IFERROR(V595*INDEX($AH$4:$AH$8,MATCH($AA595,$AG$4:$AG$8,0)),"")</f>
        <v>100000000</v>
      </c>
      <c r="P595" s="10">
        <f t="shared" si="634"/>
        <v>100000000</v>
      </c>
      <c r="Q595" s="10">
        <f t="shared" si="634"/>
        <v>157472408.8</v>
      </c>
      <c r="R595" s="10">
        <f t="shared" si="634"/>
        <v>0</v>
      </c>
      <c r="S595" s="10">
        <f t="shared" si="4"/>
        <v>157472408.8</v>
      </c>
      <c r="T595" s="10">
        <f t="shared" si="5"/>
        <v>0</v>
      </c>
      <c r="U595" s="8">
        <v>43298.0</v>
      </c>
      <c r="V595" s="7">
        <v>1.0E8</v>
      </c>
      <c r="W595" s="7">
        <v>1.0E8</v>
      </c>
      <c r="X595" s="7">
        <v>1.5747240883E8</v>
      </c>
      <c r="Y595" s="7">
        <v>0.0</v>
      </c>
      <c r="Z595" s="7">
        <v>0.0</v>
      </c>
      <c r="AA595" s="6" t="s">
        <v>52</v>
      </c>
      <c r="AB595" s="11" t="str">
        <f t="shared" si="6"/>
        <v>Exclude</v>
      </c>
    </row>
    <row r="596" ht="15.0" customHeight="1">
      <c r="B596" s="6">
        <f t="shared" si="8"/>
        <v>594</v>
      </c>
      <c r="C596" s="1" t="s">
        <v>972</v>
      </c>
      <c r="D596" s="1" t="str">
        <f t="shared" si="2"/>
        <v>Real Estate &amp; Infra</v>
      </c>
      <c r="E596" s="1" t="s">
        <v>44</v>
      </c>
      <c r="F596" s="1" t="s">
        <v>44</v>
      </c>
      <c r="G596" s="1" t="s">
        <v>972</v>
      </c>
      <c r="H596" s="1" t="s">
        <v>37</v>
      </c>
      <c r="I596" s="1" t="s">
        <v>318</v>
      </c>
      <c r="J596" s="1" t="s">
        <v>918</v>
      </c>
      <c r="K596" s="1" t="s">
        <v>281</v>
      </c>
      <c r="L596" s="1" t="s">
        <v>314</v>
      </c>
      <c r="N596" s="6">
        <v>2005.0</v>
      </c>
      <c r="O596" s="10">
        <f t="shared" ref="O596:R596" si="635">IFERROR(V596*INDEX($AH$4:$AH$8,MATCH($AA596,$AG$4:$AG$8,0)),"")</f>
        <v>200000000</v>
      </c>
      <c r="P596" s="10">
        <f t="shared" si="635"/>
        <v>214491119</v>
      </c>
      <c r="Q596" s="10">
        <f t="shared" si="635"/>
        <v>426684521.7</v>
      </c>
      <c r="R596" s="10">
        <f t="shared" si="635"/>
        <v>315729</v>
      </c>
      <c r="S596" s="10">
        <f t="shared" si="4"/>
        <v>427000250.7</v>
      </c>
      <c r="T596" s="10">
        <f t="shared" si="5"/>
        <v>834809</v>
      </c>
      <c r="U596" s="8">
        <v>46112.0</v>
      </c>
      <c r="V596" s="7">
        <v>2.0E8</v>
      </c>
      <c r="W596" s="7">
        <v>2.14491119E8</v>
      </c>
      <c r="X596" s="7">
        <v>4.2668452174E8</v>
      </c>
      <c r="Y596" s="7">
        <v>315729.0</v>
      </c>
      <c r="Z596" s="7">
        <v>834809.0</v>
      </c>
      <c r="AA596" s="6" t="s">
        <v>52</v>
      </c>
      <c r="AB596" s="11" t="str">
        <f t="shared" si="6"/>
        <v>Include</v>
      </c>
      <c r="AC596" s="1">
        <f>S596/P596</f>
        <v>1.990759584</v>
      </c>
    </row>
    <row r="597" ht="15.0" customHeight="1">
      <c r="B597" s="6">
        <f t="shared" si="8"/>
        <v>595</v>
      </c>
      <c r="C597" s="1" t="s">
        <v>973</v>
      </c>
      <c r="D597" s="1" t="str">
        <f t="shared" si="2"/>
        <v>Real Estate &amp; Infra</v>
      </c>
      <c r="E597" s="1" t="s">
        <v>44</v>
      </c>
      <c r="F597" s="1" t="s">
        <v>44</v>
      </c>
      <c r="G597" s="1" t="s">
        <v>973</v>
      </c>
      <c r="H597" s="1" t="s">
        <v>37</v>
      </c>
      <c r="I597" s="1" t="s">
        <v>318</v>
      </c>
      <c r="J597" s="1" t="s">
        <v>918</v>
      </c>
      <c r="K597" s="1" t="s">
        <v>62</v>
      </c>
      <c r="L597" s="1" t="s">
        <v>289</v>
      </c>
      <c r="N597" s="6">
        <v>2005.0</v>
      </c>
      <c r="O597" s="10">
        <f t="shared" ref="O597:R597" si="636">IFERROR(V597*INDEX($AH$4:$AH$8,MATCH($AA597,$AG$4:$AG$8,0)),"")</f>
        <v>55000000</v>
      </c>
      <c r="P597" s="10">
        <f t="shared" si="636"/>
        <v>54978609</v>
      </c>
      <c r="Q597" s="10">
        <f t="shared" si="636"/>
        <v>53987905.93</v>
      </c>
      <c r="R597" s="10">
        <f t="shared" si="636"/>
        <v>0</v>
      </c>
      <c r="S597" s="10">
        <f t="shared" si="4"/>
        <v>53987905.93</v>
      </c>
      <c r="T597" s="10">
        <f t="shared" si="5"/>
        <v>0</v>
      </c>
      <c r="U597" s="8">
        <v>42277.0</v>
      </c>
      <c r="V597" s="7">
        <v>5.5E7</v>
      </c>
      <c r="W597" s="7">
        <v>5.4978609E7</v>
      </c>
      <c r="X597" s="7">
        <v>5.398790593E7</v>
      </c>
      <c r="Y597" s="7">
        <v>0.0</v>
      </c>
      <c r="Z597" s="7">
        <v>0.0</v>
      </c>
      <c r="AA597" s="6" t="s">
        <v>52</v>
      </c>
      <c r="AB597" s="11" t="str">
        <f t="shared" si="6"/>
        <v>Exclude</v>
      </c>
    </row>
    <row r="598" ht="15.0" customHeight="1">
      <c r="B598" s="6">
        <f t="shared" si="8"/>
        <v>596</v>
      </c>
      <c r="C598" s="1" t="s">
        <v>974</v>
      </c>
      <c r="D598" s="1" t="str">
        <f t="shared" si="2"/>
        <v>Real Estate &amp; Infra</v>
      </c>
      <c r="E598" s="1" t="s">
        <v>44</v>
      </c>
      <c r="F598" s="1" t="s">
        <v>44</v>
      </c>
      <c r="G598" s="1" t="s">
        <v>975</v>
      </c>
      <c r="H598" s="1" t="s">
        <v>951</v>
      </c>
      <c r="I598" s="1" t="s">
        <v>318</v>
      </c>
      <c r="J598" s="1" t="s">
        <v>918</v>
      </c>
      <c r="K598" s="1" t="s">
        <v>62</v>
      </c>
      <c r="L598" s="1" t="s">
        <v>349</v>
      </c>
      <c r="N598" s="6">
        <v>2005.0</v>
      </c>
      <c r="O598" s="10">
        <f t="shared" ref="O598:R598" si="637">IFERROR(V598*INDEX($AH$4:$AH$8,MATCH($AA598,$AG$4:$AG$8,0)),"")</f>
        <v>133875000</v>
      </c>
      <c r="P598" s="10">
        <f t="shared" si="637"/>
        <v>133627886</v>
      </c>
      <c r="Q598" s="10">
        <f t="shared" si="637"/>
        <v>37280262.4</v>
      </c>
      <c r="R598" s="10">
        <f t="shared" si="637"/>
        <v>0</v>
      </c>
      <c r="S598" s="10">
        <f t="shared" si="4"/>
        <v>37280262.4</v>
      </c>
      <c r="T598" s="10">
        <f t="shared" si="5"/>
        <v>0</v>
      </c>
      <c r="U598" s="8">
        <v>42277.0</v>
      </c>
      <c r="V598" s="7">
        <v>1.33875E8</v>
      </c>
      <c r="W598" s="7">
        <v>1.33627886E8</v>
      </c>
      <c r="X598" s="7">
        <v>3.72802624E7</v>
      </c>
      <c r="Y598" s="7">
        <v>0.0</v>
      </c>
      <c r="Z598" s="7">
        <v>0.0</v>
      </c>
      <c r="AA598" s="6" t="s">
        <v>52</v>
      </c>
      <c r="AB598" s="11" t="str">
        <f t="shared" si="6"/>
        <v>Exclude</v>
      </c>
    </row>
    <row r="599" ht="15.0" customHeight="1">
      <c r="B599" s="6">
        <f t="shared" si="8"/>
        <v>597</v>
      </c>
      <c r="C599" s="1" t="s">
        <v>976</v>
      </c>
      <c r="D599" s="1" t="str">
        <f t="shared" si="2"/>
        <v>Real Estate &amp; Infra</v>
      </c>
      <c r="E599" s="1" t="s">
        <v>44</v>
      </c>
      <c r="F599" s="1" t="s">
        <v>44</v>
      </c>
      <c r="G599" s="1" t="s">
        <v>976</v>
      </c>
      <c r="H599" s="1" t="s">
        <v>938</v>
      </c>
      <c r="I599" s="1" t="s">
        <v>318</v>
      </c>
      <c r="J599" s="1" t="s">
        <v>918</v>
      </c>
      <c r="K599" s="1" t="s">
        <v>281</v>
      </c>
      <c r="L599" s="1" t="s">
        <v>282</v>
      </c>
      <c r="N599" s="6">
        <v>2006.0</v>
      </c>
      <c r="O599" s="10">
        <f t="shared" ref="O599:R599" si="638">IFERROR(V599*INDEX($AH$4:$AH$8,MATCH($AA599,$AG$4:$AG$8,0)),"")</f>
        <v>100000000</v>
      </c>
      <c r="P599" s="10">
        <f t="shared" si="638"/>
        <v>100976804.8</v>
      </c>
      <c r="Q599" s="10">
        <f t="shared" si="638"/>
        <v>81603603.28</v>
      </c>
      <c r="R599" s="10">
        <f t="shared" si="638"/>
        <v>395320</v>
      </c>
      <c r="S599" s="10">
        <f t="shared" si="4"/>
        <v>81998923.28</v>
      </c>
      <c r="T599" s="10">
        <f t="shared" si="5"/>
        <v>1312881.27</v>
      </c>
      <c r="U599" s="8">
        <v>46022.0</v>
      </c>
      <c r="V599" s="7">
        <v>1.0E8</v>
      </c>
      <c r="W599" s="7">
        <v>1.0097680478E8</v>
      </c>
      <c r="X599" s="7">
        <v>8.160360328E7</v>
      </c>
      <c r="Y599" s="7">
        <v>395320.0</v>
      </c>
      <c r="Z599" s="7">
        <v>1312881.27</v>
      </c>
      <c r="AA599" s="6" t="s">
        <v>52</v>
      </c>
      <c r="AB599" s="11" t="str">
        <f t="shared" si="6"/>
        <v>Include</v>
      </c>
      <c r="AC599" s="1">
        <f>S599/P599</f>
        <v>0.812057021</v>
      </c>
    </row>
    <row r="600" ht="15.0" customHeight="1">
      <c r="B600" s="6">
        <f t="shared" si="8"/>
        <v>598</v>
      </c>
      <c r="C600" s="1" t="s">
        <v>977</v>
      </c>
      <c r="D600" s="1" t="str">
        <f t="shared" si="2"/>
        <v>Real Estate &amp; Infra</v>
      </c>
      <c r="E600" s="1" t="s">
        <v>44</v>
      </c>
      <c r="F600" s="1" t="s">
        <v>44</v>
      </c>
      <c r="G600" s="1" t="s">
        <v>977</v>
      </c>
      <c r="H600" s="1" t="s">
        <v>932</v>
      </c>
      <c r="I600" s="1" t="s">
        <v>318</v>
      </c>
      <c r="J600" s="1" t="s">
        <v>918</v>
      </c>
      <c r="K600" s="1" t="s">
        <v>281</v>
      </c>
      <c r="L600" s="1" t="s">
        <v>282</v>
      </c>
      <c r="N600" s="6">
        <v>2006.0</v>
      </c>
      <c r="O600" s="10">
        <f t="shared" ref="O600:R600" si="639">IFERROR(V600*INDEX($AH$4:$AH$8,MATCH($AA600,$AG$4:$AG$8,0)),"")</f>
        <v>100000000</v>
      </c>
      <c r="P600" s="10">
        <f t="shared" si="639"/>
        <v>93743009.07</v>
      </c>
      <c r="Q600" s="10">
        <f t="shared" si="639"/>
        <v>39366127.69</v>
      </c>
      <c r="R600" s="10">
        <f t="shared" si="639"/>
        <v>0</v>
      </c>
      <c r="S600" s="10">
        <f t="shared" si="4"/>
        <v>39366127.69</v>
      </c>
      <c r="T600" s="10">
        <f t="shared" si="5"/>
        <v>0.42</v>
      </c>
      <c r="U600" s="8">
        <v>42277.0</v>
      </c>
      <c r="V600" s="7">
        <v>1.0E8</v>
      </c>
      <c r="W600" s="7">
        <v>9.374300907E7</v>
      </c>
      <c r="X600" s="7">
        <v>3.936612769E7</v>
      </c>
      <c r="Y600" s="7">
        <v>0.0</v>
      </c>
      <c r="Z600" s="7">
        <v>0.42</v>
      </c>
      <c r="AA600" s="6" t="s">
        <v>52</v>
      </c>
      <c r="AB600" s="11" t="str">
        <f t="shared" si="6"/>
        <v>Exclude</v>
      </c>
    </row>
    <row r="601" ht="15.0" customHeight="1">
      <c r="B601" s="6">
        <f t="shared" si="8"/>
        <v>599</v>
      </c>
      <c r="C601" s="1" t="s">
        <v>978</v>
      </c>
      <c r="D601" s="1" t="str">
        <f t="shared" si="2"/>
        <v>Real Estate &amp; Infra</v>
      </c>
      <c r="E601" s="1" t="s">
        <v>44</v>
      </c>
      <c r="F601" s="1" t="s">
        <v>44</v>
      </c>
      <c r="G601" s="1" t="s">
        <v>978</v>
      </c>
      <c r="H601" s="1" t="s">
        <v>979</v>
      </c>
      <c r="I601" s="1" t="s">
        <v>318</v>
      </c>
      <c r="J601" s="1" t="s">
        <v>918</v>
      </c>
      <c r="K601" s="1" t="s">
        <v>54</v>
      </c>
      <c r="L601" s="1" t="s">
        <v>286</v>
      </c>
      <c r="N601" s="6">
        <v>2006.0</v>
      </c>
      <c r="O601" s="10">
        <f t="shared" ref="O601:R601" si="640">IFERROR(V601*INDEX($AH$4:$AH$8,MATCH($AA601,$AG$4:$AG$8,0)),"")</f>
        <v>100000000</v>
      </c>
      <c r="P601" s="10">
        <f t="shared" si="640"/>
        <v>75000000</v>
      </c>
      <c r="Q601" s="10">
        <f t="shared" si="640"/>
        <v>109912416.4</v>
      </c>
      <c r="R601" s="10">
        <f t="shared" si="640"/>
        <v>15759179.13</v>
      </c>
      <c r="S601" s="10">
        <f t="shared" si="4"/>
        <v>125671595.5</v>
      </c>
      <c r="T601" s="10">
        <f t="shared" si="5"/>
        <v>0</v>
      </c>
      <c r="U601" s="8">
        <v>46112.0</v>
      </c>
      <c r="V601" s="7">
        <v>1.0E8</v>
      </c>
      <c r="W601" s="7">
        <v>7.5E7</v>
      </c>
      <c r="X601" s="7">
        <v>1.0991241637E8</v>
      </c>
      <c r="Y601" s="7">
        <v>1.575917913E7</v>
      </c>
      <c r="Z601" s="7">
        <v>0.0</v>
      </c>
      <c r="AA601" s="6" t="s">
        <v>52</v>
      </c>
      <c r="AB601" s="11" t="str">
        <f t="shared" si="6"/>
        <v>Include</v>
      </c>
      <c r="AC601" s="1">
        <f>S601/P601</f>
        <v>1.675621273</v>
      </c>
    </row>
    <row r="602" ht="15.0" customHeight="1">
      <c r="B602" s="6">
        <f t="shared" si="8"/>
        <v>600</v>
      </c>
      <c r="C602" s="1" t="s">
        <v>980</v>
      </c>
      <c r="D602" s="1" t="str">
        <f t="shared" si="2"/>
        <v>Real Estate &amp; Infra</v>
      </c>
      <c r="E602" s="1" t="s">
        <v>44</v>
      </c>
      <c r="F602" s="1" t="s">
        <v>44</v>
      </c>
      <c r="G602" s="1" t="s">
        <v>980</v>
      </c>
      <c r="H602" s="1" t="s">
        <v>981</v>
      </c>
      <c r="I602" s="1" t="s">
        <v>318</v>
      </c>
      <c r="J602" s="1" t="s">
        <v>918</v>
      </c>
      <c r="K602" s="1" t="s">
        <v>62</v>
      </c>
      <c r="L602" s="1" t="s">
        <v>289</v>
      </c>
      <c r="N602" s="6">
        <v>2007.0</v>
      </c>
      <c r="O602" s="10">
        <f t="shared" ref="O602:R602" si="641">IFERROR(V602*INDEX($AH$4:$AH$8,MATCH($AA602,$AG$4:$AG$8,0)),"")</f>
        <v>75000000</v>
      </c>
      <c r="P602" s="10">
        <f t="shared" si="641"/>
        <v>60000000</v>
      </c>
      <c r="Q602" s="10">
        <f t="shared" si="641"/>
        <v>70797228.33</v>
      </c>
      <c r="R602" s="10">
        <f t="shared" si="641"/>
        <v>0</v>
      </c>
      <c r="S602" s="10">
        <f t="shared" si="4"/>
        <v>70797228.33</v>
      </c>
      <c r="T602" s="10">
        <f t="shared" si="5"/>
        <v>0</v>
      </c>
      <c r="U602" s="8">
        <v>43830.0</v>
      </c>
      <c r="V602" s="7">
        <v>7.5E7</v>
      </c>
      <c r="W602" s="7">
        <v>6.0E7</v>
      </c>
      <c r="X602" s="7">
        <v>7.079722833E7</v>
      </c>
      <c r="Y602" s="7">
        <v>0.0</v>
      </c>
      <c r="Z602" s="7">
        <v>0.0</v>
      </c>
      <c r="AA602" s="6" t="s">
        <v>52</v>
      </c>
      <c r="AB602" s="11" t="str">
        <f t="shared" si="6"/>
        <v>Exclude</v>
      </c>
    </row>
    <row r="603" ht="15.0" customHeight="1">
      <c r="B603" s="6">
        <f t="shared" si="8"/>
        <v>601</v>
      </c>
      <c r="C603" s="1" t="s">
        <v>982</v>
      </c>
      <c r="D603" s="1" t="str">
        <f t="shared" si="2"/>
        <v>Real Estate &amp; Infra</v>
      </c>
      <c r="E603" s="1" t="s">
        <v>44</v>
      </c>
      <c r="F603" s="1" t="s">
        <v>44</v>
      </c>
      <c r="G603" s="1" t="s">
        <v>982</v>
      </c>
      <c r="H603" s="1" t="s">
        <v>983</v>
      </c>
      <c r="I603" s="1" t="s">
        <v>318</v>
      </c>
      <c r="J603" s="1" t="s">
        <v>918</v>
      </c>
      <c r="K603" s="1" t="s">
        <v>54</v>
      </c>
      <c r="L603" s="1" t="s">
        <v>286</v>
      </c>
      <c r="N603" s="6">
        <v>2006.0</v>
      </c>
      <c r="O603" s="10">
        <f t="shared" ref="O603:R603" si="642">IFERROR(V603*INDEX($AH$4:$AH$8,MATCH($AA603,$AG$4:$AG$8,0)),"")</f>
        <v>100000000</v>
      </c>
      <c r="P603" s="10">
        <f t="shared" si="642"/>
        <v>27914589.04</v>
      </c>
      <c r="Q603" s="10">
        <f t="shared" si="642"/>
        <v>28645077.34</v>
      </c>
      <c r="R603" s="10">
        <f t="shared" si="642"/>
        <v>0</v>
      </c>
      <c r="S603" s="10">
        <f t="shared" si="4"/>
        <v>28645077.34</v>
      </c>
      <c r="T603" s="10">
        <f t="shared" si="5"/>
        <v>0</v>
      </c>
      <c r="U603" s="8">
        <v>40953.0</v>
      </c>
      <c r="V603" s="7">
        <v>1.0E8</v>
      </c>
      <c r="W603" s="7">
        <v>2.791458904E7</v>
      </c>
      <c r="X603" s="7">
        <v>2.864507734E7</v>
      </c>
      <c r="Y603" s="7">
        <v>0.0</v>
      </c>
      <c r="Z603" s="7">
        <v>0.0</v>
      </c>
      <c r="AA603" s="6" t="s">
        <v>52</v>
      </c>
      <c r="AB603" s="11" t="str">
        <f t="shared" si="6"/>
        <v>Exclude</v>
      </c>
    </row>
    <row r="604" ht="15.0" customHeight="1">
      <c r="B604" s="6">
        <f t="shared" si="8"/>
        <v>602</v>
      </c>
      <c r="C604" s="1" t="s">
        <v>984</v>
      </c>
      <c r="D604" s="1" t="str">
        <f t="shared" si="2"/>
        <v>Real Estate &amp; Infra</v>
      </c>
      <c r="E604" s="1" t="s">
        <v>44</v>
      </c>
      <c r="F604" s="1" t="s">
        <v>44</v>
      </c>
      <c r="G604" s="1" t="s">
        <v>984</v>
      </c>
      <c r="H604" s="1" t="s">
        <v>279</v>
      </c>
      <c r="I604" s="1" t="s">
        <v>318</v>
      </c>
      <c r="J604" s="1" t="s">
        <v>918</v>
      </c>
      <c r="K604" s="1" t="s">
        <v>281</v>
      </c>
      <c r="L604" s="1" t="s">
        <v>282</v>
      </c>
      <c r="N604" s="6">
        <v>2005.0</v>
      </c>
      <c r="O604" s="10">
        <f t="shared" ref="O604:R604" si="643">IFERROR(V604*INDEX($AH$4:$AH$8,MATCH($AA604,$AG$4:$AG$8,0)),"")</f>
        <v>162500000</v>
      </c>
      <c r="P604" s="10">
        <f t="shared" si="643"/>
        <v>162500000</v>
      </c>
      <c r="Q604" s="10">
        <f t="shared" si="643"/>
        <v>85733970</v>
      </c>
      <c r="R604" s="10">
        <f t="shared" si="643"/>
        <v>0</v>
      </c>
      <c r="S604" s="10">
        <f t="shared" si="4"/>
        <v>85733970</v>
      </c>
      <c r="T604" s="10">
        <f t="shared" si="5"/>
        <v>0</v>
      </c>
      <c r="U604" s="8">
        <v>46011.0</v>
      </c>
      <c r="V604" s="7">
        <v>1.625E8</v>
      </c>
      <c r="W604" s="7">
        <v>1.625E8</v>
      </c>
      <c r="X604" s="7">
        <v>8.573397E7</v>
      </c>
      <c r="Y604" s="7">
        <v>0.0</v>
      </c>
      <c r="Z604" s="7">
        <v>0.0</v>
      </c>
      <c r="AA604" s="6" t="s">
        <v>52</v>
      </c>
      <c r="AB604" s="11" t="str">
        <f t="shared" si="6"/>
        <v>Exclude</v>
      </c>
    </row>
    <row r="605" ht="15.0" customHeight="1">
      <c r="B605" s="6">
        <f t="shared" si="8"/>
        <v>603</v>
      </c>
      <c r="C605" s="1" t="s">
        <v>985</v>
      </c>
      <c r="D605" s="1" t="str">
        <f t="shared" si="2"/>
        <v>Real Estate &amp; Infra</v>
      </c>
      <c r="E605" s="1" t="s">
        <v>44</v>
      </c>
      <c r="F605" s="1" t="s">
        <v>44</v>
      </c>
      <c r="G605" s="1" t="s">
        <v>985</v>
      </c>
      <c r="H605" s="1" t="s">
        <v>542</v>
      </c>
      <c r="I605" s="1" t="s">
        <v>318</v>
      </c>
      <c r="J605" s="1" t="s">
        <v>918</v>
      </c>
      <c r="K605" s="1" t="s">
        <v>281</v>
      </c>
      <c r="L605" s="1" t="s">
        <v>282</v>
      </c>
      <c r="N605" s="6">
        <v>2005.0</v>
      </c>
      <c r="O605" s="10">
        <f t="shared" ref="O605:R605" si="644">IFERROR(V605*INDEX($AH$4:$AH$8,MATCH($AA605,$AG$4:$AG$8,0)),"")</f>
        <v>150000000</v>
      </c>
      <c r="P605" s="10">
        <f t="shared" si="644"/>
        <v>189966173.3</v>
      </c>
      <c r="Q605" s="10">
        <f t="shared" si="644"/>
        <v>60700194.86</v>
      </c>
      <c r="R605" s="10">
        <f t="shared" si="644"/>
        <v>0</v>
      </c>
      <c r="S605" s="10">
        <f t="shared" si="4"/>
        <v>60700194.86</v>
      </c>
      <c r="T605" s="10">
        <f t="shared" si="5"/>
        <v>-0.42</v>
      </c>
      <c r="U605" s="8">
        <v>42277.0</v>
      </c>
      <c r="V605" s="7">
        <v>1.5E8</v>
      </c>
      <c r="W605" s="7">
        <v>1.8996617333E8</v>
      </c>
      <c r="X605" s="7">
        <v>6.070019486E7</v>
      </c>
      <c r="Y605" s="7">
        <v>0.0</v>
      </c>
      <c r="Z605" s="7">
        <v>-0.42</v>
      </c>
      <c r="AA605" s="6" t="s">
        <v>52</v>
      </c>
      <c r="AB605" s="11" t="str">
        <f t="shared" si="6"/>
        <v>Exclude</v>
      </c>
    </row>
    <row r="606" ht="15.0" customHeight="1">
      <c r="B606" s="6">
        <f t="shared" si="8"/>
        <v>604</v>
      </c>
      <c r="C606" s="1" t="s">
        <v>986</v>
      </c>
      <c r="D606" s="1" t="str">
        <f t="shared" si="2"/>
        <v>Real Estate &amp; Infra</v>
      </c>
      <c r="E606" s="1" t="s">
        <v>44</v>
      </c>
      <c r="F606" s="1" t="s">
        <v>44</v>
      </c>
      <c r="G606" s="1" t="s">
        <v>987</v>
      </c>
      <c r="H606" s="1" t="s">
        <v>542</v>
      </c>
      <c r="I606" s="1" t="s">
        <v>318</v>
      </c>
      <c r="J606" s="1" t="s">
        <v>918</v>
      </c>
      <c r="K606" s="1" t="s">
        <v>54</v>
      </c>
      <c r="L606" s="1" t="s">
        <v>286</v>
      </c>
      <c r="N606" s="6">
        <v>2006.0</v>
      </c>
      <c r="O606" s="10">
        <f t="shared" ref="O606:R606" si="645">IFERROR(V606*INDEX($AH$4:$AH$8,MATCH($AA606,$AG$4:$AG$8,0)),"")</f>
        <v>100000000</v>
      </c>
      <c r="P606" s="10">
        <f t="shared" si="645"/>
        <v>50000000</v>
      </c>
      <c r="Q606" s="10">
        <f t="shared" si="645"/>
        <v>50130850.86</v>
      </c>
      <c r="R606" s="10">
        <f t="shared" si="645"/>
        <v>0</v>
      </c>
      <c r="S606" s="10">
        <f t="shared" si="4"/>
        <v>50130850.86</v>
      </c>
      <c r="T606" s="10">
        <f t="shared" si="5"/>
        <v>0</v>
      </c>
      <c r="U606" s="8">
        <v>40917.0</v>
      </c>
      <c r="V606" s="7">
        <v>1.0E8</v>
      </c>
      <c r="W606" s="7">
        <v>5.0E7</v>
      </c>
      <c r="X606" s="7">
        <v>5.013085086E7</v>
      </c>
      <c r="Y606" s="7">
        <v>0.0</v>
      </c>
      <c r="Z606" s="7">
        <v>0.0</v>
      </c>
      <c r="AA606" s="6" t="s">
        <v>52</v>
      </c>
      <c r="AB606" s="11" t="str">
        <f t="shared" si="6"/>
        <v>Exclude</v>
      </c>
    </row>
    <row r="607" ht="15.0" customHeight="1">
      <c r="B607" s="6">
        <f t="shared" si="8"/>
        <v>605</v>
      </c>
      <c r="C607" s="1" t="s">
        <v>988</v>
      </c>
      <c r="D607" s="1" t="str">
        <f t="shared" si="2"/>
        <v>Real Estate &amp; Infra</v>
      </c>
      <c r="E607" s="1" t="s">
        <v>44</v>
      </c>
      <c r="F607" s="1" t="s">
        <v>44</v>
      </c>
      <c r="G607" s="1" t="s">
        <v>988</v>
      </c>
      <c r="H607" s="1" t="s">
        <v>989</v>
      </c>
      <c r="I607" s="1" t="s">
        <v>318</v>
      </c>
      <c r="J607" s="1" t="s">
        <v>918</v>
      </c>
      <c r="K607" s="1" t="s">
        <v>62</v>
      </c>
      <c r="L607" s="1" t="s">
        <v>289</v>
      </c>
      <c r="N607" s="6">
        <v>2006.0</v>
      </c>
      <c r="O607" s="10">
        <f t="shared" ref="O607:R607" si="646">IFERROR(V607*INDEX($AH$4:$AH$8,MATCH($AA607,$AG$4:$AG$8,0)),"")</f>
        <v>125000000</v>
      </c>
      <c r="P607" s="10">
        <f t="shared" si="646"/>
        <v>124057276.3</v>
      </c>
      <c r="Q607" s="10">
        <f t="shared" si="646"/>
        <v>42250784.92</v>
      </c>
      <c r="R607" s="10">
        <f t="shared" si="646"/>
        <v>0</v>
      </c>
      <c r="S607" s="10">
        <f t="shared" si="4"/>
        <v>42250784.92</v>
      </c>
      <c r="T607" s="10">
        <f t="shared" si="5"/>
        <v>0</v>
      </c>
      <c r="U607" s="8">
        <v>42369.0</v>
      </c>
      <c r="V607" s="7">
        <v>1.25E8</v>
      </c>
      <c r="W607" s="7">
        <v>1.2405727634E8</v>
      </c>
      <c r="X607" s="7">
        <v>4.225078492E7</v>
      </c>
      <c r="Y607" s="7">
        <v>0.0</v>
      </c>
      <c r="Z607" s="7">
        <v>0.0</v>
      </c>
      <c r="AA607" s="6" t="s">
        <v>52</v>
      </c>
      <c r="AB607" s="11" t="str">
        <f t="shared" si="6"/>
        <v>Exclude</v>
      </c>
    </row>
    <row r="608" ht="15.0" customHeight="1">
      <c r="B608" s="6">
        <f t="shared" si="8"/>
        <v>606</v>
      </c>
      <c r="C608" s="1" t="s">
        <v>990</v>
      </c>
      <c r="D608" s="1" t="str">
        <f t="shared" si="2"/>
        <v>Real Estate &amp; Infra</v>
      </c>
      <c r="E608" s="1" t="s">
        <v>44</v>
      </c>
      <c r="F608" s="1" t="s">
        <v>44</v>
      </c>
      <c r="G608" s="1" t="s">
        <v>990</v>
      </c>
      <c r="H608" s="1" t="s">
        <v>383</v>
      </c>
      <c r="I608" s="1" t="s">
        <v>318</v>
      </c>
      <c r="J608" s="1" t="s">
        <v>918</v>
      </c>
      <c r="K608" s="1" t="s">
        <v>281</v>
      </c>
      <c r="L608" s="1" t="s">
        <v>282</v>
      </c>
      <c r="N608" s="6">
        <v>2006.0</v>
      </c>
      <c r="O608" s="10">
        <f t="shared" ref="O608:R608" si="647">IFERROR(V608*INDEX($AH$4:$AH$8,MATCH($AA608,$AG$4:$AG$8,0)),"")</f>
        <v>100000000</v>
      </c>
      <c r="P608" s="10">
        <f t="shared" si="647"/>
        <v>97210287</v>
      </c>
      <c r="Q608" s="10">
        <f t="shared" si="647"/>
        <v>48320078</v>
      </c>
      <c r="R608" s="10">
        <f t="shared" si="647"/>
        <v>0</v>
      </c>
      <c r="S608" s="10">
        <f t="shared" si="4"/>
        <v>48320078</v>
      </c>
      <c r="T608" s="10">
        <f t="shared" si="5"/>
        <v>0</v>
      </c>
      <c r="U608" s="8">
        <v>46107.0</v>
      </c>
      <c r="V608" s="7">
        <v>1.0E8</v>
      </c>
      <c r="W608" s="7">
        <v>9.7210287E7</v>
      </c>
      <c r="X608" s="7">
        <v>4.8320078E7</v>
      </c>
      <c r="Y608" s="7">
        <v>0.0</v>
      </c>
      <c r="Z608" s="7">
        <v>0.0</v>
      </c>
      <c r="AA608" s="6" t="s">
        <v>52</v>
      </c>
      <c r="AB608" s="11" t="str">
        <f t="shared" si="6"/>
        <v>Exclude</v>
      </c>
    </row>
    <row r="609" ht="15.0" customHeight="1">
      <c r="B609" s="6">
        <f t="shared" si="8"/>
        <v>607</v>
      </c>
      <c r="C609" s="1" t="s">
        <v>991</v>
      </c>
      <c r="D609" s="1" t="str">
        <f t="shared" si="2"/>
        <v>Real Estate &amp; Infra</v>
      </c>
      <c r="E609" s="1" t="s">
        <v>44</v>
      </c>
      <c r="F609" s="1" t="s">
        <v>44</v>
      </c>
      <c r="G609" s="1" t="s">
        <v>991</v>
      </c>
      <c r="H609" s="1" t="s">
        <v>37</v>
      </c>
      <c r="I609" s="1" t="s">
        <v>318</v>
      </c>
      <c r="J609" s="1" t="s">
        <v>918</v>
      </c>
      <c r="K609" s="1" t="s">
        <v>281</v>
      </c>
      <c r="L609" s="1" t="s">
        <v>314</v>
      </c>
      <c r="N609" s="6">
        <v>2007.0</v>
      </c>
      <c r="O609" s="10">
        <f t="shared" ref="O609:R609" si="648">IFERROR(V609*INDEX($AH$4:$AH$8,MATCH($AA609,$AG$4:$AG$8,0)),"")</f>
        <v>400000000</v>
      </c>
      <c r="P609" s="10">
        <f t="shared" si="648"/>
        <v>436016268.1</v>
      </c>
      <c r="Q609" s="10">
        <f t="shared" si="648"/>
        <v>890203621.6</v>
      </c>
      <c r="R609" s="10">
        <f t="shared" si="648"/>
        <v>174958</v>
      </c>
      <c r="S609" s="10">
        <f t="shared" si="4"/>
        <v>890378579.6</v>
      </c>
      <c r="T609" s="10">
        <f t="shared" si="5"/>
        <v>2928110.86</v>
      </c>
      <c r="U609" s="8">
        <v>46112.0</v>
      </c>
      <c r="V609" s="7">
        <v>4.0E8</v>
      </c>
      <c r="W609" s="7">
        <v>4.3601626814E8</v>
      </c>
      <c r="X609" s="7">
        <v>8.9020362161E8</v>
      </c>
      <c r="Y609" s="7">
        <v>174958.0</v>
      </c>
      <c r="Z609" s="7">
        <v>2928110.86</v>
      </c>
      <c r="AA609" s="6" t="s">
        <v>52</v>
      </c>
      <c r="AB609" s="11" t="str">
        <f t="shared" si="6"/>
        <v>Include</v>
      </c>
      <c r="AC609" s="1">
        <f>S609/P609</f>
        <v>2.042076511</v>
      </c>
    </row>
    <row r="610" ht="15.0" customHeight="1">
      <c r="B610" s="6">
        <f t="shared" si="8"/>
        <v>608</v>
      </c>
      <c r="C610" s="1" t="s">
        <v>992</v>
      </c>
      <c r="D610" s="1" t="str">
        <f t="shared" si="2"/>
        <v>Real Estate &amp; Infra</v>
      </c>
      <c r="E610" s="1" t="s">
        <v>44</v>
      </c>
      <c r="F610" s="1" t="s">
        <v>44</v>
      </c>
      <c r="G610" s="1" t="s">
        <v>992</v>
      </c>
      <c r="H610" s="1" t="s">
        <v>413</v>
      </c>
      <c r="I610" s="1" t="s">
        <v>318</v>
      </c>
      <c r="J610" s="1" t="s">
        <v>918</v>
      </c>
      <c r="K610" s="1" t="s">
        <v>62</v>
      </c>
      <c r="L610" s="1" t="s">
        <v>993</v>
      </c>
      <c r="N610" s="6">
        <v>2006.0</v>
      </c>
      <c r="O610" s="10">
        <f t="shared" ref="O610:R610" si="649">IFERROR(V610*INDEX($AH$4:$AH$8,MATCH($AA610,$AG$4:$AG$8,0)),"")</f>
        <v>150000000</v>
      </c>
      <c r="P610" s="10">
        <f t="shared" si="649"/>
        <v>150183055</v>
      </c>
      <c r="Q610" s="10">
        <f t="shared" si="649"/>
        <v>140017279</v>
      </c>
      <c r="R610" s="10">
        <f t="shared" si="649"/>
        <v>0</v>
      </c>
      <c r="S610" s="10">
        <f t="shared" si="4"/>
        <v>140017279</v>
      </c>
      <c r="T610" s="10">
        <f t="shared" si="5"/>
        <v>0</v>
      </c>
      <c r="U610" s="8">
        <v>43819.0</v>
      </c>
      <c r="V610" s="7">
        <v>1.5E8</v>
      </c>
      <c r="W610" s="7">
        <v>1.50183055E8</v>
      </c>
      <c r="X610" s="7">
        <v>1.40017279E8</v>
      </c>
      <c r="Y610" s="7">
        <v>0.0</v>
      </c>
      <c r="Z610" s="7">
        <v>0.0</v>
      </c>
      <c r="AA610" s="6" t="s">
        <v>52</v>
      </c>
      <c r="AB610" s="11" t="str">
        <f t="shared" si="6"/>
        <v>Exclude</v>
      </c>
    </row>
    <row r="611" ht="15.0" customHeight="1">
      <c r="B611" s="6">
        <f t="shared" si="8"/>
        <v>609</v>
      </c>
      <c r="C611" s="1" t="s">
        <v>994</v>
      </c>
      <c r="D611" s="1" t="str">
        <f t="shared" si="2"/>
        <v>Real Estate &amp; Infra</v>
      </c>
      <c r="E611" s="1" t="s">
        <v>44</v>
      </c>
      <c r="F611" s="1" t="s">
        <v>44</v>
      </c>
      <c r="G611" s="1" t="s">
        <v>994</v>
      </c>
      <c r="H611" s="1" t="s">
        <v>97</v>
      </c>
      <c r="I611" s="1" t="s">
        <v>318</v>
      </c>
      <c r="J611" s="1" t="s">
        <v>918</v>
      </c>
      <c r="K611" s="1" t="s">
        <v>281</v>
      </c>
      <c r="L611" s="1" t="s">
        <v>282</v>
      </c>
      <c r="N611" s="6">
        <v>2007.0</v>
      </c>
      <c r="O611" s="10">
        <f t="shared" ref="O611:R611" si="650">IFERROR(V611*INDEX($AH$4:$AH$8,MATCH($AA611,$AG$4:$AG$8,0)),"")</f>
        <v>300000000</v>
      </c>
      <c r="P611" s="10">
        <f t="shared" si="650"/>
        <v>369090587.7</v>
      </c>
      <c r="Q611" s="10">
        <f t="shared" si="650"/>
        <v>563632364.2</v>
      </c>
      <c r="R611" s="10">
        <f t="shared" si="650"/>
        <v>0</v>
      </c>
      <c r="S611" s="10">
        <f t="shared" si="4"/>
        <v>563632364.2</v>
      </c>
      <c r="T611" s="10">
        <f t="shared" si="5"/>
        <v>-0.0007</v>
      </c>
      <c r="U611" s="8">
        <v>45382.0</v>
      </c>
      <c r="V611" s="7">
        <v>3.0E8</v>
      </c>
      <c r="W611" s="7">
        <v>3.6909058774E8</v>
      </c>
      <c r="X611" s="7">
        <v>5.6363236417E8</v>
      </c>
      <c r="Y611" s="7">
        <v>0.0</v>
      </c>
      <c r="Z611" s="7">
        <v>-7.0E-4</v>
      </c>
      <c r="AA611" s="6" t="s">
        <v>52</v>
      </c>
      <c r="AB611" s="11" t="str">
        <f t="shared" si="6"/>
        <v>Exclude</v>
      </c>
    </row>
    <row r="612" ht="15.0" customHeight="1">
      <c r="B612" s="6">
        <f t="shared" si="8"/>
        <v>610</v>
      </c>
      <c r="C612" s="1" t="s">
        <v>995</v>
      </c>
      <c r="D612" s="1" t="str">
        <f t="shared" si="2"/>
        <v>Real Estate &amp; Infra</v>
      </c>
      <c r="E612" s="1" t="s">
        <v>44</v>
      </c>
      <c r="F612" s="1" t="s">
        <v>44</v>
      </c>
      <c r="G612" s="1" t="s">
        <v>995</v>
      </c>
      <c r="H612" s="1" t="s">
        <v>989</v>
      </c>
      <c r="I612" s="1" t="s">
        <v>318</v>
      </c>
      <c r="J612" s="1" t="s">
        <v>918</v>
      </c>
      <c r="K612" s="1" t="s">
        <v>62</v>
      </c>
      <c r="L612" s="1" t="s">
        <v>289</v>
      </c>
      <c r="N612" s="6">
        <v>2007.0</v>
      </c>
      <c r="O612" s="10">
        <f t="shared" ref="O612:R612" si="651">IFERROR(V612*INDEX($AH$4:$AH$8,MATCH($AA612,$AG$4:$AG$8,0)),"")</f>
        <v>166182500</v>
      </c>
      <c r="P612" s="10">
        <f t="shared" si="651"/>
        <v>167153227.7</v>
      </c>
      <c r="Q612" s="10">
        <f t="shared" si="651"/>
        <v>26062381.53</v>
      </c>
      <c r="R612" s="10">
        <f t="shared" si="651"/>
        <v>0</v>
      </c>
      <c r="S612" s="10">
        <f t="shared" si="4"/>
        <v>26062381.53</v>
      </c>
      <c r="T612" s="10">
        <f t="shared" si="5"/>
        <v>0</v>
      </c>
      <c r="U612" s="8">
        <v>42369.0</v>
      </c>
      <c r="V612" s="7">
        <v>1.661825E8</v>
      </c>
      <c r="W612" s="7">
        <v>1.6715322765E8</v>
      </c>
      <c r="X612" s="7">
        <v>2.606238153E7</v>
      </c>
      <c r="Y612" s="7">
        <v>0.0</v>
      </c>
      <c r="Z612" s="7">
        <v>0.0</v>
      </c>
      <c r="AA612" s="6" t="s">
        <v>52</v>
      </c>
      <c r="AB612" s="11" t="str">
        <f t="shared" si="6"/>
        <v>Exclude</v>
      </c>
    </row>
    <row r="613" ht="15.0" customHeight="1">
      <c r="B613" s="6">
        <f t="shared" si="8"/>
        <v>611</v>
      </c>
      <c r="C613" s="1" t="s">
        <v>996</v>
      </c>
      <c r="D613" s="1" t="str">
        <f t="shared" si="2"/>
        <v>Real Estate &amp; Infra</v>
      </c>
      <c r="E613" s="1" t="s">
        <v>44</v>
      </c>
      <c r="F613" s="1" t="s">
        <v>44</v>
      </c>
      <c r="G613" s="1" t="s">
        <v>996</v>
      </c>
      <c r="H613" s="1" t="s">
        <v>997</v>
      </c>
      <c r="I613" s="1" t="s">
        <v>318</v>
      </c>
      <c r="J613" s="1" t="s">
        <v>918</v>
      </c>
      <c r="K613" s="1" t="s">
        <v>62</v>
      </c>
      <c r="L613" s="1" t="s">
        <v>289</v>
      </c>
      <c r="N613" s="6">
        <v>2007.0</v>
      </c>
      <c r="O613" s="10">
        <f t="shared" ref="O613:R613" si="652">IFERROR(V613*INDEX($AH$4:$AH$8,MATCH($AA613,$AG$4:$AG$8,0)),"")</f>
        <v>100000000</v>
      </c>
      <c r="P613" s="10">
        <f t="shared" si="652"/>
        <v>97157748</v>
      </c>
      <c r="Q613" s="10">
        <f t="shared" si="652"/>
        <v>89144050.49</v>
      </c>
      <c r="R613" s="10">
        <f t="shared" si="652"/>
        <v>0</v>
      </c>
      <c r="S613" s="10">
        <f t="shared" si="4"/>
        <v>89144050.49</v>
      </c>
      <c r="T613" s="10">
        <f t="shared" si="5"/>
        <v>0</v>
      </c>
      <c r="U613" s="8">
        <v>42277.0</v>
      </c>
      <c r="V613" s="7">
        <v>1.0E8</v>
      </c>
      <c r="W613" s="7">
        <v>9.7157748E7</v>
      </c>
      <c r="X613" s="7">
        <v>8.914405049E7</v>
      </c>
      <c r="Y613" s="7">
        <v>0.0</v>
      </c>
      <c r="Z613" s="7">
        <v>0.0</v>
      </c>
      <c r="AA613" s="6" t="s">
        <v>52</v>
      </c>
      <c r="AB613" s="11" t="str">
        <f t="shared" si="6"/>
        <v>Exclude</v>
      </c>
    </row>
    <row r="614" ht="15.0" customHeight="1">
      <c r="B614" s="6">
        <f t="shared" si="8"/>
        <v>612</v>
      </c>
      <c r="C614" s="1" t="s">
        <v>998</v>
      </c>
      <c r="D614" s="1" t="str">
        <f t="shared" si="2"/>
        <v>Real Estate &amp; Infra</v>
      </c>
      <c r="E614" s="1" t="s">
        <v>44</v>
      </c>
      <c r="F614" s="1" t="s">
        <v>44</v>
      </c>
      <c r="G614" s="1" t="s">
        <v>998</v>
      </c>
      <c r="H614" s="1" t="s">
        <v>293</v>
      </c>
      <c r="I614" s="1" t="s">
        <v>318</v>
      </c>
      <c r="J614" s="1" t="s">
        <v>918</v>
      </c>
      <c r="K614" s="1" t="s">
        <v>62</v>
      </c>
      <c r="L614" s="1" t="s">
        <v>301</v>
      </c>
      <c r="N614" s="6">
        <v>2007.0</v>
      </c>
      <c r="O614" s="10">
        <f t="shared" ref="O614:R614" si="653">IFERROR(V614*INDEX($AH$4:$AH$8,MATCH($AA614,$AG$4:$AG$8,0)),"")</f>
        <v>125000000</v>
      </c>
      <c r="P614" s="10">
        <f t="shared" si="653"/>
        <v>89906306.23</v>
      </c>
      <c r="Q614" s="10">
        <f t="shared" si="653"/>
        <v>122884671</v>
      </c>
      <c r="R614" s="10">
        <f t="shared" si="653"/>
        <v>0</v>
      </c>
      <c r="S614" s="10">
        <f t="shared" si="4"/>
        <v>122884671</v>
      </c>
      <c r="T614" s="10">
        <f t="shared" si="5"/>
        <v>0</v>
      </c>
      <c r="U614" s="8">
        <v>45030.0</v>
      </c>
      <c r="V614" s="7">
        <v>1.25E8</v>
      </c>
      <c r="W614" s="7">
        <v>8.990630623E7</v>
      </c>
      <c r="X614" s="7">
        <v>1.22884671E8</v>
      </c>
      <c r="Y614" s="7">
        <v>0.0</v>
      </c>
      <c r="Z614" s="7">
        <v>0.0</v>
      </c>
      <c r="AA614" s="6" t="s">
        <v>52</v>
      </c>
      <c r="AB614" s="11" t="str">
        <f t="shared" si="6"/>
        <v>Exclude</v>
      </c>
    </row>
    <row r="615" ht="15.0" customHeight="1">
      <c r="B615" s="6">
        <f t="shared" si="8"/>
        <v>613</v>
      </c>
      <c r="C615" s="1" t="s">
        <v>999</v>
      </c>
      <c r="D615" s="1" t="str">
        <f t="shared" si="2"/>
        <v>Real Estate &amp; Infra</v>
      </c>
      <c r="E615" s="1" t="s">
        <v>44</v>
      </c>
      <c r="F615" s="1" t="s">
        <v>44</v>
      </c>
      <c r="G615" s="1" t="s">
        <v>1000</v>
      </c>
      <c r="H615" s="1" t="s">
        <v>938</v>
      </c>
      <c r="I615" s="1" t="s">
        <v>318</v>
      </c>
      <c r="J615" s="1" t="s">
        <v>918</v>
      </c>
      <c r="K615" s="1" t="s">
        <v>281</v>
      </c>
      <c r="L615" s="1" t="s">
        <v>282</v>
      </c>
      <c r="N615" s="6">
        <v>2007.0</v>
      </c>
      <c r="O615" s="10">
        <f t="shared" ref="O615:R615" si="654">IFERROR(V615*INDEX($AH$4:$AH$8,MATCH($AA615,$AG$4:$AG$8,0)),"")</f>
        <v>200000000</v>
      </c>
      <c r="P615" s="10">
        <f t="shared" si="654"/>
        <v>195531971.9</v>
      </c>
      <c r="Q615" s="10">
        <f t="shared" si="654"/>
        <v>212065307.7</v>
      </c>
      <c r="R615" s="10">
        <f t="shared" si="654"/>
        <v>22016829</v>
      </c>
      <c r="S615" s="10">
        <f t="shared" si="4"/>
        <v>234082136.7</v>
      </c>
      <c r="T615" s="10">
        <f t="shared" si="5"/>
        <v>4398966.12</v>
      </c>
      <c r="U615" s="8">
        <v>46022.0</v>
      </c>
      <c r="V615" s="7">
        <v>2.0E8</v>
      </c>
      <c r="W615" s="7">
        <v>1.9553197193E8</v>
      </c>
      <c r="X615" s="7">
        <v>2.1206530769E8</v>
      </c>
      <c r="Y615" s="7">
        <v>2.2016829E7</v>
      </c>
      <c r="Z615" s="7">
        <v>4398966.12</v>
      </c>
      <c r="AA615" s="6" t="s">
        <v>52</v>
      </c>
      <c r="AB615" s="11" t="str">
        <f t="shared" si="6"/>
        <v>Include</v>
      </c>
      <c r="AC615" s="1">
        <f>S615/P615</f>
        <v>1.197155301</v>
      </c>
    </row>
    <row r="616" ht="15.0" customHeight="1">
      <c r="B616" s="6">
        <f t="shared" si="8"/>
        <v>614</v>
      </c>
      <c r="C616" s="1" t="s">
        <v>1001</v>
      </c>
      <c r="D616" s="1" t="str">
        <f t="shared" si="2"/>
        <v>Real Estate &amp; Infra</v>
      </c>
      <c r="E616" s="1" t="s">
        <v>44</v>
      </c>
      <c r="F616" s="1" t="s">
        <v>44</v>
      </c>
      <c r="G616" s="1" t="s">
        <v>1001</v>
      </c>
      <c r="H616" s="1" t="s">
        <v>542</v>
      </c>
      <c r="I616" s="1" t="s">
        <v>318</v>
      </c>
      <c r="J616" s="1" t="s">
        <v>918</v>
      </c>
      <c r="K616" s="1" t="s">
        <v>281</v>
      </c>
      <c r="L616" s="1" t="s">
        <v>314</v>
      </c>
      <c r="N616" s="6">
        <v>2006.0</v>
      </c>
      <c r="O616" s="10">
        <f t="shared" ref="O616:R616" si="655">IFERROR(V616*INDEX($AH$4:$AH$8,MATCH($AA616,$AG$4:$AG$8,0)),"")</f>
        <v>400000000</v>
      </c>
      <c r="P616" s="10">
        <f t="shared" si="655"/>
        <v>463896384</v>
      </c>
      <c r="Q616" s="10">
        <f t="shared" si="655"/>
        <v>147394687.4</v>
      </c>
      <c r="R616" s="10">
        <f t="shared" si="655"/>
        <v>0</v>
      </c>
      <c r="S616" s="10">
        <f t="shared" si="4"/>
        <v>147394687.4</v>
      </c>
      <c r="T616" s="10">
        <f t="shared" si="5"/>
        <v>0</v>
      </c>
      <c r="U616" s="8">
        <v>42277.0</v>
      </c>
      <c r="V616" s="7">
        <v>4.0E8</v>
      </c>
      <c r="W616" s="7">
        <v>4.63896384E8</v>
      </c>
      <c r="X616" s="7">
        <v>1.4739468735E8</v>
      </c>
      <c r="Y616" s="7">
        <v>0.0</v>
      </c>
      <c r="Z616" s="7">
        <v>0.0</v>
      </c>
      <c r="AA616" s="6" t="s">
        <v>52</v>
      </c>
      <c r="AB616" s="11" t="str">
        <f t="shared" si="6"/>
        <v>Exclude</v>
      </c>
    </row>
    <row r="617" ht="15.0" customHeight="1">
      <c r="B617" s="6">
        <f t="shared" si="8"/>
        <v>615</v>
      </c>
      <c r="C617" s="1" t="s">
        <v>1002</v>
      </c>
      <c r="D617" s="1" t="str">
        <f t="shared" si="2"/>
        <v>Real Estate &amp; Infra</v>
      </c>
      <c r="E617" s="1" t="s">
        <v>44</v>
      </c>
      <c r="F617" s="1" t="s">
        <v>44</v>
      </c>
      <c r="G617" s="1" t="s">
        <v>1002</v>
      </c>
      <c r="H617" s="1" t="s">
        <v>1003</v>
      </c>
      <c r="I617" s="1" t="s">
        <v>318</v>
      </c>
      <c r="J617" s="1" t="s">
        <v>918</v>
      </c>
      <c r="K617" s="1" t="s">
        <v>62</v>
      </c>
      <c r="L617" s="1" t="s">
        <v>301</v>
      </c>
      <c r="N617" s="6">
        <v>2006.0</v>
      </c>
      <c r="O617" s="10">
        <f t="shared" ref="O617:R617" si="656">IFERROR(V617*INDEX($AH$4:$AH$8,MATCH($AA617,$AG$4:$AG$8,0)),"")</f>
        <v>200000000</v>
      </c>
      <c r="P617" s="10">
        <f t="shared" si="656"/>
        <v>180000000</v>
      </c>
      <c r="Q617" s="10">
        <f t="shared" si="656"/>
        <v>114723832.3</v>
      </c>
      <c r="R617" s="10">
        <f t="shared" si="656"/>
        <v>0</v>
      </c>
      <c r="S617" s="10">
        <f t="shared" si="4"/>
        <v>114723832.3</v>
      </c>
      <c r="T617" s="10">
        <f t="shared" si="5"/>
        <v>0</v>
      </c>
      <c r="U617" s="8">
        <v>42277.0</v>
      </c>
      <c r="V617" s="7">
        <v>2.0E8</v>
      </c>
      <c r="W617" s="7">
        <v>1.8E8</v>
      </c>
      <c r="X617" s="7">
        <v>1.1472383233E8</v>
      </c>
      <c r="Y617" s="7">
        <v>0.0</v>
      </c>
      <c r="Z617" s="7">
        <v>0.0</v>
      </c>
      <c r="AA617" s="6" t="s">
        <v>52</v>
      </c>
      <c r="AB617" s="11" t="str">
        <f t="shared" si="6"/>
        <v>Exclude</v>
      </c>
    </row>
    <row r="618" ht="15.0" customHeight="1">
      <c r="B618" s="6">
        <f t="shared" si="8"/>
        <v>616</v>
      </c>
      <c r="C618" s="1" t="s">
        <v>1004</v>
      </c>
      <c r="D618" s="1" t="str">
        <f t="shared" si="2"/>
        <v>Real Estate &amp; Infra</v>
      </c>
      <c r="E618" s="1" t="s">
        <v>44</v>
      </c>
      <c r="F618" s="1" t="s">
        <v>44</v>
      </c>
      <c r="G618" s="1" t="s">
        <v>1004</v>
      </c>
      <c r="H618" s="1" t="s">
        <v>1005</v>
      </c>
      <c r="I618" s="1" t="s">
        <v>318</v>
      </c>
      <c r="J618" s="1" t="s">
        <v>918</v>
      </c>
      <c r="K618" s="1" t="s">
        <v>54</v>
      </c>
      <c r="L618" s="1" t="s">
        <v>286</v>
      </c>
      <c r="N618" s="6">
        <v>2007.0</v>
      </c>
      <c r="O618" s="10">
        <f t="shared" ref="O618:R618" si="657">IFERROR(V618*INDEX($AH$4:$AH$8,MATCH($AA618,$AG$4:$AG$8,0)),"")</f>
        <v>100000000</v>
      </c>
      <c r="P618" s="10">
        <f t="shared" si="657"/>
        <v>25071570.39</v>
      </c>
      <c r="Q618" s="10">
        <f t="shared" si="657"/>
        <v>36710098.36</v>
      </c>
      <c r="R618" s="10">
        <f t="shared" si="657"/>
        <v>0</v>
      </c>
      <c r="S618" s="10">
        <f t="shared" si="4"/>
        <v>36710098.36</v>
      </c>
      <c r="T618" s="10">
        <f t="shared" si="5"/>
        <v>-0.06</v>
      </c>
      <c r="U618" s="8">
        <v>44834.0</v>
      </c>
      <c r="V618" s="7">
        <v>1.0E8</v>
      </c>
      <c r="W618" s="7">
        <v>2.507157039E7</v>
      </c>
      <c r="X618" s="7">
        <v>3.671009836E7</v>
      </c>
      <c r="Y618" s="7">
        <v>0.0</v>
      </c>
      <c r="Z618" s="7">
        <v>-0.06</v>
      </c>
      <c r="AA618" s="6" t="s">
        <v>52</v>
      </c>
      <c r="AB618" s="11" t="str">
        <f t="shared" si="6"/>
        <v>Exclude</v>
      </c>
    </row>
    <row r="619" ht="15.0" customHeight="1">
      <c r="B619" s="6">
        <f t="shared" si="8"/>
        <v>617</v>
      </c>
      <c r="C619" s="1" t="s">
        <v>1006</v>
      </c>
      <c r="D619" s="1" t="str">
        <f t="shared" si="2"/>
        <v>Real Estate &amp; Infra</v>
      </c>
      <c r="E619" s="1" t="s">
        <v>44</v>
      </c>
      <c r="F619" s="1" t="s">
        <v>44</v>
      </c>
      <c r="G619" s="1" t="s">
        <v>1006</v>
      </c>
      <c r="H619" s="1" t="s">
        <v>935</v>
      </c>
      <c r="I619" s="1" t="s">
        <v>318</v>
      </c>
      <c r="J619" s="1" t="s">
        <v>918</v>
      </c>
      <c r="K619" s="1" t="s">
        <v>281</v>
      </c>
      <c r="L619" s="1" t="s">
        <v>282</v>
      </c>
      <c r="N619" s="6">
        <v>2007.0</v>
      </c>
      <c r="O619" s="10">
        <f t="shared" ref="O619:R619" si="658">IFERROR(V619*INDEX($AH$4:$AH$8,MATCH($AA619,$AG$4:$AG$8,0)),"")</f>
        <v>132142857</v>
      </c>
      <c r="P619" s="10">
        <f t="shared" si="658"/>
        <v>133689297</v>
      </c>
      <c r="Q619" s="10">
        <f t="shared" si="658"/>
        <v>108917810.8</v>
      </c>
      <c r="R619" s="10">
        <f t="shared" si="658"/>
        <v>0</v>
      </c>
      <c r="S619" s="10">
        <f t="shared" si="4"/>
        <v>108917810.8</v>
      </c>
      <c r="T619" s="10">
        <f t="shared" si="5"/>
        <v>0</v>
      </c>
      <c r="U619" s="8">
        <v>42551.0</v>
      </c>
      <c r="V619" s="7">
        <v>1.32142857E8</v>
      </c>
      <c r="W619" s="7">
        <v>1.33689297E8</v>
      </c>
      <c r="X619" s="7">
        <v>1.0891781076E8</v>
      </c>
      <c r="Y619" s="7">
        <v>0.0</v>
      </c>
      <c r="Z619" s="7">
        <v>0.0</v>
      </c>
      <c r="AA619" s="6" t="s">
        <v>52</v>
      </c>
      <c r="AB619" s="11" t="str">
        <f t="shared" si="6"/>
        <v>Exclude</v>
      </c>
    </row>
    <row r="620" ht="15.0" customHeight="1">
      <c r="B620" s="6">
        <f t="shared" si="8"/>
        <v>618</v>
      </c>
      <c r="C620" s="1" t="s">
        <v>1007</v>
      </c>
      <c r="D620" s="1" t="str">
        <f t="shared" si="2"/>
        <v>Real Estate &amp; Infra</v>
      </c>
      <c r="E620" s="1" t="s">
        <v>44</v>
      </c>
      <c r="F620" s="1" t="s">
        <v>44</v>
      </c>
      <c r="G620" s="1" t="s">
        <v>1007</v>
      </c>
      <c r="H620" s="1" t="s">
        <v>951</v>
      </c>
      <c r="I620" s="1" t="s">
        <v>318</v>
      </c>
      <c r="J620" s="1" t="s">
        <v>918</v>
      </c>
      <c r="K620" s="1" t="s">
        <v>62</v>
      </c>
      <c r="L620" s="1" t="s">
        <v>349</v>
      </c>
      <c r="N620" s="6">
        <v>2007.0</v>
      </c>
      <c r="O620" s="10">
        <f t="shared" ref="O620:R620" si="659">IFERROR(V620*INDEX($AH$4:$AH$8,MATCH($AA620,$AG$4:$AG$8,0)),"")</f>
        <v>146000000</v>
      </c>
      <c r="P620" s="10">
        <f t="shared" si="659"/>
        <v>146526048.6</v>
      </c>
      <c r="Q620" s="10">
        <f t="shared" si="659"/>
        <v>0</v>
      </c>
      <c r="R620" s="10">
        <f t="shared" si="659"/>
        <v>0</v>
      </c>
      <c r="S620" s="10">
        <f t="shared" si="4"/>
        <v>0</v>
      </c>
      <c r="T620" s="10">
        <f t="shared" si="5"/>
        <v>0</v>
      </c>
      <c r="U620" s="8">
        <v>41088.0</v>
      </c>
      <c r="V620" s="7">
        <v>1.46E8</v>
      </c>
      <c r="W620" s="7">
        <v>1.465260486E8</v>
      </c>
      <c r="X620" s="7">
        <v>0.0</v>
      </c>
      <c r="Y620" s="7">
        <v>0.0</v>
      </c>
      <c r="Z620" s="7">
        <v>0.0</v>
      </c>
      <c r="AA620" s="6" t="s">
        <v>52</v>
      </c>
      <c r="AB620" s="11" t="str">
        <f t="shared" si="6"/>
        <v>Exclude</v>
      </c>
    </row>
    <row r="621" ht="15.0" customHeight="1">
      <c r="B621" s="6">
        <f t="shared" si="8"/>
        <v>619</v>
      </c>
      <c r="C621" s="1" t="s">
        <v>1008</v>
      </c>
      <c r="D621" s="1" t="str">
        <f t="shared" si="2"/>
        <v>Real Estate &amp; Infra</v>
      </c>
      <c r="E621" s="1" t="s">
        <v>44</v>
      </c>
      <c r="F621" s="1" t="s">
        <v>44</v>
      </c>
      <c r="G621" s="1" t="s">
        <v>1008</v>
      </c>
      <c r="H621" s="1" t="s">
        <v>97</v>
      </c>
      <c r="I621" s="1" t="s">
        <v>318</v>
      </c>
      <c r="J621" s="1" t="s">
        <v>918</v>
      </c>
      <c r="K621" s="1" t="s">
        <v>281</v>
      </c>
      <c r="L621" s="1" t="s">
        <v>1009</v>
      </c>
      <c r="N621" s="6">
        <v>2007.0</v>
      </c>
      <c r="O621" s="10">
        <f t="shared" ref="O621:R621" si="660">IFERROR(V621*INDEX($AH$4:$AH$8,MATCH($AA621,$AG$4:$AG$8,0)),"")</f>
        <v>231102000</v>
      </c>
      <c r="P621" s="10">
        <f t="shared" si="660"/>
        <v>234189430.9</v>
      </c>
      <c r="Q621" s="10">
        <f t="shared" si="660"/>
        <v>208383322.1</v>
      </c>
      <c r="R621" s="10">
        <f t="shared" si="660"/>
        <v>0</v>
      </c>
      <c r="S621" s="10">
        <f t="shared" si="4"/>
        <v>208383322.1</v>
      </c>
      <c r="T621" s="10">
        <f t="shared" si="5"/>
        <v>-0.270273789</v>
      </c>
      <c r="U621" s="8">
        <v>42324.0</v>
      </c>
      <c r="V621" s="7">
        <v>2.0E8</v>
      </c>
      <c r="W621" s="7">
        <v>2.0267192057E8</v>
      </c>
      <c r="X621" s="7">
        <v>1.8033883056E8</v>
      </c>
      <c r="Y621" s="7">
        <v>0.0</v>
      </c>
      <c r="Z621" s="7">
        <v>-0.2339</v>
      </c>
      <c r="AA621" s="6" t="s">
        <v>45</v>
      </c>
      <c r="AB621" s="11" t="str">
        <f t="shared" si="6"/>
        <v>Exclude</v>
      </c>
    </row>
    <row r="622" ht="15.0" customHeight="1">
      <c r="B622" s="6">
        <f t="shared" si="8"/>
        <v>620</v>
      </c>
      <c r="C622" s="1" t="s">
        <v>1010</v>
      </c>
      <c r="D622" s="1" t="str">
        <f t="shared" si="2"/>
        <v>Real Estate &amp; Infra</v>
      </c>
      <c r="E622" s="1" t="s">
        <v>44</v>
      </c>
      <c r="F622" s="1" t="s">
        <v>44</v>
      </c>
      <c r="G622" s="1" t="s">
        <v>1010</v>
      </c>
      <c r="H622" s="1" t="s">
        <v>1011</v>
      </c>
      <c r="I622" s="1" t="s">
        <v>318</v>
      </c>
      <c r="J622" s="1" t="s">
        <v>918</v>
      </c>
      <c r="K622" s="1" t="s">
        <v>54</v>
      </c>
      <c r="L622" s="1" t="s">
        <v>286</v>
      </c>
      <c r="N622" s="6">
        <v>2008.0</v>
      </c>
      <c r="O622" s="10">
        <f t="shared" ref="O622:R622" si="661">IFERROR(V622*INDEX($AH$4:$AH$8,MATCH($AA622,$AG$4:$AG$8,0)),"")</f>
        <v>100000000</v>
      </c>
      <c r="P622" s="10">
        <f t="shared" si="661"/>
        <v>100000000</v>
      </c>
      <c r="Q622" s="10">
        <f t="shared" si="661"/>
        <v>84528760.96</v>
      </c>
      <c r="R622" s="10">
        <f t="shared" si="661"/>
        <v>0</v>
      </c>
      <c r="S622" s="10">
        <f t="shared" si="4"/>
        <v>84528760.96</v>
      </c>
      <c r="T622" s="10">
        <f t="shared" si="5"/>
        <v>0</v>
      </c>
      <c r="U622" s="8">
        <v>40961.0</v>
      </c>
      <c r="V622" s="7">
        <v>1.0E8</v>
      </c>
      <c r="W622" s="7">
        <v>1.0E8</v>
      </c>
      <c r="X622" s="7">
        <v>8.452876096E7</v>
      </c>
      <c r="Y622" s="7">
        <v>0.0</v>
      </c>
      <c r="Z622" s="7">
        <v>0.0</v>
      </c>
      <c r="AA622" s="6" t="s">
        <v>52</v>
      </c>
      <c r="AB622" s="11" t="str">
        <f t="shared" si="6"/>
        <v>Exclude</v>
      </c>
    </row>
    <row r="623" ht="15.0" customHeight="1">
      <c r="B623" s="6">
        <f t="shared" si="8"/>
        <v>621</v>
      </c>
      <c r="C623" s="1" t="s">
        <v>1012</v>
      </c>
      <c r="D623" s="1" t="str">
        <f t="shared" si="2"/>
        <v>Real Estate &amp; Infra</v>
      </c>
      <c r="E623" s="1" t="s">
        <v>44</v>
      </c>
      <c r="F623" s="1" t="s">
        <v>44</v>
      </c>
      <c r="G623" s="1" t="s">
        <v>1012</v>
      </c>
      <c r="H623" s="1" t="s">
        <v>305</v>
      </c>
      <c r="I623" s="1" t="s">
        <v>318</v>
      </c>
      <c r="J623" s="1" t="s">
        <v>918</v>
      </c>
      <c r="K623" s="1" t="s">
        <v>62</v>
      </c>
      <c r="L623" s="1" t="s">
        <v>289</v>
      </c>
      <c r="N623" s="6">
        <v>2007.0</v>
      </c>
      <c r="O623" s="10">
        <f t="shared" ref="O623:R623" si="662">IFERROR(V623*INDEX($AH$4:$AH$8,MATCH($AA623,$AG$4:$AG$8,0)),"")</f>
        <v>100000000</v>
      </c>
      <c r="P623" s="10">
        <f t="shared" si="662"/>
        <v>98725324.35</v>
      </c>
      <c r="Q623" s="10">
        <f t="shared" si="662"/>
        <v>151984057.1</v>
      </c>
      <c r="R623" s="10">
        <f t="shared" si="662"/>
        <v>0</v>
      </c>
      <c r="S623" s="10">
        <f t="shared" si="4"/>
        <v>151984057.1</v>
      </c>
      <c r="T623" s="10">
        <f t="shared" si="5"/>
        <v>0.15</v>
      </c>
      <c r="U623" s="8">
        <v>45961.0</v>
      </c>
      <c r="V623" s="7">
        <v>1.0E8</v>
      </c>
      <c r="W623" s="7">
        <v>9.872532435E7</v>
      </c>
      <c r="X623" s="7">
        <v>1.519840571E8</v>
      </c>
      <c r="Y623" s="7">
        <v>0.0</v>
      </c>
      <c r="Z623" s="7">
        <v>0.15</v>
      </c>
      <c r="AA623" s="6" t="s">
        <v>52</v>
      </c>
      <c r="AB623" s="11" t="str">
        <f t="shared" si="6"/>
        <v>Exclude</v>
      </c>
    </row>
    <row r="624" ht="15.0" customHeight="1">
      <c r="B624" s="6">
        <f t="shared" si="8"/>
        <v>622</v>
      </c>
      <c r="C624" s="1" t="s">
        <v>1013</v>
      </c>
      <c r="D624" s="1" t="str">
        <f t="shared" si="2"/>
        <v>Real Estate &amp; Infra</v>
      </c>
      <c r="E624" s="1" t="s">
        <v>44</v>
      </c>
      <c r="F624" s="1" t="s">
        <v>44</v>
      </c>
      <c r="G624" s="1" t="s">
        <v>1013</v>
      </c>
      <c r="H624" s="1" t="s">
        <v>530</v>
      </c>
      <c r="I624" s="1" t="s">
        <v>318</v>
      </c>
      <c r="J624" s="1" t="s">
        <v>918</v>
      </c>
      <c r="K624" s="1" t="s">
        <v>281</v>
      </c>
      <c r="L624" s="1" t="s">
        <v>314</v>
      </c>
      <c r="N624" s="6">
        <v>2007.0</v>
      </c>
      <c r="O624" s="10">
        <f t="shared" ref="O624:R624" si="663">IFERROR(V624*INDEX($AH$4:$AH$8,MATCH($AA624,$AG$4:$AG$8,0)),"")</f>
        <v>250000000</v>
      </c>
      <c r="P624" s="10">
        <f t="shared" si="663"/>
        <v>278258210</v>
      </c>
      <c r="Q624" s="10">
        <f t="shared" si="663"/>
        <v>293577892.1</v>
      </c>
      <c r="R624" s="10">
        <f t="shared" si="663"/>
        <v>0</v>
      </c>
      <c r="S624" s="10">
        <f t="shared" si="4"/>
        <v>293577892.1</v>
      </c>
      <c r="T624" s="10">
        <f t="shared" si="5"/>
        <v>0</v>
      </c>
      <c r="U624" s="8">
        <v>43203.0</v>
      </c>
      <c r="V624" s="7">
        <v>2.5E8</v>
      </c>
      <c r="W624" s="7">
        <v>2.7825821E8</v>
      </c>
      <c r="X624" s="7">
        <v>2.9357789208E8</v>
      </c>
      <c r="Y624" s="7">
        <v>0.0</v>
      </c>
      <c r="Z624" s="7">
        <v>0.0</v>
      </c>
      <c r="AA624" s="6" t="s">
        <v>52</v>
      </c>
      <c r="AB624" s="11" t="str">
        <f t="shared" si="6"/>
        <v>Exclude</v>
      </c>
    </row>
    <row r="625" ht="15.0" customHeight="1">
      <c r="B625" s="6">
        <f t="shared" si="8"/>
        <v>623</v>
      </c>
      <c r="C625" s="1" t="s">
        <v>1014</v>
      </c>
      <c r="D625" s="1" t="str">
        <f t="shared" si="2"/>
        <v>Real Estate &amp; Infra</v>
      </c>
      <c r="E625" s="1" t="s">
        <v>44</v>
      </c>
      <c r="F625" s="1" t="s">
        <v>44</v>
      </c>
      <c r="G625" s="1" t="s">
        <v>1014</v>
      </c>
      <c r="H625" s="1" t="s">
        <v>297</v>
      </c>
      <c r="I625" s="1" t="s">
        <v>318</v>
      </c>
      <c r="J625" s="1" t="s">
        <v>918</v>
      </c>
      <c r="K625" s="1" t="s">
        <v>62</v>
      </c>
      <c r="L625" s="1" t="s">
        <v>289</v>
      </c>
      <c r="N625" s="6">
        <v>2007.0</v>
      </c>
      <c r="O625" s="10">
        <f t="shared" ref="O625:R625" si="664">IFERROR(V625*INDEX($AH$4:$AH$8,MATCH($AA625,$AG$4:$AG$8,0)),"")</f>
        <v>148200000</v>
      </c>
      <c r="P625" s="10">
        <f t="shared" si="664"/>
        <v>97385693.72</v>
      </c>
      <c r="Q625" s="10">
        <f t="shared" si="664"/>
        <v>164484689.3</v>
      </c>
      <c r="R625" s="10">
        <f t="shared" si="664"/>
        <v>0</v>
      </c>
      <c r="S625" s="10">
        <f t="shared" si="4"/>
        <v>164484689.3</v>
      </c>
      <c r="T625" s="10">
        <f t="shared" si="5"/>
        <v>0.28</v>
      </c>
      <c r="U625" s="8">
        <v>44560.0</v>
      </c>
      <c r="V625" s="7">
        <v>1.482E8</v>
      </c>
      <c r="W625" s="7">
        <v>9.738569372E7</v>
      </c>
      <c r="X625" s="7">
        <v>1.6448468929E8</v>
      </c>
      <c r="Y625" s="7">
        <v>0.0</v>
      </c>
      <c r="Z625" s="7">
        <v>0.28</v>
      </c>
      <c r="AA625" s="6" t="s">
        <v>52</v>
      </c>
      <c r="AB625" s="11" t="str">
        <f t="shared" si="6"/>
        <v>Exclude</v>
      </c>
    </row>
    <row r="626" ht="15.0" customHeight="1">
      <c r="B626" s="6">
        <f t="shared" si="8"/>
        <v>624</v>
      </c>
      <c r="C626" s="1" t="s">
        <v>1015</v>
      </c>
      <c r="D626" s="1" t="str">
        <f t="shared" si="2"/>
        <v>Real Estate &amp; Infra</v>
      </c>
      <c r="E626" s="1" t="s">
        <v>44</v>
      </c>
      <c r="F626" s="1" t="s">
        <v>44</v>
      </c>
      <c r="G626" s="1" t="s">
        <v>1015</v>
      </c>
      <c r="H626" s="1" t="s">
        <v>951</v>
      </c>
      <c r="I626" s="1" t="s">
        <v>318</v>
      </c>
      <c r="J626" s="1" t="s">
        <v>918</v>
      </c>
      <c r="K626" s="1" t="s">
        <v>62</v>
      </c>
      <c r="L626" s="1" t="s">
        <v>301</v>
      </c>
      <c r="N626" s="6">
        <v>2010.0</v>
      </c>
      <c r="O626" s="10">
        <f t="shared" ref="O626:R626" si="665">IFERROR(V626*INDEX($AH$4:$AH$8,MATCH($AA626,$AG$4:$AG$8,0)),"")</f>
        <v>90000000</v>
      </c>
      <c r="P626" s="10">
        <f t="shared" si="665"/>
        <v>90000000</v>
      </c>
      <c r="Q626" s="10">
        <f t="shared" si="665"/>
        <v>47585757.49</v>
      </c>
      <c r="R626" s="10">
        <f t="shared" si="665"/>
        <v>47589</v>
      </c>
      <c r="S626" s="10">
        <f t="shared" si="4"/>
        <v>47633346.49</v>
      </c>
      <c r="T626" s="10">
        <f t="shared" si="5"/>
        <v>0</v>
      </c>
      <c r="U626" s="8">
        <v>46022.0</v>
      </c>
      <c r="V626" s="7">
        <v>9.0E7</v>
      </c>
      <c r="W626" s="7">
        <v>9.0E7</v>
      </c>
      <c r="X626" s="7">
        <v>4.758575749E7</v>
      </c>
      <c r="Y626" s="7">
        <v>47589.0</v>
      </c>
      <c r="Z626" s="7">
        <v>0.0</v>
      </c>
      <c r="AA626" s="6" t="s">
        <v>52</v>
      </c>
      <c r="AB626" s="11" t="str">
        <f t="shared" si="6"/>
        <v>Include</v>
      </c>
      <c r="AC626" s="1">
        <f>S626/P626</f>
        <v>0.5292594054</v>
      </c>
    </row>
    <row r="627" ht="15.0" customHeight="1">
      <c r="B627" s="6">
        <f t="shared" si="8"/>
        <v>625</v>
      </c>
      <c r="C627" s="1" t="s">
        <v>1016</v>
      </c>
      <c r="D627" s="1" t="str">
        <f t="shared" si="2"/>
        <v>Real Estate &amp; Infra</v>
      </c>
      <c r="E627" s="1" t="s">
        <v>44</v>
      </c>
      <c r="F627" s="1" t="s">
        <v>44</v>
      </c>
      <c r="G627" s="1" t="s">
        <v>1016</v>
      </c>
      <c r="H627" s="1" t="s">
        <v>413</v>
      </c>
      <c r="I627" s="1" t="s">
        <v>318</v>
      </c>
      <c r="J627" s="1" t="s">
        <v>918</v>
      </c>
      <c r="K627" s="1" t="s">
        <v>281</v>
      </c>
      <c r="L627" s="1" t="s">
        <v>1009</v>
      </c>
      <c r="N627" s="6">
        <v>2007.0</v>
      </c>
      <c r="O627" s="10">
        <f t="shared" ref="O627:R627" si="666">IFERROR(V627*INDEX($AH$4:$AH$8,MATCH($AA627,$AG$4:$AG$8,0)),"")</f>
        <v>115551000</v>
      </c>
      <c r="P627" s="10">
        <f t="shared" si="666"/>
        <v>113360148.1</v>
      </c>
      <c r="Q627" s="10">
        <f t="shared" si="666"/>
        <v>132036992.8</v>
      </c>
      <c r="R627" s="10">
        <f t="shared" si="666"/>
        <v>0</v>
      </c>
      <c r="S627" s="10">
        <f t="shared" si="4"/>
        <v>132036992.8</v>
      </c>
      <c r="T627" s="10">
        <f t="shared" si="5"/>
        <v>0</v>
      </c>
      <c r="U627" s="8">
        <v>45291.0</v>
      </c>
      <c r="V627" s="7">
        <v>1.0E8</v>
      </c>
      <c r="W627" s="7">
        <v>9.81039957625E7</v>
      </c>
      <c r="X627" s="7">
        <v>1.14267287E8</v>
      </c>
      <c r="Y627" s="7">
        <v>0.0</v>
      </c>
      <c r="Z627" s="7">
        <v>0.0</v>
      </c>
      <c r="AA627" s="6" t="s">
        <v>45</v>
      </c>
      <c r="AB627" s="11" t="str">
        <f t="shared" si="6"/>
        <v>Exclude</v>
      </c>
    </row>
    <row r="628" ht="15.0" customHeight="1">
      <c r="B628" s="6">
        <f t="shared" si="8"/>
        <v>626</v>
      </c>
      <c r="C628" s="1" t="s">
        <v>1017</v>
      </c>
      <c r="D628" s="1" t="str">
        <f t="shared" si="2"/>
        <v>Real Estate &amp; Infra</v>
      </c>
      <c r="E628" s="1" t="s">
        <v>44</v>
      </c>
      <c r="F628" s="1" t="s">
        <v>44</v>
      </c>
      <c r="G628" s="1" t="s">
        <v>1017</v>
      </c>
      <c r="H628" s="1" t="s">
        <v>413</v>
      </c>
      <c r="I628" s="1" t="s">
        <v>318</v>
      </c>
      <c r="J628" s="1" t="s">
        <v>918</v>
      </c>
      <c r="K628" s="1" t="s">
        <v>62</v>
      </c>
      <c r="L628" s="1" t="s">
        <v>289</v>
      </c>
      <c r="N628" s="6">
        <v>2008.0</v>
      </c>
      <c r="O628" s="10">
        <f t="shared" ref="O628:R628" si="667">IFERROR(V628*INDEX($AH$4:$AH$8,MATCH($AA628,$AG$4:$AG$8,0)),"")</f>
        <v>150000000</v>
      </c>
      <c r="P628" s="10">
        <f t="shared" si="667"/>
        <v>146212956.2</v>
      </c>
      <c r="Q628" s="10">
        <f t="shared" si="667"/>
        <v>236301664.8</v>
      </c>
      <c r="R628" s="10">
        <f t="shared" si="667"/>
        <v>0</v>
      </c>
      <c r="S628" s="10">
        <f t="shared" si="4"/>
        <v>236301664.8</v>
      </c>
      <c r="T628" s="10">
        <f t="shared" si="5"/>
        <v>0</v>
      </c>
      <c r="U628" s="8">
        <v>45276.0</v>
      </c>
      <c r="V628" s="7">
        <v>1.5E8</v>
      </c>
      <c r="W628" s="7">
        <v>1.4621295622E8</v>
      </c>
      <c r="X628" s="7">
        <v>2.3630166477E8</v>
      </c>
      <c r="Y628" s="7">
        <v>0.0</v>
      </c>
      <c r="Z628" s="7">
        <v>0.0</v>
      </c>
      <c r="AA628" s="6" t="s">
        <v>52</v>
      </c>
      <c r="AB628" s="11" t="str">
        <f t="shared" si="6"/>
        <v>Exclude</v>
      </c>
    </row>
    <row r="629" ht="15.0" customHeight="1">
      <c r="B629" s="6">
        <f t="shared" si="8"/>
        <v>627</v>
      </c>
      <c r="C629" s="1" t="s">
        <v>1018</v>
      </c>
      <c r="D629" s="1" t="str">
        <f t="shared" si="2"/>
        <v>Real Estate &amp; Infra</v>
      </c>
      <c r="E629" s="1" t="s">
        <v>44</v>
      </c>
      <c r="F629" s="1" t="s">
        <v>44</v>
      </c>
      <c r="G629" s="1" t="s">
        <v>1018</v>
      </c>
      <c r="H629" s="1" t="s">
        <v>946</v>
      </c>
      <c r="I629" s="1" t="s">
        <v>318</v>
      </c>
      <c r="J629" s="1" t="s">
        <v>918</v>
      </c>
      <c r="K629" s="1" t="s">
        <v>281</v>
      </c>
      <c r="L629" s="1" t="s">
        <v>282</v>
      </c>
      <c r="N629" s="6">
        <v>2008.0</v>
      </c>
      <c r="O629" s="10">
        <f t="shared" ref="O629:R629" si="668">IFERROR(V629*INDEX($AH$4:$AH$8,MATCH($AA629,$AG$4:$AG$8,0)),"")</f>
        <v>300000000</v>
      </c>
      <c r="P629" s="10">
        <f t="shared" si="668"/>
        <v>138727879</v>
      </c>
      <c r="Q629" s="10">
        <f t="shared" si="668"/>
        <v>52627938.07</v>
      </c>
      <c r="R629" s="10">
        <f t="shared" si="668"/>
        <v>0</v>
      </c>
      <c r="S629" s="10">
        <f t="shared" si="4"/>
        <v>52627938.07</v>
      </c>
      <c r="T629" s="10">
        <f t="shared" si="5"/>
        <v>0</v>
      </c>
      <c r="U629" s="8">
        <v>42277.0</v>
      </c>
      <c r="V629" s="7">
        <v>3.0E8</v>
      </c>
      <c r="W629" s="7">
        <v>1.38727879E8</v>
      </c>
      <c r="X629" s="7">
        <v>5.262793807E7</v>
      </c>
      <c r="Y629" s="7">
        <v>0.0</v>
      </c>
      <c r="Z629" s="7">
        <v>0.0</v>
      </c>
      <c r="AA629" s="6" t="s">
        <v>52</v>
      </c>
      <c r="AB629" s="11" t="str">
        <f t="shared" si="6"/>
        <v>Exclude</v>
      </c>
    </row>
    <row r="630" ht="15.0" customHeight="1">
      <c r="B630" s="6">
        <f t="shared" si="8"/>
        <v>628</v>
      </c>
      <c r="C630" s="1" t="s">
        <v>1019</v>
      </c>
      <c r="D630" s="1" t="str">
        <f t="shared" si="2"/>
        <v>Real Estate &amp; Infra</v>
      </c>
      <c r="E630" s="1" t="s">
        <v>44</v>
      </c>
      <c r="F630" s="1" t="s">
        <v>44</v>
      </c>
      <c r="G630" s="1" t="s">
        <v>1019</v>
      </c>
      <c r="H630" s="1" t="s">
        <v>1020</v>
      </c>
      <c r="I630" s="1" t="s">
        <v>318</v>
      </c>
      <c r="J630" s="1" t="s">
        <v>918</v>
      </c>
      <c r="K630" s="1" t="s">
        <v>62</v>
      </c>
      <c r="L630" s="1" t="s">
        <v>349</v>
      </c>
      <c r="N630" s="6">
        <v>2007.0</v>
      </c>
      <c r="O630" s="10">
        <f t="shared" ref="O630:R630" si="669">IFERROR(V630*INDEX($AH$4:$AH$8,MATCH($AA630,$AG$4:$AG$8,0)),"")</f>
        <v>100000000</v>
      </c>
      <c r="P630" s="10">
        <f t="shared" si="669"/>
        <v>97807785.56</v>
      </c>
      <c r="Q630" s="10">
        <f t="shared" si="669"/>
        <v>100788918.1</v>
      </c>
      <c r="R630" s="10">
        <f t="shared" si="669"/>
        <v>0</v>
      </c>
      <c r="S630" s="10">
        <f t="shared" si="4"/>
        <v>100788918.1</v>
      </c>
      <c r="T630" s="10">
        <f t="shared" si="5"/>
        <v>0.44</v>
      </c>
      <c r="U630" s="8">
        <v>42277.0</v>
      </c>
      <c r="V630" s="7">
        <v>1.0E8</v>
      </c>
      <c r="W630" s="7">
        <v>9.780778556E7</v>
      </c>
      <c r="X630" s="7">
        <v>1.0078891809E8</v>
      </c>
      <c r="Y630" s="7">
        <v>0.0</v>
      </c>
      <c r="Z630" s="7">
        <v>0.44</v>
      </c>
      <c r="AA630" s="6" t="s">
        <v>52</v>
      </c>
      <c r="AB630" s="11" t="str">
        <f t="shared" si="6"/>
        <v>Exclude</v>
      </c>
    </row>
    <row r="631" ht="15.0" customHeight="1">
      <c r="B631" s="6">
        <f t="shared" si="8"/>
        <v>629</v>
      </c>
      <c r="C631" s="1" t="s">
        <v>1021</v>
      </c>
      <c r="D631" s="1" t="str">
        <f t="shared" si="2"/>
        <v>Real Estate &amp; Infra</v>
      </c>
      <c r="E631" s="1" t="s">
        <v>44</v>
      </c>
      <c r="F631" s="1" t="s">
        <v>44</v>
      </c>
      <c r="G631" s="1" t="s">
        <v>1021</v>
      </c>
      <c r="H631" s="1" t="s">
        <v>348</v>
      </c>
      <c r="I631" s="1" t="s">
        <v>318</v>
      </c>
      <c r="J631" s="1" t="s">
        <v>918</v>
      </c>
      <c r="K631" s="1" t="s">
        <v>281</v>
      </c>
      <c r="L631" s="1" t="s">
        <v>1009</v>
      </c>
      <c r="N631" s="6">
        <v>2007.0</v>
      </c>
      <c r="O631" s="10">
        <f t="shared" ref="O631:R631" si="670">IFERROR(V631*INDEX($AH$4:$AH$8,MATCH($AA631,$AG$4:$AG$8,0)),"")</f>
        <v>115551000</v>
      </c>
      <c r="P631" s="10">
        <f t="shared" si="670"/>
        <v>105017497</v>
      </c>
      <c r="Q631" s="10">
        <f t="shared" si="670"/>
        <v>140059033</v>
      </c>
      <c r="R631" s="10">
        <f t="shared" si="670"/>
        <v>0</v>
      </c>
      <c r="S631" s="10">
        <f t="shared" si="4"/>
        <v>140059033</v>
      </c>
      <c r="T631" s="10">
        <f t="shared" si="5"/>
        <v>0.1848816</v>
      </c>
      <c r="U631" s="8">
        <v>46022.0</v>
      </c>
      <c r="V631" s="7">
        <v>1.0E8</v>
      </c>
      <c r="W631" s="7">
        <v>9.088410915E7</v>
      </c>
      <c r="X631" s="7">
        <v>1.2120971086E8</v>
      </c>
      <c r="Y631" s="7">
        <v>0.0</v>
      </c>
      <c r="Z631" s="7">
        <v>0.16</v>
      </c>
      <c r="AA631" s="6" t="s">
        <v>45</v>
      </c>
      <c r="AB631" s="11" t="str">
        <f t="shared" si="6"/>
        <v>Exclude</v>
      </c>
    </row>
    <row r="632" ht="15.0" customHeight="1">
      <c r="B632" s="6">
        <f t="shared" si="8"/>
        <v>630</v>
      </c>
      <c r="C632" s="1" t="s">
        <v>1022</v>
      </c>
      <c r="D632" s="1" t="str">
        <f t="shared" si="2"/>
        <v>Real Estate &amp; Infra</v>
      </c>
      <c r="E632" s="1" t="s">
        <v>44</v>
      </c>
      <c r="F632" s="1" t="s">
        <v>44</v>
      </c>
      <c r="G632" s="1" t="s">
        <v>1022</v>
      </c>
      <c r="H632" s="1" t="s">
        <v>413</v>
      </c>
      <c r="I632" s="1" t="s">
        <v>318</v>
      </c>
      <c r="J632" s="1" t="s">
        <v>918</v>
      </c>
      <c r="K632" s="1" t="s">
        <v>62</v>
      </c>
      <c r="L632" s="1" t="s">
        <v>349</v>
      </c>
      <c r="N632" s="6">
        <v>2008.0</v>
      </c>
      <c r="O632" s="10">
        <f t="shared" ref="O632:R632" si="671">IFERROR(V632*INDEX($AH$4:$AH$8,MATCH($AA632,$AG$4:$AG$8,0)),"")</f>
        <v>83000000</v>
      </c>
      <c r="P632" s="10">
        <f t="shared" si="671"/>
        <v>69192000</v>
      </c>
      <c r="Q632" s="10">
        <f t="shared" si="671"/>
        <v>97050942</v>
      </c>
      <c r="R632" s="10">
        <f t="shared" si="671"/>
        <v>0</v>
      </c>
      <c r="S632" s="10">
        <f t="shared" si="4"/>
        <v>97050942</v>
      </c>
      <c r="T632" s="10">
        <f t="shared" si="5"/>
        <v>0</v>
      </c>
      <c r="U632" s="8">
        <v>42734.0</v>
      </c>
      <c r="V632" s="7">
        <v>8.3E7</v>
      </c>
      <c r="W632" s="7">
        <v>6.9192E7</v>
      </c>
      <c r="X632" s="7">
        <v>9.7050942E7</v>
      </c>
      <c r="Y632" s="7">
        <v>0.0</v>
      </c>
      <c r="Z632" s="7">
        <v>0.0</v>
      </c>
      <c r="AA632" s="6" t="s">
        <v>52</v>
      </c>
      <c r="AB632" s="11" t="str">
        <f t="shared" si="6"/>
        <v>Exclude</v>
      </c>
    </row>
    <row r="633" ht="15.0" customHeight="1">
      <c r="B633" s="6">
        <f t="shared" si="8"/>
        <v>631</v>
      </c>
      <c r="C633" s="1" t="s">
        <v>1023</v>
      </c>
      <c r="D633" s="1" t="str">
        <f t="shared" si="2"/>
        <v>Real Estate &amp; Infra</v>
      </c>
      <c r="E633" s="1" t="s">
        <v>44</v>
      </c>
      <c r="F633" s="1" t="s">
        <v>44</v>
      </c>
      <c r="G633" s="1" t="s">
        <v>1023</v>
      </c>
      <c r="H633" s="1" t="s">
        <v>932</v>
      </c>
      <c r="I633" s="1" t="s">
        <v>318</v>
      </c>
      <c r="J633" s="1" t="s">
        <v>918</v>
      </c>
      <c r="K633" s="1" t="s">
        <v>281</v>
      </c>
      <c r="L633" s="1" t="s">
        <v>282</v>
      </c>
      <c r="N633" s="6">
        <v>2007.0</v>
      </c>
      <c r="O633" s="10">
        <f t="shared" ref="O633:R633" si="672">IFERROR(V633*INDEX($AH$4:$AH$8,MATCH($AA633,$AG$4:$AG$8,0)),"")</f>
        <v>150000000</v>
      </c>
      <c r="P633" s="10">
        <f t="shared" si="672"/>
        <v>142913506.8</v>
      </c>
      <c r="Q633" s="10">
        <f t="shared" si="672"/>
        <v>142652132.9</v>
      </c>
      <c r="R633" s="10">
        <f t="shared" si="672"/>
        <v>0</v>
      </c>
      <c r="S633" s="10">
        <f t="shared" si="4"/>
        <v>142652132.9</v>
      </c>
      <c r="T633" s="10">
        <f t="shared" si="5"/>
        <v>-0.22</v>
      </c>
      <c r="U633" s="8">
        <v>42277.0</v>
      </c>
      <c r="V633" s="7">
        <v>1.5E8</v>
      </c>
      <c r="W633" s="7">
        <v>1.4291350678E8</v>
      </c>
      <c r="X633" s="7">
        <v>1.4265213288E8</v>
      </c>
      <c r="Y633" s="7">
        <v>0.0</v>
      </c>
      <c r="Z633" s="7">
        <v>-0.22</v>
      </c>
      <c r="AA633" s="6" t="s">
        <v>52</v>
      </c>
      <c r="AB633" s="11" t="str">
        <f t="shared" si="6"/>
        <v>Exclude</v>
      </c>
    </row>
    <row r="634" ht="15.0" customHeight="1">
      <c r="B634" s="6">
        <f t="shared" si="8"/>
        <v>632</v>
      </c>
      <c r="C634" s="1" t="s">
        <v>1024</v>
      </c>
      <c r="D634" s="1" t="str">
        <f t="shared" si="2"/>
        <v>Real Estate &amp; Infra</v>
      </c>
      <c r="E634" s="1" t="s">
        <v>44</v>
      </c>
      <c r="F634" s="1" t="s">
        <v>44</v>
      </c>
      <c r="G634" s="1" t="s">
        <v>1024</v>
      </c>
      <c r="H634" s="1" t="s">
        <v>37</v>
      </c>
      <c r="I634" s="1" t="s">
        <v>318</v>
      </c>
      <c r="J634" s="1" t="s">
        <v>918</v>
      </c>
      <c r="K634" s="1" t="s">
        <v>281</v>
      </c>
      <c r="L634" s="1" t="s">
        <v>954</v>
      </c>
      <c r="N634" s="6">
        <v>2008.0</v>
      </c>
      <c r="O634" s="10">
        <f t="shared" ref="O634:R634" si="673">IFERROR(V634*INDEX($AH$4:$AH$8,MATCH($AA634,$AG$4:$AG$8,0)),"")</f>
        <v>75000000</v>
      </c>
      <c r="P634" s="10">
        <f t="shared" si="673"/>
        <v>77512263.18</v>
      </c>
      <c r="Q634" s="10">
        <f t="shared" si="673"/>
        <v>77434381.13</v>
      </c>
      <c r="R634" s="10">
        <f t="shared" si="673"/>
        <v>0</v>
      </c>
      <c r="S634" s="10">
        <f t="shared" si="4"/>
        <v>77434381.13</v>
      </c>
      <c r="T634" s="10">
        <f t="shared" si="5"/>
        <v>0.14</v>
      </c>
      <c r="U634" s="8">
        <v>45647.0</v>
      </c>
      <c r="V634" s="7">
        <v>7.5E7</v>
      </c>
      <c r="W634" s="7">
        <v>7.751226318E7</v>
      </c>
      <c r="X634" s="7">
        <v>7.743438113E7</v>
      </c>
      <c r="Y634" s="7">
        <v>0.0</v>
      </c>
      <c r="Z634" s="7">
        <v>0.14</v>
      </c>
      <c r="AA634" s="6" t="s">
        <v>52</v>
      </c>
      <c r="AB634" s="11" t="str">
        <f t="shared" si="6"/>
        <v>Exclude</v>
      </c>
    </row>
    <row r="635" ht="15.0" customHeight="1">
      <c r="B635" s="6">
        <f t="shared" si="8"/>
        <v>633</v>
      </c>
      <c r="C635" s="1" t="s">
        <v>1025</v>
      </c>
      <c r="D635" s="1" t="str">
        <f t="shared" si="2"/>
        <v>Real Estate &amp; Infra</v>
      </c>
      <c r="E635" s="1" t="s">
        <v>44</v>
      </c>
      <c r="F635" s="1" t="s">
        <v>44</v>
      </c>
      <c r="G635" s="1" t="s">
        <v>1025</v>
      </c>
      <c r="H635" s="1" t="s">
        <v>279</v>
      </c>
      <c r="I635" s="1" t="s">
        <v>318</v>
      </c>
      <c r="J635" s="1" t="s">
        <v>918</v>
      </c>
      <c r="K635" s="1" t="s">
        <v>281</v>
      </c>
      <c r="L635" s="1" t="s">
        <v>282</v>
      </c>
      <c r="N635" s="6">
        <v>2007.0</v>
      </c>
      <c r="O635" s="10">
        <f t="shared" ref="O635:R635" si="674">IFERROR(V635*INDEX($AH$4:$AH$8,MATCH($AA635,$AG$4:$AG$8,0)),"")</f>
        <v>180000000</v>
      </c>
      <c r="P635" s="10">
        <f t="shared" si="674"/>
        <v>179987642</v>
      </c>
      <c r="Q635" s="10">
        <f t="shared" si="674"/>
        <v>112198355</v>
      </c>
      <c r="R635" s="10">
        <f t="shared" si="674"/>
        <v>96417556</v>
      </c>
      <c r="S635" s="10">
        <f t="shared" si="4"/>
        <v>208615911</v>
      </c>
      <c r="T635" s="10">
        <f t="shared" si="5"/>
        <v>0</v>
      </c>
      <c r="U635" s="8">
        <v>46112.0</v>
      </c>
      <c r="V635" s="7">
        <v>1.8E8</v>
      </c>
      <c r="W635" s="7">
        <v>1.79987642E8</v>
      </c>
      <c r="X635" s="7">
        <v>1.12198355E8</v>
      </c>
      <c r="Y635" s="7">
        <v>9.6417556E7</v>
      </c>
      <c r="Z635" s="7">
        <v>0.0</v>
      </c>
      <c r="AA635" s="6" t="s">
        <v>52</v>
      </c>
      <c r="AB635" s="11" t="str">
        <f t="shared" si="6"/>
        <v>Include</v>
      </c>
      <c r="AC635" s="1">
        <f>S635/P635</f>
        <v>1.159056859</v>
      </c>
    </row>
    <row r="636" ht="15.0" customHeight="1">
      <c r="B636" s="6">
        <f t="shared" si="8"/>
        <v>634</v>
      </c>
      <c r="C636" s="1" t="s">
        <v>1026</v>
      </c>
      <c r="D636" s="1" t="str">
        <f t="shared" si="2"/>
        <v>Real Estate &amp; Infra</v>
      </c>
      <c r="E636" s="1" t="s">
        <v>44</v>
      </c>
      <c r="F636" s="1" t="s">
        <v>44</v>
      </c>
      <c r="G636" s="1" t="s">
        <v>1026</v>
      </c>
      <c r="H636" s="1" t="s">
        <v>348</v>
      </c>
      <c r="I636" s="1" t="s">
        <v>318</v>
      </c>
      <c r="J636" s="1" t="s">
        <v>918</v>
      </c>
      <c r="K636" s="1" t="s">
        <v>281</v>
      </c>
      <c r="L636" s="1" t="s">
        <v>1027</v>
      </c>
      <c r="N636" s="6">
        <v>2007.0</v>
      </c>
      <c r="O636" s="10">
        <f t="shared" ref="O636:R636" si="675">IFERROR(V636*INDEX($AH$4:$AH$8,MATCH($AA636,$AG$4:$AG$8,0)),"")</f>
        <v>174293186</v>
      </c>
      <c r="P636" s="10">
        <f t="shared" si="675"/>
        <v>134983698.4</v>
      </c>
      <c r="Q636" s="10">
        <f t="shared" si="675"/>
        <v>160002417.6</v>
      </c>
      <c r="R636" s="10">
        <f t="shared" si="675"/>
        <v>0</v>
      </c>
      <c r="S636" s="10">
        <f t="shared" si="4"/>
        <v>160002417.6</v>
      </c>
      <c r="T636" s="10">
        <f t="shared" si="5"/>
        <v>0</v>
      </c>
      <c r="U636" s="8">
        <v>43646.0</v>
      </c>
      <c r="V636" s="7">
        <v>1.74293186E8</v>
      </c>
      <c r="W636" s="7">
        <v>1.3498369836E8</v>
      </c>
      <c r="X636" s="7">
        <v>1.6000241762E8</v>
      </c>
      <c r="Y636" s="7">
        <v>0.0</v>
      </c>
      <c r="Z636" s="7">
        <v>0.0</v>
      </c>
      <c r="AA636" s="6" t="s">
        <v>52</v>
      </c>
      <c r="AB636" s="11" t="str">
        <f t="shared" si="6"/>
        <v>Exclude</v>
      </c>
    </row>
    <row r="637" ht="15.0" customHeight="1">
      <c r="B637" s="6">
        <f t="shared" si="8"/>
        <v>635</v>
      </c>
      <c r="C637" s="1" t="s">
        <v>1028</v>
      </c>
      <c r="D637" s="1" t="str">
        <f t="shared" si="2"/>
        <v>Real Estate &amp; Infra</v>
      </c>
      <c r="E637" s="1" t="s">
        <v>44</v>
      </c>
      <c r="F637" s="1" t="s">
        <v>44</v>
      </c>
      <c r="G637" s="1" t="s">
        <v>1028</v>
      </c>
      <c r="H637" s="1" t="s">
        <v>37</v>
      </c>
      <c r="I637" s="1" t="s">
        <v>318</v>
      </c>
      <c r="J637" s="1" t="s">
        <v>918</v>
      </c>
      <c r="K637" s="1" t="s">
        <v>281</v>
      </c>
      <c r="L637" s="1" t="s">
        <v>1009</v>
      </c>
      <c r="N637" s="6">
        <v>2008.0</v>
      </c>
      <c r="O637" s="10">
        <f t="shared" ref="O637:R637" si="676">IFERROR(V637*INDEX($AH$4:$AH$8,MATCH($AA637,$AG$4:$AG$8,0)),"")</f>
        <v>231102000</v>
      </c>
      <c r="P637" s="10">
        <f t="shared" si="676"/>
        <v>240541219</v>
      </c>
      <c r="Q637" s="10">
        <f t="shared" si="676"/>
        <v>387660198.9</v>
      </c>
      <c r="R637" s="10">
        <f t="shared" si="676"/>
        <v>3436818.371</v>
      </c>
      <c r="S637" s="10">
        <f t="shared" si="4"/>
        <v>391097017.3</v>
      </c>
      <c r="T637" s="10">
        <f t="shared" si="5"/>
        <v>5904647.619</v>
      </c>
      <c r="U637" s="8">
        <v>46112.0</v>
      </c>
      <c r="V637" s="7">
        <v>2.0E8</v>
      </c>
      <c r="W637" s="7">
        <v>2.081688769301E8</v>
      </c>
      <c r="X637" s="7">
        <v>3.3548839811E8</v>
      </c>
      <c r="Y637" s="7">
        <v>2974287.0</v>
      </c>
      <c r="Z637" s="7">
        <v>5109992.66</v>
      </c>
      <c r="AA637" s="6" t="s">
        <v>45</v>
      </c>
      <c r="AB637" s="11" t="str">
        <f t="shared" si="6"/>
        <v>Include</v>
      </c>
      <c r="AC637" s="1">
        <f>S637/P637</f>
        <v>1.625904362</v>
      </c>
    </row>
    <row r="638" ht="15.0" customHeight="1">
      <c r="B638" s="6">
        <f t="shared" si="8"/>
        <v>636</v>
      </c>
      <c r="C638" s="1" t="s">
        <v>1029</v>
      </c>
      <c r="D638" s="1" t="str">
        <f t="shared" si="2"/>
        <v>Real Estate &amp; Infra</v>
      </c>
      <c r="E638" s="1" t="s">
        <v>44</v>
      </c>
      <c r="F638" s="1" t="s">
        <v>44</v>
      </c>
      <c r="G638" s="1" t="s">
        <v>1029</v>
      </c>
      <c r="H638" s="1" t="s">
        <v>293</v>
      </c>
      <c r="I638" s="1" t="s">
        <v>318</v>
      </c>
      <c r="J638" s="1" t="s">
        <v>918</v>
      </c>
      <c r="K638" s="1" t="s">
        <v>62</v>
      </c>
      <c r="L638" s="1" t="s">
        <v>294</v>
      </c>
      <c r="N638" s="6">
        <v>2008.0</v>
      </c>
      <c r="O638" s="10">
        <f t="shared" ref="O638:R638" si="677">IFERROR(V638*INDEX($AH$4:$AH$8,MATCH($AA638,$AG$4:$AG$8,0)),"")</f>
        <v>175000000</v>
      </c>
      <c r="P638" s="10">
        <f t="shared" si="677"/>
        <v>199271514</v>
      </c>
      <c r="Q638" s="10">
        <f t="shared" si="677"/>
        <v>241500769</v>
      </c>
      <c r="R638" s="10">
        <f t="shared" si="677"/>
        <v>0</v>
      </c>
      <c r="S638" s="10">
        <f t="shared" si="4"/>
        <v>241500769</v>
      </c>
      <c r="T638" s="10">
        <f t="shared" si="5"/>
        <v>0</v>
      </c>
      <c r="U638" s="8">
        <v>45356.0</v>
      </c>
      <c r="V638" s="7">
        <v>1.75E8</v>
      </c>
      <c r="W638" s="7">
        <v>1.99271514E8</v>
      </c>
      <c r="X638" s="7">
        <v>2.41500769E8</v>
      </c>
      <c r="Y638" s="7">
        <v>0.0</v>
      </c>
      <c r="Z638" s="7">
        <v>0.0</v>
      </c>
      <c r="AA638" s="6" t="s">
        <v>52</v>
      </c>
      <c r="AB638" s="11" t="str">
        <f t="shared" si="6"/>
        <v>Exclude</v>
      </c>
    </row>
    <row r="639" ht="15.0" customHeight="1">
      <c r="B639" s="6">
        <f t="shared" si="8"/>
        <v>637</v>
      </c>
      <c r="C639" s="1" t="s">
        <v>1030</v>
      </c>
      <c r="D639" s="1" t="str">
        <f t="shared" si="2"/>
        <v>Real Estate &amp; Infra</v>
      </c>
      <c r="E639" s="1" t="s">
        <v>44</v>
      </c>
      <c r="F639" s="1" t="s">
        <v>44</v>
      </c>
      <c r="G639" s="1" t="s">
        <v>1030</v>
      </c>
      <c r="H639" s="1" t="s">
        <v>941</v>
      </c>
      <c r="I639" s="1" t="s">
        <v>318</v>
      </c>
      <c r="J639" s="1" t="s">
        <v>918</v>
      </c>
      <c r="K639" s="1" t="s">
        <v>281</v>
      </c>
      <c r="L639" s="1" t="s">
        <v>1031</v>
      </c>
      <c r="N639" s="6">
        <v>2008.0</v>
      </c>
      <c r="O639" s="10">
        <f t="shared" ref="O639:R639" si="678">IFERROR(V639*INDEX($AH$4:$AH$8,MATCH($AA639,$AG$4:$AG$8,0)),"")</f>
        <v>113583333.3</v>
      </c>
      <c r="P639" s="10">
        <f t="shared" si="678"/>
        <v>111853114</v>
      </c>
      <c r="Q639" s="10">
        <f t="shared" si="678"/>
        <v>71285222.41</v>
      </c>
      <c r="R639" s="10">
        <f t="shared" si="678"/>
        <v>0</v>
      </c>
      <c r="S639" s="10">
        <f t="shared" si="4"/>
        <v>71285222.41</v>
      </c>
      <c r="T639" s="10">
        <f t="shared" si="5"/>
        <v>0.33</v>
      </c>
      <c r="U639" s="8">
        <v>42277.0</v>
      </c>
      <c r="V639" s="7">
        <v>1.1358333333E8</v>
      </c>
      <c r="W639" s="7">
        <v>1.11853114E8</v>
      </c>
      <c r="X639" s="7">
        <v>7.128522241E7</v>
      </c>
      <c r="Y639" s="7">
        <v>0.0</v>
      </c>
      <c r="Z639" s="7">
        <v>0.33</v>
      </c>
      <c r="AA639" s="6" t="s">
        <v>52</v>
      </c>
      <c r="AB639" s="11" t="str">
        <f t="shared" si="6"/>
        <v>Exclude</v>
      </c>
    </row>
    <row r="640" ht="15.0" customHeight="1">
      <c r="B640" s="6">
        <f t="shared" si="8"/>
        <v>638</v>
      </c>
      <c r="C640" s="1" t="s">
        <v>1032</v>
      </c>
      <c r="D640" s="1" t="str">
        <f t="shared" si="2"/>
        <v>Real Estate &amp; Infra</v>
      </c>
      <c r="E640" s="1" t="s">
        <v>44</v>
      </c>
      <c r="F640" s="1" t="s">
        <v>44</v>
      </c>
      <c r="G640" s="1" t="s">
        <v>1032</v>
      </c>
      <c r="H640" s="1" t="s">
        <v>1033</v>
      </c>
      <c r="I640" s="1" t="s">
        <v>318</v>
      </c>
      <c r="J640" s="1" t="s">
        <v>918</v>
      </c>
      <c r="K640" s="1" t="s">
        <v>62</v>
      </c>
      <c r="L640" s="1" t="s">
        <v>289</v>
      </c>
      <c r="N640" s="6">
        <v>2008.0</v>
      </c>
      <c r="O640" s="10">
        <f t="shared" ref="O640:R640" si="679">IFERROR(V640*INDEX($AH$4:$AH$8,MATCH($AA640,$AG$4:$AG$8,0)),"")</f>
        <v>100000000</v>
      </c>
      <c r="P640" s="10">
        <f t="shared" si="679"/>
        <v>81671500</v>
      </c>
      <c r="Q640" s="10">
        <f t="shared" si="679"/>
        <v>123228894.9</v>
      </c>
      <c r="R640" s="10">
        <f t="shared" si="679"/>
        <v>0</v>
      </c>
      <c r="S640" s="10">
        <f t="shared" si="4"/>
        <v>123228894.9</v>
      </c>
      <c r="T640" s="10">
        <f t="shared" si="5"/>
        <v>0</v>
      </c>
      <c r="U640" s="8">
        <v>42352.0</v>
      </c>
      <c r="V640" s="7">
        <v>1.0E8</v>
      </c>
      <c r="W640" s="7">
        <v>8.16715E7</v>
      </c>
      <c r="X640" s="7">
        <v>1.2322889493E8</v>
      </c>
      <c r="Y640" s="7">
        <v>0.0</v>
      </c>
      <c r="Z640" s="7">
        <v>0.0</v>
      </c>
      <c r="AA640" s="6" t="s">
        <v>52</v>
      </c>
      <c r="AB640" s="11" t="str">
        <f t="shared" si="6"/>
        <v>Exclude</v>
      </c>
    </row>
    <row r="641" ht="15.0" customHeight="1">
      <c r="B641" s="6">
        <f t="shared" si="8"/>
        <v>639</v>
      </c>
      <c r="C641" s="1" t="s">
        <v>1034</v>
      </c>
      <c r="D641" s="1" t="str">
        <f t="shared" si="2"/>
        <v>Real Estate &amp; Infra</v>
      </c>
      <c r="E641" s="1" t="s">
        <v>44</v>
      </c>
      <c r="F641" s="1" t="s">
        <v>44</v>
      </c>
      <c r="G641" s="1" t="s">
        <v>1034</v>
      </c>
      <c r="H641" s="1" t="s">
        <v>542</v>
      </c>
      <c r="I641" s="1" t="s">
        <v>318</v>
      </c>
      <c r="J641" s="1" t="s">
        <v>918</v>
      </c>
      <c r="K641" s="1" t="s">
        <v>281</v>
      </c>
      <c r="L641" s="1" t="s">
        <v>314</v>
      </c>
      <c r="N641" s="6">
        <v>2007.0</v>
      </c>
      <c r="O641" s="10">
        <f t="shared" ref="O641:R641" si="680">IFERROR(V641*INDEX($AH$4:$AH$8,MATCH($AA641,$AG$4:$AG$8,0)),"")</f>
        <v>309636000</v>
      </c>
      <c r="P641" s="10">
        <f t="shared" si="680"/>
        <v>299075048</v>
      </c>
      <c r="Q641" s="10">
        <f t="shared" si="680"/>
        <v>376484842.9</v>
      </c>
      <c r="R641" s="10">
        <f t="shared" si="680"/>
        <v>0</v>
      </c>
      <c r="S641" s="10">
        <f t="shared" si="4"/>
        <v>376484842.9</v>
      </c>
      <c r="T641" s="10">
        <f t="shared" si="5"/>
        <v>0</v>
      </c>
      <c r="U641" s="8">
        <v>42277.0</v>
      </c>
      <c r="V641" s="7">
        <v>3.09636E8</v>
      </c>
      <c r="W641" s="7">
        <v>2.99075048E8</v>
      </c>
      <c r="X641" s="7">
        <v>3.7648484286E8</v>
      </c>
      <c r="Y641" s="7">
        <v>0.0</v>
      </c>
      <c r="Z641" s="7">
        <v>0.0</v>
      </c>
      <c r="AA641" s="6" t="s">
        <v>52</v>
      </c>
      <c r="AB641" s="11" t="str">
        <f t="shared" si="6"/>
        <v>Exclude</v>
      </c>
    </row>
    <row r="642" ht="15.0" customHeight="1">
      <c r="B642" s="6">
        <f t="shared" si="8"/>
        <v>640</v>
      </c>
      <c r="C642" s="1" t="s">
        <v>1035</v>
      </c>
      <c r="D642" s="1" t="str">
        <f t="shared" si="2"/>
        <v>Real Estate &amp; Infra</v>
      </c>
      <c r="E642" s="1" t="s">
        <v>44</v>
      </c>
      <c r="F642" s="1" t="s">
        <v>44</v>
      </c>
      <c r="G642" s="1" t="s">
        <v>1035</v>
      </c>
      <c r="H642" s="1" t="s">
        <v>961</v>
      </c>
      <c r="I642" s="1" t="s">
        <v>318</v>
      </c>
      <c r="J642" s="1" t="s">
        <v>918</v>
      </c>
      <c r="K642" s="1" t="s">
        <v>62</v>
      </c>
      <c r="L642" s="1" t="s">
        <v>289</v>
      </c>
      <c r="N642" s="6">
        <v>2009.0</v>
      </c>
      <c r="O642" s="10">
        <f t="shared" ref="O642:R642" si="681">IFERROR(V642*INDEX($AH$4:$AH$8,MATCH($AA642,$AG$4:$AG$8,0)),"")</f>
        <v>100000000</v>
      </c>
      <c r="P642" s="10">
        <f t="shared" si="681"/>
        <v>89100000</v>
      </c>
      <c r="Q642" s="10">
        <f t="shared" si="681"/>
        <v>142741320.4</v>
      </c>
      <c r="R642" s="10">
        <f t="shared" si="681"/>
        <v>0</v>
      </c>
      <c r="S642" s="10">
        <f t="shared" si="4"/>
        <v>142741320.4</v>
      </c>
      <c r="T642" s="10">
        <f t="shared" si="5"/>
        <v>0</v>
      </c>
      <c r="U642" s="8">
        <v>42277.0</v>
      </c>
      <c r="V642" s="7">
        <v>1.0E8</v>
      </c>
      <c r="W642" s="7">
        <v>8.91E7</v>
      </c>
      <c r="X642" s="7">
        <v>1.4274132043E8</v>
      </c>
      <c r="Y642" s="7">
        <v>0.0</v>
      </c>
      <c r="Z642" s="7">
        <v>0.0</v>
      </c>
      <c r="AA642" s="6" t="s">
        <v>52</v>
      </c>
      <c r="AB642" s="11" t="str">
        <f t="shared" si="6"/>
        <v>Exclude</v>
      </c>
    </row>
    <row r="643" ht="15.0" customHeight="1">
      <c r="B643" s="6">
        <f t="shared" si="8"/>
        <v>641</v>
      </c>
      <c r="C643" s="1" t="s">
        <v>1036</v>
      </c>
      <c r="D643" s="1" t="str">
        <f t="shared" si="2"/>
        <v>Real Estate &amp; Infra</v>
      </c>
      <c r="E643" s="1" t="s">
        <v>44</v>
      </c>
      <c r="F643" s="1" t="s">
        <v>44</v>
      </c>
      <c r="G643" s="1" t="s">
        <v>1036</v>
      </c>
      <c r="H643" s="1" t="s">
        <v>279</v>
      </c>
      <c r="I643" s="1" t="s">
        <v>318</v>
      </c>
      <c r="J643" s="1" t="s">
        <v>918</v>
      </c>
      <c r="K643" s="1" t="s">
        <v>281</v>
      </c>
      <c r="L643" s="1" t="s">
        <v>282</v>
      </c>
      <c r="N643" s="6">
        <v>2005.0</v>
      </c>
      <c r="O643" s="10">
        <f t="shared" ref="O643:R643" si="682">IFERROR(V643*INDEX($AH$4:$AH$8,MATCH($AA643,$AG$4:$AG$8,0)),"")</f>
        <v>20312500</v>
      </c>
      <c r="P643" s="10">
        <f t="shared" si="682"/>
        <v>20312500</v>
      </c>
      <c r="Q643" s="10">
        <f t="shared" si="682"/>
        <v>40624999.97</v>
      </c>
      <c r="R643" s="10">
        <f t="shared" si="682"/>
        <v>0</v>
      </c>
      <c r="S643" s="10">
        <f t="shared" si="4"/>
        <v>40624999.97</v>
      </c>
      <c r="T643" s="10">
        <f t="shared" si="5"/>
        <v>0</v>
      </c>
      <c r="U643" s="8">
        <v>41904.0</v>
      </c>
      <c r="V643" s="7">
        <v>2.03125E7</v>
      </c>
      <c r="W643" s="7">
        <v>2.03125E7</v>
      </c>
      <c r="X643" s="7">
        <v>4.062499997E7</v>
      </c>
      <c r="Y643" s="7">
        <v>0.0</v>
      </c>
      <c r="Z643" s="7">
        <v>0.0</v>
      </c>
      <c r="AA643" s="6" t="s">
        <v>52</v>
      </c>
      <c r="AB643" s="11" t="str">
        <f t="shared" si="6"/>
        <v>Exclude</v>
      </c>
    </row>
    <row r="644" ht="15.0" customHeight="1">
      <c r="B644" s="6">
        <f t="shared" si="8"/>
        <v>642</v>
      </c>
      <c r="C644" s="1" t="s">
        <v>1037</v>
      </c>
      <c r="D644" s="1" t="str">
        <f t="shared" si="2"/>
        <v>Real Estate &amp; Infra</v>
      </c>
      <c r="E644" s="1" t="s">
        <v>44</v>
      </c>
      <c r="F644" s="1" t="s">
        <v>44</v>
      </c>
      <c r="G644" s="1" t="s">
        <v>1037</v>
      </c>
      <c r="H644" s="1" t="s">
        <v>297</v>
      </c>
      <c r="I644" s="1" t="s">
        <v>318</v>
      </c>
      <c r="J644" s="1" t="s">
        <v>918</v>
      </c>
      <c r="K644" s="1" t="s">
        <v>62</v>
      </c>
      <c r="L644" s="1" t="s">
        <v>289</v>
      </c>
      <c r="N644" s="6">
        <v>2011.0</v>
      </c>
      <c r="O644" s="10">
        <f t="shared" ref="O644:R644" si="683">IFERROR(V644*INDEX($AH$4:$AH$8,MATCH($AA644,$AG$4:$AG$8,0)),"")</f>
        <v>100000000</v>
      </c>
      <c r="P644" s="10">
        <f t="shared" si="683"/>
        <v>106560000</v>
      </c>
      <c r="Q644" s="10">
        <f t="shared" si="683"/>
        <v>244521487.4</v>
      </c>
      <c r="R644" s="10">
        <f t="shared" si="683"/>
        <v>0</v>
      </c>
      <c r="S644" s="10">
        <f t="shared" si="4"/>
        <v>244521487.4</v>
      </c>
      <c r="T644" s="10">
        <f t="shared" si="5"/>
        <v>-0.01</v>
      </c>
      <c r="U644" s="8">
        <v>45761.0</v>
      </c>
      <c r="V644" s="7">
        <v>1.0E8</v>
      </c>
      <c r="W644" s="7">
        <v>1.0656000001E8</v>
      </c>
      <c r="X644" s="7">
        <v>2.4452148739E8</v>
      </c>
      <c r="Y644" s="7">
        <v>0.0</v>
      </c>
      <c r="Z644" s="7">
        <v>-0.01</v>
      </c>
      <c r="AA644" s="6" t="s">
        <v>52</v>
      </c>
      <c r="AB644" s="11" t="str">
        <f t="shared" si="6"/>
        <v>Exclude</v>
      </c>
    </row>
    <row r="645" ht="15.0" customHeight="1">
      <c r="B645" s="6">
        <f t="shared" si="8"/>
        <v>643</v>
      </c>
      <c r="C645" s="1" t="s">
        <v>1038</v>
      </c>
      <c r="D645" s="1" t="str">
        <f t="shared" si="2"/>
        <v>Real Estate &amp; Infra</v>
      </c>
      <c r="E645" s="1" t="s">
        <v>44</v>
      </c>
      <c r="F645" s="1" t="s">
        <v>44</v>
      </c>
      <c r="G645" s="1" t="s">
        <v>1038</v>
      </c>
      <c r="H645" s="1" t="s">
        <v>37</v>
      </c>
      <c r="I645" s="1" t="s">
        <v>318</v>
      </c>
      <c r="J645" s="1" t="s">
        <v>918</v>
      </c>
      <c r="K645" s="1" t="s">
        <v>281</v>
      </c>
      <c r="L645" s="1" t="s">
        <v>314</v>
      </c>
      <c r="N645" s="6">
        <v>2011.0</v>
      </c>
      <c r="O645" s="10">
        <f t="shared" ref="O645:R645" si="684">IFERROR(V645*INDEX($AH$4:$AH$8,MATCH($AA645,$AG$4:$AG$8,0)),"")</f>
        <v>300000000</v>
      </c>
      <c r="P645" s="10">
        <f t="shared" si="684"/>
        <v>397469992.2</v>
      </c>
      <c r="Q645" s="10">
        <f t="shared" si="684"/>
        <v>623524701.3</v>
      </c>
      <c r="R645" s="10">
        <f t="shared" si="684"/>
        <v>22694448</v>
      </c>
      <c r="S645" s="10">
        <f t="shared" si="4"/>
        <v>646219149.3</v>
      </c>
      <c r="T645" s="10">
        <f t="shared" si="5"/>
        <v>18935919.45</v>
      </c>
      <c r="U645" s="8">
        <v>46112.0</v>
      </c>
      <c r="V645" s="7">
        <v>3.0E8</v>
      </c>
      <c r="W645" s="7">
        <v>3.9746999219E8</v>
      </c>
      <c r="X645" s="7">
        <v>6.2352470132E8</v>
      </c>
      <c r="Y645" s="7">
        <v>2.2694448E7</v>
      </c>
      <c r="Z645" s="7">
        <v>1.893591945E7</v>
      </c>
      <c r="AA645" s="6" t="s">
        <v>52</v>
      </c>
      <c r="AB645" s="11" t="str">
        <f t="shared" si="6"/>
        <v>Include</v>
      </c>
      <c r="AC645" s="1">
        <f t="shared" ref="AC645:AC647" si="686">S645/P645</f>
        <v>1.625831288</v>
      </c>
    </row>
    <row r="646" ht="15.0" customHeight="1">
      <c r="B646" s="6">
        <f t="shared" si="8"/>
        <v>644</v>
      </c>
      <c r="C646" s="1" t="s">
        <v>1039</v>
      </c>
      <c r="D646" s="1" t="str">
        <f t="shared" si="2"/>
        <v>Real Estate &amp; Infra</v>
      </c>
      <c r="E646" s="1" t="s">
        <v>44</v>
      </c>
      <c r="F646" s="1" t="s">
        <v>44</v>
      </c>
      <c r="G646" s="1" t="s">
        <v>1039</v>
      </c>
      <c r="H646" s="1" t="s">
        <v>97</v>
      </c>
      <c r="I646" s="1" t="s">
        <v>318</v>
      </c>
      <c r="J646" s="1" t="s">
        <v>918</v>
      </c>
      <c r="K646" s="1" t="s">
        <v>281</v>
      </c>
      <c r="L646" s="1" t="s">
        <v>282</v>
      </c>
      <c r="N646" s="6">
        <v>2010.0</v>
      </c>
      <c r="O646" s="10">
        <f t="shared" ref="O646:R646" si="685">IFERROR(V646*INDEX($AH$4:$AH$8,MATCH($AA646,$AG$4:$AG$8,0)),"")</f>
        <v>200000000</v>
      </c>
      <c r="P646" s="10">
        <f t="shared" si="685"/>
        <v>195111101.3</v>
      </c>
      <c r="Q646" s="10">
        <f t="shared" si="685"/>
        <v>291876624</v>
      </c>
      <c r="R646" s="10">
        <f t="shared" si="685"/>
        <v>13700591</v>
      </c>
      <c r="S646" s="10">
        <f t="shared" si="4"/>
        <v>305577215</v>
      </c>
      <c r="T646" s="10">
        <f t="shared" si="5"/>
        <v>8547008.74</v>
      </c>
      <c r="U646" s="8">
        <v>46112.0</v>
      </c>
      <c r="V646" s="7">
        <v>2.0E8</v>
      </c>
      <c r="W646" s="7">
        <v>1.951111013E8</v>
      </c>
      <c r="X646" s="7">
        <v>2.9187662403E8</v>
      </c>
      <c r="Y646" s="7">
        <v>1.3700591E7</v>
      </c>
      <c r="Z646" s="7">
        <v>8547008.74</v>
      </c>
      <c r="AA646" s="6" t="s">
        <v>52</v>
      </c>
      <c r="AB646" s="11" t="str">
        <f t="shared" si="6"/>
        <v>Include</v>
      </c>
      <c r="AC646" s="1">
        <f t="shared" si="686"/>
        <v>1.566170315</v>
      </c>
    </row>
    <row r="647" ht="15.0" customHeight="1">
      <c r="B647" s="6">
        <f t="shared" si="8"/>
        <v>645</v>
      </c>
      <c r="C647" s="1" t="s">
        <v>1040</v>
      </c>
      <c r="D647" s="1" t="str">
        <f t="shared" si="2"/>
        <v>Real Estate &amp; Infra</v>
      </c>
      <c r="E647" s="1" t="s">
        <v>44</v>
      </c>
      <c r="F647" s="1" t="s">
        <v>44</v>
      </c>
      <c r="G647" s="1" t="s">
        <v>1040</v>
      </c>
      <c r="H647" s="1" t="s">
        <v>305</v>
      </c>
      <c r="I647" s="1" t="s">
        <v>318</v>
      </c>
      <c r="J647" s="1" t="s">
        <v>918</v>
      </c>
      <c r="K647" s="1" t="s">
        <v>62</v>
      </c>
      <c r="L647" s="1" t="s">
        <v>289</v>
      </c>
      <c r="N647" s="6">
        <v>2012.0</v>
      </c>
      <c r="O647" s="10">
        <f t="shared" ref="O647:R647" si="687">IFERROR(V647*INDEX($AH$4:$AH$8,MATCH($AA647,$AG$4:$AG$8,0)),"")</f>
        <v>100000000</v>
      </c>
      <c r="P647" s="10">
        <f t="shared" si="687"/>
        <v>61726633.29</v>
      </c>
      <c r="Q647" s="10">
        <f t="shared" si="687"/>
        <v>68738241</v>
      </c>
      <c r="R647" s="10">
        <f t="shared" si="687"/>
        <v>7621222</v>
      </c>
      <c r="S647" s="10">
        <f t="shared" si="4"/>
        <v>76359463</v>
      </c>
      <c r="T647" s="10">
        <f t="shared" si="5"/>
        <v>0</v>
      </c>
      <c r="U647" s="8">
        <v>46112.0</v>
      </c>
      <c r="V647" s="7">
        <v>1.0E8</v>
      </c>
      <c r="W647" s="7">
        <v>6.172663329E7</v>
      </c>
      <c r="X647" s="7">
        <v>6.8738241E7</v>
      </c>
      <c r="Y647" s="7">
        <v>7621222.0</v>
      </c>
      <c r="Z647" s="7">
        <v>0.0</v>
      </c>
      <c r="AA647" s="6" t="s">
        <v>52</v>
      </c>
      <c r="AB647" s="11" t="str">
        <f t="shared" si="6"/>
        <v>Include</v>
      </c>
      <c r="AC647" s="1">
        <f t="shared" si="686"/>
        <v>1.237058607</v>
      </c>
    </row>
    <row r="648" ht="15.0" customHeight="1">
      <c r="B648" s="6">
        <f t="shared" si="8"/>
        <v>646</v>
      </c>
      <c r="C648" s="1" t="s">
        <v>1041</v>
      </c>
      <c r="D648" s="1" t="str">
        <f t="shared" si="2"/>
        <v>Real Estate &amp; Infra</v>
      </c>
      <c r="E648" s="1" t="s">
        <v>44</v>
      </c>
      <c r="F648" s="1" t="s">
        <v>44</v>
      </c>
      <c r="G648" s="1" t="s">
        <v>1041</v>
      </c>
      <c r="H648" s="1" t="s">
        <v>971</v>
      </c>
      <c r="I648" s="1" t="s">
        <v>318</v>
      </c>
      <c r="J648" s="1" t="s">
        <v>918</v>
      </c>
      <c r="K648" s="1" t="s">
        <v>62</v>
      </c>
      <c r="L648" s="1" t="s">
        <v>289</v>
      </c>
      <c r="N648" s="6">
        <v>2011.0</v>
      </c>
      <c r="O648" s="10">
        <f t="shared" ref="O648:R648" si="688">IFERROR(V648*INDEX($AH$4:$AH$8,MATCH($AA648,$AG$4:$AG$8,0)),"")</f>
        <v>100000000</v>
      </c>
      <c r="P648" s="10">
        <f t="shared" si="688"/>
        <v>88380802.42</v>
      </c>
      <c r="Q648" s="10">
        <f t="shared" si="688"/>
        <v>157640471.6</v>
      </c>
      <c r="R648" s="10">
        <f t="shared" si="688"/>
        <v>0</v>
      </c>
      <c r="S648" s="10">
        <f t="shared" si="4"/>
        <v>157640471.6</v>
      </c>
      <c r="T648" s="10">
        <f t="shared" si="5"/>
        <v>-0.13</v>
      </c>
      <c r="U648" s="8">
        <v>44554.0</v>
      </c>
      <c r="V648" s="7">
        <v>1.0E8</v>
      </c>
      <c r="W648" s="7">
        <v>8.838080242E7</v>
      </c>
      <c r="X648" s="7">
        <v>1.5764047162E8</v>
      </c>
      <c r="Y648" s="7">
        <v>0.0</v>
      </c>
      <c r="Z648" s="7">
        <v>-0.13</v>
      </c>
      <c r="AA648" s="6" t="s">
        <v>52</v>
      </c>
      <c r="AB648" s="11" t="str">
        <f t="shared" si="6"/>
        <v>Exclude</v>
      </c>
    </row>
    <row r="649" ht="15.0" customHeight="1">
      <c r="B649" s="6">
        <f t="shared" si="8"/>
        <v>647</v>
      </c>
      <c r="C649" s="1" t="s">
        <v>1042</v>
      </c>
      <c r="D649" s="1" t="str">
        <f t="shared" si="2"/>
        <v>Real Estate &amp; Infra</v>
      </c>
      <c r="E649" s="1" t="s">
        <v>44</v>
      </c>
      <c r="F649" s="1" t="s">
        <v>44</v>
      </c>
      <c r="G649" s="1" t="s">
        <v>1042</v>
      </c>
      <c r="H649" s="1" t="s">
        <v>332</v>
      </c>
      <c r="I649" s="1" t="s">
        <v>318</v>
      </c>
      <c r="J649" s="1" t="s">
        <v>918</v>
      </c>
      <c r="K649" s="1" t="s">
        <v>54</v>
      </c>
      <c r="L649" s="1" t="s">
        <v>286</v>
      </c>
      <c r="N649" s="6">
        <v>2012.0</v>
      </c>
      <c r="O649" s="10">
        <f t="shared" ref="O649:R649" si="689">IFERROR(V649*INDEX($AH$4:$AH$8,MATCH($AA649,$AG$4:$AG$8,0)),"")</f>
        <v>75000000</v>
      </c>
      <c r="P649" s="10">
        <f t="shared" si="689"/>
        <v>69702797</v>
      </c>
      <c r="Q649" s="10">
        <f t="shared" si="689"/>
        <v>115331979</v>
      </c>
      <c r="R649" s="10">
        <f t="shared" si="689"/>
        <v>0</v>
      </c>
      <c r="S649" s="10">
        <f t="shared" si="4"/>
        <v>115331979</v>
      </c>
      <c r="T649" s="10">
        <f t="shared" si="5"/>
        <v>0</v>
      </c>
      <c r="U649" s="8">
        <v>45611.0</v>
      </c>
      <c r="V649" s="7">
        <v>7.5E7</v>
      </c>
      <c r="W649" s="7">
        <v>6.9702797E7</v>
      </c>
      <c r="X649" s="7">
        <v>1.15331979E8</v>
      </c>
      <c r="Y649" s="7">
        <v>0.0</v>
      </c>
      <c r="Z649" s="7">
        <v>0.0</v>
      </c>
      <c r="AA649" s="6" t="s">
        <v>52</v>
      </c>
      <c r="AB649" s="11" t="str">
        <f t="shared" si="6"/>
        <v>Exclude</v>
      </c>
    </row>
    <row r="650" ht="15.0" customHeight="1">
      <c r="B650" s="6">
        <f t="shared" si="8"/>
        <v>648</v>
      </c>
      <c r="C650" s="1" t="s">
        <v>1043</v>
      </c>
      <c r="D650" s="1" t="str">
        <f t="shared" si="2"/>
        <v>Real Estate &amp; Infra</v>
      </c>
      <c r="E650" s="1" t="s">
        <v>44</v>
      </c>
      <c r="F650" s="1" t="s">
        <v>44</v>
      </c>
      <c r="G650" s="1" t="s">
        <v>1043</v>
      </c>
      <c r="H650" s="1" t="s">
        <v>185</v>
      </c>
      <c r="I650" s="1" t="s">
        <v>318</v>
      </c>
      <c r="J650" s="1" t="s">
        <v>918</v>
      </c>
      <c r="K650" s="1" t="s">
        <v>62</v>
      </c>
      <c r="L650" s="1" t="s">
        <v>289</v>
      </c>
      <c r="N650" s="6">
        <v>2012.0</v>
      </c>
      <c r="O650" s="10">
        <f t="shared" ref="O650:R650" si="690">IFERROR(V650*INDEX($AH$4:$AH$8,MATCH($AA650,$AG$4:$AG$8,0)),"")</f>
        <v>75000000</v>
      </c>
      <c r="P650" s="10">
        <f t="shared" si="690"/>
        <v>73539355.49</v>
      </c>
      <c r="Q650" s="10">
        <f t="shared" si="690"/>
        <v>151311074.6</v>
      </c>
      <c r="R650" s="10">
        <f t="shared" si="690"/>
        <v>0</v>
      </c>
      <c r="S650" s="10">
        <f t="shared" si="4"/>
        <v>151311074.6</v>
      </c>
      <c r="T650" s="10">
        <f t="shared" si="5"/>
        <v>0</v>
      </c>
      <c r="U650" s="8">
        <v>44926.0</v>
      </c>
      <c r="V650" s="7">
        <v>7.5E7</v>
      </c>
      <c r="W650" s="7">
        <v>7.353935549E7</v>
      </c>
      <c r="X650" s="7">
        <v>1.5131107458E8</v>
      </c>
      <c r="Y650" s="7">
        <v>0.0</v>
      </c>
      <c r="Z650" s="7">
        <v>0.0</v>
      </c>
      <c r="AA650" s="6" t="s">
        <v>52</v>
      </c>
      <c r="AB650" s="11" t="str">
        <f t="shared" si="6"/>
        <v>Exclude</v>
      </c>
    </row>
    <row r="651" ht="15.0" customHeight="1">
      <c r="B651" s="6">
        <f t="shared" si="8"/>
        <v>649</v>
      </c>
      <c r="C651" s="1" t="s">
        <v>1044</v>
      </c>
      <c r="D651" s="1" t="str">
        <f t="shared" si="2"/>
        <v>Real Estate &amp; Infra</v>
      </c>
      <c r="E651" s="1" t="s">
        <v>44</v>
      </c>
      <c r="F651" s="1" t="s">
        <v>44</v>
      </c>
      <c r="G651" s="1" t="s">
        <v>1044</v>
      </c>
      <c r="H651" s="1" t="s">
        <v>291</v>
      </c>
      <c r="I651" s="1" t="s">
        <v>318</v>
      </c>
      <c r="J651" s="1" t="s">
        <v>918</v>
      </c>
      <c r="K651" s="1" t="s">
        <v>62</v>
      </c>
      <c r="L651" s="1" t="s">
        <v>289</v>
      </c>
      <c r="N651" s="6">
        <v>2011.0</v>
      </c>
      <c r="O651" s="10">
        <f t="shared" ref="O651:R651" si="691">IFERROR(V651*INDEX($AH$4:$AH$8,MATCH($AA651,$AG$4:$AG$8,0)),"")</f>
        <v>75000000</v>
      </c>
      <c r="P651" s="10">
        <f t="shared" si="691"/>
        <v>72710627.54</v>
      </c>
      <c r="Q651" s="10">
        <f t="shared" si="691"/>
        <v>140936305.8</v>
      </c>
      <c r="R651" s="10">
        <f t="shared" si="691"/>
        <v>0</v>
      </c>
      <c r="S651" s="10">
        <f t="shared" si="4"/>
        <v>140936305.8</v>
      </c>
      <c r="T651" s="10">
        <f t="shared" si="5"/>
        <v>0</v>
      </c>
      <c r="U651" s="8">
        <v>44736.0</v>
      </c>
      <c r="V651" s="7">
        <v>7.5E7</v>
      </c>
      <c r="W651" s="7">
        <v>7.271062754E7</v>
      </c>
      <c r="X651" s="7">
        <v>1.4093630577E8</v>
      </c>
      <c r="Y651" s="7">
        <v>0.0</v>
      </c>
      <c r="Z651" s="7">
        <v>0.0</v>
      </c>
      <c r="AA651" s="6" t="s">
        <v>52</v>
      </c>
      <c r="AB651" s="11" t="str">
        <f t="shared" si="6"/>
        <v>Exclude</v>
      </c>
    </row>
    <row r="652" ht="15.0" customHeight="1">
      <c r="B652" s="6">
        <f t="shared" si="8"/>
        <v>650</v>
      </c>
      <c r="C652" s="1" t="s">
        <v>1045</v>
      </c>
      <c r="D652" s="1" t="str">
        <f t="shared" si="2"/>
        <v>Real Estate &amp; Infra</v>
      </c>
      <c r="E652" s="1" t="s">
        <v>44</v>
      </c>
      <c r="F652" s="1" t="s">
        <v>44</v>
      </c>
      <c r="G652" s="1" t="s">
        <v>1045</v>
      </c>
      <c r="H652" s="1" t="s">
        <v>64</v>
      </c>
      <c r="I652" s="1" t="s">
        <v>318</v>
      </c>
      <c r="J652" s="1" t="s">
        <v>918</v>
      </c>
      <c r="K652" s="1" t="s">
        <v>281</v>
      </c>
      <c r="L652" s="1" t="s">
        <v>314</v>
      </c>
      <c r="N652" s="6">
        <v>2012.0</v>
      </c>
      <c r="O652" s="10">
        <f t="shared" ref="O652:R652" si="692">IFERROR(V652*INDEX($AH$4:$AH$8,MATCH($AA652,$AG$4:$AG$8,0)),"")</f>
        <v>200000000</v>
      </c>
      <c r="P652" s="10">
        <f t="shared" si="692"/>
        <v>243654180</v>
      </c>
      <c r="Q652" s="10">
        <f t="shared" si="692"/>
        <v>453008333</v>
      </c>
      <c r="R652" s="10">
        <f t="shared" si="692"/>
        <v>990453</v>
      </c>
      <c r="S652" s="10">
        <f t="shared" si="4"/>
        <v>453998786</v>
      </c>
      <c r="T652" s="10">
        <f t="shared" si="5"/>
        <v>19409570</v>
      </c>
      <c r="U652" s="8">
        <v>46112.0</v>
      </c>
      <c r="V652" s="7">
        <v>2.0E8</v>
      </c>
      <c r="W652" s="7">
        <v>2.4365418E8</v>
      </c>
      <c r="X652" s="7">
        <v>4.53008333E8</v>
      </c>
      <c r="Y652" s="7">
        <v>990453.0</v>
      </c>
      <c r="Z652" s="7">
        <v>1.940957E7</v>
      </c>
      <c r="AA652" s="6" t="s">
        <v>52</v>
      </c>
      <c r="AB652" s="11" t="str">
        <f t="shared" si="6"/>
        <v>Include</v>
      </c>
      <c r="AC652" s="1">
        <f>S652/P652</f>
        <v>1.863291596</v>
      </c>
    </row>
    <row r="653" ht="15.0" customHeight="1">
      <c r="B653" s="6">
        <f t="shared" si="8"/>
        <v>651</v>
      </c>
      <c r="C653" s="1" t="s">
        <v>1046</v>
      </c>
      <c r="D653" s="1" t="str">
        <f t="shared" si="2"/>
        <v>Real Estate &amp; Infra</v>
      </c>
      <c r="E653" s="1" t="s">
        <v>44</v>
      </c>
      <c r="F653" s="1" t="s">
        <v>44</v>
      </c>
      <c r="G653" s="1" t="s">
        <v>1046</v>
      </c>
      <c r="H653" s="1" t="s">
        <v>400</v>
      </c>
      <c r="I653" s="1" t="s">
        <v>318</v>
      </c>
      <c r="J653" s="1" t="s">
        <v>918</v>
      </c>
      <c r="K653" s="1" t="s">
        <v>62</v>
      </c>
      <c r="L653" s="1" t="s">
        <v>401</v>
      </c>
      <c r="N653" s="6">
        <v>2013.0</v>
      </c>
      <c r="O653" s="10">
        <f t="shared" ref="O653:R653" si="693">IFERROR(V653*INDEX($AH$4:$AH$8,MATCH($AA653,$AG$4:$AG$8,0)),"")</f>
        <v>75000000</v>
      </c>
      <c r="P653" s="10">
        <f t="shared" si="693"/>
        <v>69345733.17</v>
      </c>
      <c r="Q653" s="10">
        <f t="shared" si="693"/>
        <v>107877005.6</v>
      </c>
      <c r="R653" s="10">
        <f t="shared" si="693"/>
        <v>0</v>
      </c>
      <c r="S653" s="10">
        <f t="shared" si="4"/>
        <v>107877005.6</v>
      </c>
      <c r="T653" s="10">
        <f t="shared" si="5"/>
        <v>0</v>
      </c>
      <c r="U653" s="8">
        <v>45565.0</v>
      </c>
      <c r="V653" s="7">
        <v>7.5E7</v>
      </c>
      <c r="W653" s="7">
        <v>6.934573317E7</v>
      </c>
      <c r="X653" s="7">
        <v>1.0787700556E8</v>
      </c>
      <c r="Y653" s="7">
        <v>0.0</v>
      </c>
      <c r="Z653" s="7">
        <v>0.0</v>
      </c>
      <c r="AA653" s="6" t="s">
        <v>52</v>
      </c>
      <c r="AB653" s="11" t="str">
        <f t="shared" si="6"/>
        <v>Exclude</v>
      </c>
    </row>
    <row r="654" ht="15.0" customHeight="1">
      <c r="B654" s="6">
        <f t="shared" si="8"/>
        <v>652</v>
      </c>
      <c r="C654" s="1" t="s">
        <v>1047</v>
      </c>
      <c r="D654" s="1" t="str">
        <f t="shared" si="2"/>
        <v>Real Estate &amp; Infra</v>
      </c>
      <c r="E654" s="1" t="s">
        <v>44</v>
      </c>
      <c r="F654" s="1" t="s">
        <v>44</v>
      </c>
      <c r="G654" s="1" t="s">
        <v>1047</v>
      </c>
      <c r="H654" s="1" t="s">
        <v>293</v>
      </c>
      <c r="I654" s="1" t="s">
        <v>318</v>
      </c>
      <c r="J654" s="1" t="s">
        <v>918</v>
      </c>
      <c r="K654" s="1" t="s">
        <v>62</v>
      </c>
      <c r="L654" s="1" t="s">
        <v>294</v>
      </c>
      <c r="N654" s="6">
        <v>2013.0</v>
      </c>
      <c r="O654" s="10">
        <f t="shared" ref="O654:R654" si="694">IFERROR(V654*INDEX($AH$4:$AH$8,MATCH($AA654,$AG$4:$AG$8,0)),"")</f>
        <v>75000000</v>
      </c>
      <c r="P654" s="10">
        <f t="shared" si="694"/>
        <v>57313036</v>
      </c>
      <c r="Q654" s="10">
        <f t="shared" si="694"/>
        <v>84312251</v>
      </c>
      <c r="R654" s="10">
        <f t="shared" si="694"/>
        <v>0</v>
      </c>
      <c r="S654" s="10">
        <f t="shared" si="4"/>
        <v>84312251</v>
      </c>
      <c r="T654" s="10">
        <f t="shared" si="5"/>
        <v>0</v>
      </c>
      <c r="U654" s="8">
        <v>44196.0</v>
      </c>
      <c r="V654" s="7">
        <v>7.5E7</v>
      </c>
      <c r="W654" s="7">
        <v>5.7313036E7</v>
      </c>
      <c r="X654" s="7">
        <v>8.4312251E7</v>
      </c>
      <c r="Y654" s="7">
        <v>0.0</v>
      </c>
      <c r="Z654" s="7">
        <v>0.0</v>
      </c>
      <c r="AA654" s="6" t="s">
        <v>52</v>
      </c>
      <c r="AB654" s="11" t="str">
        <f t="shared" si="6"/>
        <v>Exclude</v>
      </c>
    </row>
    <row r="655" ht="15.0" customHeight="1">
      <c r="B655" s="6">
        <f t="shared" si="8"/>
        <v>653</v>
      </c>
      <c r="C655" s="1" t="s">
        <v>1048</v>
      </c>
      <c r="D655" s="1" t="str">
        <f t="shared" si="2"/>
        <v>Real Estate &amp; Infra</v>
      </c>
      <c r="E655" s="1" t="s">
        <v>44</v>
      </c>
      <c r="F655" s="1" t="s">
        <v>44</v>
      </c>
      <c r="G655" s="1" t="s">
        <v>1048</v>
      </c>
      <c r="H655" s="1" t="s">
        <v>279</v>
      </c>
      <c r="I655" s="1" t="s">
        <v>318</v>
      </c>
      <c r="J655" s="1" t="s">
        <v>918</v>
      </c>
      <c r="K655" s="1" t="s">
        <v>281</v>
      </c>
      <c r="L655" s="1" t="s">
        <v>282</v>
      </c>
      <c r="N655" s="6">
        <v>2013.0</v>
      </c>
      <c r="O655" s="10">
        <f t="shared" ref="O655:R655" si="695">IFERROR(V655*INDEX($AH$4:$AH$8,MATCH($AA655,$AG$4:$AG$8,0)),"")</f>
        <v>49870000</v>
      </c>
      <c r="P655" s="10">
        <f t="shared" si="695"/>
        <v>49870000</v>
      </c>
      <c r="Q655" s="10">
        <f t="shared" si="695"/>
        <v>94466076.09</v>
      </c>
      <c r="R655" s="10">
        <f t="shared" si="695"/>
        <v>0</v>
      </c>
      <c r="S655" s="10">
        <f t="shared" si="4"/>
        <v>94466076.09</v>
      </c>
      <c r="T655" s="10">
        <f t="shared" si="5"/>
        <v>0</v>
      </c>
      <c r="U655" s="8">
        <v>42598.0</v>
      </c>
      <c r="V655" s="7">
        <v>4.987E7</v>
      </c>
      <c r="W655" s="7">
        <v>4.987E7</v>
      </c>
      <c r="X655" s="7">
        <v>9.446607609E7</v>
      </c>
      <c r="Y655" s="7">
        <v>0.0</v>
      </c>
      <c r="Z655" s="7">
        <v>0.0</v>
      </c>
      <c r="AA655" s="6" t="s">
        <v>52</v>
      </c>
      <c r="AB655" s="11" t="str">
        <f t="shared" si="6"/>
        <v>Exclude</v>
      </c>
    </row>
    <row r="656" ht="15.0" customHeight="1">
      <c r="B656" s="6">
        <f t="shared" si="8"/>
        <v>654</v>
      </c>
      <c r="C656" s="1" t="s">
        <v>1049</v>
      </c>
      <c r="D656" s="1" t="str">
        <f t="shared" si="2"/>
        <v>Real Estate &amp; Infra</v>
      </c>
      <c r="E656" s="1" t="s">
        <v>44</v>
      </c>
      <c r="F656" s="1" t="s">
        <v>44</v>
      </c>
      <c r="G656" s="1" t="s">
        <v>1049</v>
      </c>
      <c r="H656" s="1" t="s">
        <v>981</v>
      </c>
      <c r="I656" s="1" t="s">
        <v>318</v>
      </c>
      <c r="J656" s="1" t="s">
        <v>918</v>
      </c>
      <c r="K656" s="1" t="s">
        <v>62</v>
      </c>
      <c r="L656" s="1" t="s">
        <v>289</v>
      </c>
      <c r="N656" s="6">
        <v>2012.0</v>
      </c>
      <c r="O656" s="10">
        <f t="shared" ref="O656:R656" si="696">IFERROR(V656*INDEX($AH$4:$AH$8,MATCH($AA656,$AG$4:$AG$8,0)),"")</f>
        <v>75000000</v>
      </c>
      <c r="P656" s="10">
        <f t="shared" si="696"/>
        <v>75000000</v>
      </c>
      <c r="Q656" s="10">
        <f t="shared" si="696"/>
        <v>144082568.9</v>
      </c>
      <c r="R656" s="10">
        <f t="shared" si="696"/>
        <v>0</v>
      </c>
      <c r="S656" s="10">
        <f t="shared" si="4"/>
        <v>144082568.9</v>
      </c>
      <c r="T656" s="10">
        <f t="shared" si="5"/>
        <v>0</v>
      </c>
      <c r="U656" s="8">
        <v>44104.0</v>
      </c>
      <c r="V656" s="7">
        <v>7.5E7</v>
      </c>
      <c r="W656" s="7">
        <v>7.5E7</v>
      </c>
      <c r="X656" s="7">
        <v>1.4408256894E8</v>
      </c>
      <c r="Y656" s="7">
        <v>0.0</v>
      </c>
      <c r="Z656" s="7">
        <v>0.0</v>
      </c>
      <c r="AA656" s="6" t="s">
        <v>52</v>
      </c>
      <c r="AB656" s="11" t="str">
        <f t="shared" si="6"/>
        <v>Exclude</v>
      </c>
    </row>
    <row r="657" ht="15.0" customHeight="1">
      <c r="B657" s="6">
        <f t="shared" si="8"/>
        <v>655</v>
      </c>
      <c r="C657" s="1" t="s">
        <v>1050</v>
      </c>
      <c r="D657" s="1" t="str">
        <f t="shared" si="2"/>
        <v>Real Estate &amp; Infra</v>
      </c>
      <c r="E657" s="1" t="s">
        <v>44</v>
      </c>
      <c r="F657" s="1" t="s">
        <v>44</v>
      </c>
      <c r="G657" s="1" t="s">
        <v>1050</v>
      </c>
      <c r="H657" s="1" t="s">
        <v>37</v>
      </c>
      <c r="I657" s="1" t="s">
        <v>318</v>
      </c>
      <c r="J657" s="1" t="s">
        <v>918</v>
      </c>
      <c r="K657" s="1" t="s">
        <v>62</v>
      </c>
      <c r="L657" s="1" t="s">
        <v>401</v>
      </c>
      <c r="N657" s="6">
        <v>2013.0</v>
      </c>
      <c r="O657" s="10">
        <f t="shared" ref="O657:R657" si="697">IFERROR(V657*INDEX($AH$4:$AH$8,MATCH($AA657,$AG$4:$AG$8,0)),"")</f>
        <v>100000000</v>
      </c>
      <c r="P657" s="10">
        <f t="shared" si="697"/>
        <v>101583644.8</v>
      </c>
      <c r="Q657" s="10">
        <f t="shared" si="697"/>
        <v>119222970.6</v>
      </c>
      <c r="R657" s="10">
        <f t="shared" si="697"/>
        <v>0</v>
      </c>
      <c r="S657" s="10">
        <f t="shared" si="4"/>
        <v>119222970.6</v>
      </c>
      <c r="T657" s="10">
        <f t="shared" si="5"/>
        <v>0.16</v>
      </c>
      <c r="U657" s="8">
        <v>45808.0</v>
      </c>
      <c r="V657" s="7">
        <v>1.0E8</v>
      </c>
      <c r="W657" s="7">
        <v>1.0158364484E8</v>
      </c>
      <c r="X657" s="7">
        <v>1.1922297058E8</v>
      </c>
      <c r="Y657" s="7">
        <v>0.0</v>
      </c>
      <c r="Z657" s="7">
        <v>0.16</v>
      </c>
      <c r="AA657" s="6" t="s">
        <v>52</v>
      </c>
      <c r="AB657" s="11" t="str">
        <f t="shared" si="6"/>
        <v>Exclude</v>
      </c>
    </row>
    <row r="658" ht="15.0" customHeight="1">
      <c r="B658" s="6">
        <f t="shared" si="8"/>
        <v>656</v>
      </c>
      <c r="C658" s="1" t="s">
        <v>1051</v>
      </c>
      <c r="D658" s="1" t="str">
        <f t="shared" si="2"/>
        <v>Real Estate &amp; Infra</v>
      </c>
      <c r="E658" s="1" t="s">
        <v>44</v>
      </c>
      <c r="F658" s="1" t="s">
        <v>44</v>
      </c>
      <c r="G658" s="1" t="s">
        <v>1051</v>
      </c>
      <c r="H658" s="1" t="s">
        <v>1033</v>
      </c>
      <c r="I658" s="1" t="s">
        <v>318</v>
      </c>
      <c r="J658" s="1" t="s">
        <v>918</v>
      </c>
      <c r="K658" s="1" t="s">
        <v>62</v>
      </c>
      <c r="L658" s="1" t="s">
        <v>289</v>
      </c>
      <c r="N658" s="6">
        <v>2013.0</v>
      </c>
      <c r="O658" s="10">
        <f t="shared" ref="O658:R658" si="698">IFERROR(V658*INDEX($AH$4:$AH$8,MATCH($AA658,$AG$4:$AG$8,0)),"")</f>
        <v>75000000</v>
      </c>
      <c r="P658" s="10">
        <f t="shared" si="698"/>
        <v>72682500</v>
      </c>
      <c r="Q658" s="10">
        <f t="shared" si="698"/>
        <v>117047855.2</v>
      </c>
      <c r="R658" s="10">
        <f t="shared" si="698"/>
        <v>0</v>
      </c>
      <c r="S658" s="10">
        <f t="shared" si="4"/>
        <v>117047855.2</v>
      </c>
      <c r="T658" s="10">
        <f t="shared" si="5"/>
        <v>0</v>
      </c>
      <c r="U658" s="8">
        <v>43813.0</v>
      </c>
      <c r="V658" s="7">
        <v>7.5E7</v>
      </c>
      <c r="W658" s="7">
        <v>7.26825E7</v>
      </c>
      <c r="X658" s="7">
        <v>1.1704785518E8</v>
      </c>
      <c r="Y658" s="7">
        <v>0.0</v>
      </c>
      <c r="Z658" s="7">
        <v>0.0</v>
      </c>
      <c r="AA658" s="6" t="s">
        <v>52</v>
      </c>
      <c r="AB658" s="11" t="str">
        <f t="shared" si="6"/>
        <v>Exclude</v>
      </c>
    </row>
    <row r="659" ht="15.0" customHeight="1">
      <c r="B659" s="6">
        <f t="shared" si="8"/>
        <v>657</v>
      </c>
      <c r="C659" s="1" t="s">
        <v>1052</v>
      </c>
      <c r="D659" s="1" t="str">
        <f t="shared" si="2"/>
        <v>Real Estate &amp; Infra</v>
      </c>
      <c r="E659" s="1" t="s">
        <v>44</v>
      </c>
      <c r="F659" s="1" t="s">
        <v>44</v>
      </c>
      <c r="G659" s="1" t="s">
        <v>1052</v>
      </c>
      <c r="H659" s="1" t="s">
        <v>288</v>
      </c>
      <c r="I659" s="1" t="s">
        <v>318</v>
      </c>
      <c r="J659" s="1" t="s">
        <v>918</v>
      </c>
      <c r="K659" s="1" t="s">
        <v>62</v>
      </c>
      <c r="L659" s="1" t="s">
        <v>289</v>
      </c>
      <c r="N659" s="6">
        <v>2013.0</v>
      </c>
      <c r="O659" s="10">
        <f t="shared" ref="O659:R659" si="699">IFERROR(V659*INDEX($AH$4:$AH$8,MATCH($AA659,$AG$4:$AG$8,0)),"")</f>
        <v>100000000</v>
      </c>
      <c r="P659" s="10">
        <f t="shared" si="699"/>
        <v>48051920.14</v>
      </c>
      <c r="Q659" s="10">
        <f t="shared" si="699"/>
        <v>53461644.48</v>
      </c>
      <c r="R659" s="10">
        <f t="shared" si="699"/>
        <v>172155</v>
      </c>
      <c r="S659" s="10">
        <f t="shared" si="4"/>
        <v>53633799.48</v>
      </c>
      <c r="T659" s="10">
        <f t="shared" si="5"/>
        <v>-0.13</v>
      </c>
      <c r="U659" s="8">
        <v>46112.0</v>
      </c>
      <c r="V659" s="7">
        <v>1.0E8</v>
      </c>
      <c r="W659" s="7">
        <v>4.805192014E7</v>
      </c>
      <c r="X659" s="7">
        <v>5.346164448E7</v>
      </c>
      <c r="Y659" s="7">
        <v>172155.0</v>
      </c>
      <c r="Z659" s="7">
        <v>-0.13</v>
      </c>
      <c r="AA659" s="6" t="s">
        <v>52</v>
      </c>
      <c r="AB659" s="11" t="str">
        <f t="shared" si="6"/>
        <v>Include</v>
      </c>
      <c r="AC659" s="1">
        <f t="shared" ref="AC659:AC660" si="701">S659/P659</f>
        <v>1.116163502</v>
      </c>
    </row>
    <row r="660" ht="15.0" customHeight="1">
      <c r="B660" s="6">
        <f t="shared" si="8"/>
        <v>658</v>
      </c>
      <c r="C660" s="1" t="s">
        <v>1053</v>
      </c>
      <c r="D660" s="1" t="str">
        <f t="shared" si="2"/>
        <v>Real Estate &amp; Infra</v>
      </c>
      <c r="E660" s="1" t="s">
        <v>44</v>
      </c>
      <c r="F660" s="1" t="s">
        <v>44</v>
      </c>
      <c r="G660" s="1" t="s">
        <v>1053</v>
      </c>
      <c r="H660" s="1" t="s">
        <v>413</v>
      </c>
      <c r="I660" s="1" t="s">
        <v>318</v>
      </c>
      <c r="J660" s="1" t="s">
        <v>918</v>
      </c>
      <c r="K660" s="1" t="s">
        <v>62</v>
      </c>
      <c r="L660" s="1" t="s">
        <v>289</v>
      </c>
      <c r="N660" s="6">
        <v>2013.0</v>
      </c>
      <c r="O660" s="10">
        <f t="shared" ref="O660:R660" si="700">IFERROR(V660*INDEX($AH$4:$AH$8,MATCH($AA660,$AG$4:$AG$8,0)),"")</f>
        <v>75000000</v>
      </c>
      <c r="P660" s="10">
        <f t="shared" si="700"/>
        <v>70960707.55</v>
      </c>
      <c r="Q660" s="10">
        <f t="shared" si="700"/>
        <v>121830617</v>
      </c>
      <c r="R660" s="10">
        <f t="shared" si="700"/>
        <v>2472175</v>
      </c>
      <c r="S660" s="10">
        <f t="shared" si="4"/>
        <v>124302792</v>
      </c>
      <c r="T660" s="10">
        <f t="shared" si="5"/>
        <v>3680367</v>
      </c>
      <c r="U660" s="8">
        <v>46112.0</v>
      </c>
      <c r="V660" s="7">
        <v>7.5E7</v>
      </c>
      <c r="W660" s="7">
        <v>7.096070755E7</v>
      </c>
      <c r="X660" s="7">
        <v>1.21830617E8</v>
      </c>
      <c r="Y660" s="7">
        <v>2472175.0</v>
      </c>
      <c r="Z660" s="7">
        <v>3680367.0</v>
      </c>
      <c r="AA660" s="6" t="s">
        <v>52</v>
      </c>
      <c r="AB660" s="11" t="str">
        <f t="shared" si="6"/>
        <v>Include</v>
      </c>
      <c r="AC660" s="1">
        <f t="shared" si="701"/>
        <v>1.751712973</v>
      </c>
    </row>
    <row r="661" ht="15.0" customHeight="1">
      <c r="B661" s="6">
        <f t="shared" si="8"/>
        <v>659</v>
      </c>
      <c r="C661" s="1" t="s">
        <v>1054</v>
      </c>
      <c r="D661" s="1" t="str">
        <f t="shared" si="2"/>
        <v>Real Estate &amp; Infra</v>
      </c>
      <c r="E661" s="1" t="s">
        <v>44</v>
      </c>
      <c r="F661" s="1" t="s">
        <v>44</v>
      </c>
      <c r="G661" s="1" t="s">
        <v>1054</v>
      </c>
      <c r="H661" s="1" t="s">
        <v>291</v>
      </c>
      <c r="I661" s="1" t="s">
        <v>318</v>
      </c>
      <c r="J661" s="1" t="s">
        <v>918</v>
      </c>
      <c r="K661" s="1" t="s">
        <v>62</v>
      </c>
      <c r="L661" s="1" t="s">
        <v>289</v>
      </c>
      <c r="N661" s="6">
        <v>2013.0</v>
      </c>
      <c r="O661" s="10">
        <f t="shared" ref="O661:R661" si="702">IFERROR(V661*INDEX($AH$4:$AH$8,MATCH($AA661,$AG$4:$AG$8,0)),"")</f>
        <v>75000000</v>
      </c>
      <c r="P661" s="10">
        <f t="shared" si="702"/>
        <v>72378178.78</v>
      </c>
      <c r="Q661" s="10">
        <f t="shared" si="702"/>
        <v>160087194.8</v>
      </c>
      <c r="R661" s="10">
        <f t="shared" si="702"/>
        <v>0</v>
      </c>
      <c r="S661" s="10">
        <f t="shared" si="4"/>
        <v>160087194.8</v>
      </c>
      <c r="T661" s="10">
        <f t="shared" si="5"/>
        <v>0</v>
      </c>
      <c r="U661" s="8">
        <v>45104.0</v>
      </c>
      <c r="V661" s="7">
        <v>7.5E7</v>
      </c>
      <c r="W661" s="7">
        <v>7.237817878E7</v>
      </c>
      <c r="X661" s="7">
        <v>1.600871948E8</v>
      </c>
      <c r="Y661" s="7">
        <v>0.0</v>
      </c>
      <c r="Z661" s="7">
        <v>0.0</v>
      </c>
      <c r="AA661" s="6" t="s">
        <v>52</v>
      </c>
      <c r="AB661" s="11" t="str">
        <f t="shared" si="6"/>
        <v>Exclude</v>
      </c>
    </row>
    <row r="662" ht="15.0" customHeight="1">
      <c r="B662" s="6">
        <f t="shared" si="8"/>
        <v>660</v>
      </c>
      <c r="C662" s="1" t="s">
        <v>1055</v>
      </c>
      <c r="D662" s="1" t="str">
        <f t="shared" si="2"/>
        <v>Real Estate &amp; Infra</v>
      </c>
      <c r="E662" s="1" t="s">
        <v>44</v>
      </c>
      <c r="F662" s="1" t="s">
        <v>44</v>
      </c>
      <c r="G662" s="1" t="s">
        <v>1055</v>
      </c>
      <c r="H662" s="1" t="s">
        <v>185</v>
      </c>
      <c r="I662" s="1" t="s">
        <v>318</v>
      </c>
      <c r="J662" s="1" t="s">
        <v>918</v>
      </c>
      <c r="K662" s="1" t="s">
        <v>62</v>
      </c>
      <c r="L662" s="1" t="s">
        <v>289</v>
      </c>
      <c r="N662" s="6">
        <v>2014.0</v>
      </c>
      <c r="O662" s="10">
        <f t="shared" ref="O662:R662" si="703">IFERROR(V662*INDEX($AH$4:$AH$8,MATCH($AA662,$AG$4:$AG$8,0)),"")</f>
        <v>75000000</v>
      </c>
      <c r="P662" s="10">
        <f t="shared" si="703"/>
        <v>72748635.54</v>
      </c>
      <c r="Q662" s="10">
        <f t="shared" si="703"/>
        <v>161128000.6</v>
      </c>
      <c r="R662" s="10">
        <f t="shared" si="703"/>
        <v>0</v>
      </c>
      <c r="S662" s="10">
        <f t="shared" si="4"/>
        <v>161128000.6</v>
      </c>
      <c r="T662" s="10">
        <f t="shared" si="5"/>
        <v>0</v>
      </c>
      <c r="U662" s="8">
        <v>45382.0</v>
      </c>
      <c r="V662" s="7">
        <v>7.5E7</v>
      </c>
      <c r="W662" s="7">
        <v>7.274863554E7</v>
      </c>
      <c r="X662" s="7">
        <v>1.6112800062E8</v>
      </c>
      <c r="Y662" s="7">
        <v>0.0</v>
      </c>
      <c r="Z662" s="7">
        <v>0.0</v>
      </c>
      <c r="AA662" s="6" t="s">
        <v>52</v>
      </c>
      <c r="AB662" s="11" t="str">
        <f t="shared" si="6"/>
        <v>Exclude</v>
      </c>
    </row>
    <row r="663" ht="15.0" customHeight="1">
      <c r="B663" s="6">
        <f t="shared" si="8"/>
        <v>661</v>
      </c>
      <c r="C663" s="1" t="s">
        <v>1056</v>
      </c>
      <c r="D663" s="1" t="str">
        <f t="shared" si="2"/>
        <v>Real Estate &amp; Infra</v>
      </c>
      <c r="E663" s="1" t="s">
        <v>44</v>
      </c>
      <c r="F663" s="1" t="s">
        <v>44</v>
      </c>
      <c r="G663" s="1" t="s">
        <v>1056</v>
      </c>
      <c r="H663" s="1" t="s">
        <v>297</v>
      </c>
      <c r="I663" s="1" t="s">
        <v>318</v>
      </c>
      <c r="J663" s="1" t="s">
        <v>918</v>
      </c>
      <c r="K663" s="1" t="s">
        <v>62</v>
      </c>
      <c r="L663" s="1" t="s">
        <v>289</v>
      </c>
      <c r="N663" s="6">
        <v>2013.0</v>
      </c>
      <c r="O663" s="10">
        <f t="shared" ref="O663:R663" si="704">IFERROR(V663*INDEX($AH$4:$AH$8,MATCH($AA663,$AG$4:$AG$8,0)),"")</f>
        <v>100000000</v>
      </c>
      <c r="P663" s="10">
        <f t="shared" si="704"/>
        <v>103504281</v>
      </c>
      <c r="Q663" s="10">
        <f t="shared" si="704"/>
        <v>115933088</v>
      </c>
      <c r="R663" s="10">
        <f t="shared" si="704"/>
        <v>3389050</v>
      </c>
      <c r="S663" s="10">
        <f t="shared" si="4"/>
        <v>119322138</v>
      </c>
      <c r="T663" s="10">
        <f t="shared" si="5"/>
        <v>2074074</v>
      </c>
      <c r="U663" s="8">
        <v>46112.0</v>
      </c>
      <c r="V663" s="7">
        <v>1.0E8</v>
      </c>
      <c r="W663" s="7">
        <v>1.03504281E8</v>
      </c>
      <c r="X663" s="7">
        <v>1.15933088E8</v>
      </c>
      <c r="Y663" s="7">
        <v>3389050.0</v>
      </c>
      <c r="Z663" s="7">
        <v>2074074.0</v>
      </c>
      <c r="AA663" s="6" t="s">
        <v>52</v>
      </c>
      <c r="AB663" s="11" t="str">
        <f t="shared" si="6"/>
        <v>Include</v>
      </c>
      <c r="AC663" s="1">
        <f t="shared" ref="AC663:AC669" si="706">S663/P663</f>
        <v>1.152823215</v>
      </c>
    </row>
    <row r="664" ht="15.0" customHeight="1">
      <c r="B664" s="6">
        <f t="shared" si="8"/>
        <v>662</v>
      </c>
      <c r="C664" s="1" t="s">
        <v>1057</v>
      </c>
      <c r="D664" s="1" t="str">
        <f t="shared" si="2"/>
        <v>Real Estate &amp; Infra</v>
      </c>
      <c r="E664" s="1" t="s">
        <v>44</v>
      </c>
      <c r="F664" s="1" t="s">
        <v>44</v>
      </c>
      <c r="G664" s="1" t="s">
        <v>1057</v>
      </c>
      <c r="H664" s="1" t="s">
        <v>37</v>
      </c>
      <c r="I664" s="1" t="s">
        <v>318</v>
      </c>
      <c r="J664" s="1" t="s">
        <v>918</v>
      </c>
      <c r="K664" s="1" t="s">
        <v>281</v>
      </c>
      <c r="L664" s="1" t="s">
        <v>1009</v>
      </c>
      <c r="N664" s="6">
        <v>2013.0</v>
      </c>
      <c r="O664" s="10">
        <f t="shared" ref="O664:R664" si="705">IFERROR(V664*INDEX($AH$4:$AH$8,MATCH($AA664,$AG$4:$AG$8,0)),"")</f>
        <v>100000000</v>
      </c>
      <c r="P664" s="10">
        <f t="shared" si="705"/>
        <v>102710240</v>
      </c>
      <c r="Q664" s="10">
        <f t="shared" si="705"/>
        <v>130179337.6</v>
      </c>
      <c r="R664" s="10">
        <f t="shared" si="705"/>
        <v>10824124</v>
      </c>
      <c r="S664" s="10">
        <f t="shared" si="4"/>
        <v>141003461.6</v>
      </c>
      <c r="T664" s="10">
        <f t="shared" si="5"/>
        <v>8288228.91</v>
      </c>
      <c r="U664" s="8">
        <v>46112.0</v>
      </c>
      <c r="V664" s="7">
        <v>1.0E8</v>
      </c>
      <c r="W664" s="7">
        <v>1.0271023997E8</v>
      </c>
      <c r="X664" s="7">
        <v>1.3017933758E8</v>
      </c>
      <c r="Y664" s="7">
        <v>1.0824124E7</v>
      </c>
      <c r="Z664" s="7">
        <v>8288228.91</v>
      </c>
      <c r="AA664" s="6" t="s">
        <v>52</v>
      </c>
      <c r="AB664" s="11" t="str">
        <f t="shared" si="6"/>
        <v>Include</v>
      </c>
      <c r="AC664" s="1">
        <f t="shared" si="706"/>
        <v>1.372827691</v>
      </c>
    </row>
    <row r="665" ht="15.0" customHeight="1">
      <c r="B665" s="6">
        <f t="shared" si="8"/>
        <v>663</v>
      </c>
      <c r="C665" s="1" t="s">
        <v>1058</v>
      </c>
      <c r="D665" s="1" t="str">
        <f t="shared" si="2"/>
        <v>Real Estate &amp; Infra</v>
      </c>
      <c r="E665" s="1" t="s">
        <v>44</v>
      </c>
      <c r="F665" s="1" t="s">
        <v>44</v>
      </c>
      <c r="G665" s="1" t="s">
        <v>1058</v>
      </c>
      <c r="H665" s="1" t="s">
        <v>97</v>
      </c>
      <c r="I665" s="1" t="s">
        <v>318</v>
      </c>
      <c r="J665" s="1" t="s">
        <v>918</v>
      </c>
      <c r="K665" s="1" t="s">
        <v>281</v>
      </c>
      <c r="L665" s="1" t="s">
        <v>282</v>
      </c>
      <c r="N665" s="6">
        <v>2014.0</v>
      </c>
      <c r="O665" s="10">
        <f t="shared" ref="O665:R665" si="707">IFERROR(V665*INDEX($AH$4:$AH$8,MATCH($AA665,$AG$4:$AG$8,0)),"")</f>
        <v>100000000</v>
      </c>
      <c r="P665" s="10">
        <f t="shared" si="707"/>
        <v>97288272.01</v>
      </c>
      <c r="Q665" s="10">
        <f t="shared" si="707"/>
        <v>116441084</v>
      </c>
      <c r="R665" s="10">
        <f t="shared" si="707"/>
        <v>14458245</v>
      </c>
      <c r="S665" s="10">
        <f t="shared" si="4"/>
        <v>130899329</v>
      </c>
      <c r="T665" s="10">
        <f t="shared" si="5"/>
        <v>28834937.99</v>
      </c>
      <c r="U665" s="8">
        <v>46112.0</v>
      </c>
      <c r="V665" s="7">
        <v>1.0E8</v>
      </c>
      <c r="W665" s="7">
        <v>9.728827201E7</v>
      </c>
      <c r="X665" s="7">
        <v>1.16441084E8</v>
      </c>
      <c r="Y665" s="7">
        <v>1.4458245E7</v>
      </c>
      <c r="Z665" s="7">
        <v>2.883493799E7</v>
      </c>
      <c r="AA665" s="6" t="s">
        <v>52</v>
      </c>
      <c r="AB665" s="11" t="str">
        <f t="shared" si="6"/>
        <v>Include</v>
      </c>
      <c r="AC665" s="1">
        <f t="shared" si="706"/>
        <v>1.345479021</v>
      </c>
    </row>
    <row r="666" ht="15.0" customHeight="1">
      <c r="B666" s="6">
        <f t="shared" si="8"/>
        <v>664</v>
      </c>
      <c r="C666" s="1" t="s">
        <v>1059</v>
      </c>
      <c r="D666" s="1" t="str">
        <f t="shared" si="2"/>
        <v>Real Estate &amp; Infra</v>
      </c>
      <c r="E666" s="1" t="s">
        <v>44</v>
      </c>
      <c r="F666" s="1" t="s">
        <v>44</v>
      </c>
      <c r="G666" s="1" t="s">
        <v>1059</v>
      </c>
      <c r="H666" s="1" t="s">
        <v>413</v>
      </c>
      <c r="I666" s="1" t="s">
        <v>318</v>
      </c>
      <c r="J666" s="1" t="s">
        <v>918</v>
      </c>
      <c r="K666" s="1" t="s">
        <v>281</v>
      </c>
      <c r="L666" s="1" t="s">
        <v>1009</v>
      </c>
      <c r="N666" s="6">
        <v>2013.0</v>
      </c>
      <c r="O666" s="10">
        <f t="shared" ref="O666:R666" si="708">IFERROR(V666*INDEX($AH$4:$AH$8,MATCH($AA666,$AG$4:$AG$8,0)),"")</f>
        <v>100000000</v>
      </c>
      <c r="P666" s="10">
        <f t="shared" si="708"/>
        <v>98193525.69</v>
      </c>
      <c r="Q666" s="10">
        <f t="shared" si="708"/>
        <v>130715600</v>
      </c>
      <c r="R666" s="10">
        <f t="shared" si="708"/>
        <v>4022980</v>
      </c>
      <c r="S666" s="10">
        <f t="shared" si="4"/>
        <v>134738580</v>
      </c>
      <c r="T666" s="10">
        <f t="shared" si="5"/>
        <v>8023358.26</v>
      </c>
      <c r="U666" s="8">
        <v>46112.0</v>
      </c>
      <c r="V666" s="7">
        <v>1.0E8</v>
      </c>
      <c r="W666" s="7">
        <v>9.819352569E7</v>
      </c>
      <c r="X666" s="7">
        <v>1.3071560004E8</v>
      </c>
      <c r="Y666" s="7">
        <v>4022980.0</v>
      </c>
      <c r="Z666" s="7">
        <v>8023358.26</v>
      </c>
      <c r="AA666" s="6" t="s">
        <v>52</v>
      </c>
      <c r="AB666" s="11" t="str">
        <f t="shared" si="6"/>
        <v>Include</v>
      </c>
      <c r="AC666" s="1">
        <f t="shared" si="706"/>
        <v>1.372173767</v>
      </c>
    </row>
    <row r="667" ht="15.0" customHeight="1">
      <c r="B667" s="6">
        <f t="shared" si="8"/>
        <v>665</v>
      </c>
      <c r="C667" s="1" t="s">
        <v>1060</v>
      </c>
      <c r="D667" s="1" t="str">
        <f t="shared" si="2"/>
        <v>Real Estate &amp; Infra</v>
      </c>
      <c r="E667" s="1" t="s">
        <v>44</v>
      </c>
      <c r="F667" s="1" t="s">
        <v>44</v>
      </c>
      <c r="G667" s="1" t="s">
        <v>1060</v>
      </c>
      <c r="H667" s="1" t="s">
        <v>305</v>
      </c>
      <c r="I667" s="1" t="s">
        <v>318</v>
      </c>
      <c r="J667" s="1" t="s">
        <v>918</v>
      </c>
      <c r="K667" s="1" t="s">
        <v>62</v>
      </c>
      <c r="L667" s="1" t="s">
        <v>289</v>
      </c>
      <c r="N667" s="6">
        <v>2015.0</v>
      </c>
      <c r="O667" s="10">
        <f t="shared" ref="O667:R667" si="709">IFERROR(V667*INDEX($AH$4:$AH$8,MATCH($AA667,$AG$4:$AG$8,0)),"")</f>
        <v>100000000</v>
      </c>
      <c r="P667" s="10">
        <f t="shared" si="709"/>
        <v>98137155.59</v>
      </c>
      <c r="Q667" s="10">
        <f t="shared" si="709"/>
        <v>126612780</v>
      </c>
      <c r="R667" s="10">
        <f t="shared" si="709"/>
        <v>55830660</v>
      </c>
      <c r="S667" s="10">
        <f t="shared" si="4"/>
        <v>182443440</v>
      </c>
      <c r="T667" s="10">
        <f t="shared" si="5"/>
        <v>13504042</v>
      </c>
      <c r="U667" s="8">
        <v>46112.0</v>
      </c>
      <c r="V667" s="7">
        <v>1.0E8</v>
      </c>
      <c r="W667" s="7">
        <v>9.813715559E7</v>
      </c>
      <c r="X667" s="7">
        <v>1.2661278E8</v>
      </c>
      <c r="Y667" s="7">
        <v>5.583066E7</v>
      </c>
      <c r="Z667" s="7">
        <v>1.3504042E7</v>
      </c>
      <c r="AA667" s="6" t="s">
        <v>52</v>
      </c>
      <c r="AB667" s="11" t="str">
        <f t="shared" si="6"/>
        <v>Include</v>
      </c>
      <c r="AC667" s="1">
        <f t="shared" si="706"/>
        <v>1.859065905</v>
      </c>
    </row>
    <row r="668" ht="15.0" customHeight="1">
      <c r="B668" s="6">
        <f t="shared" si="8"/>
        <v>666</v>
      </c>
      <c r="C668" s="1" t="s">
        <v>1061</v>
      </c>
      <c r="D668" s="1" t="str">
        <f t="shared" si="2"/>
        <v>Real Estate &amp; Infra</v>
      </c>
      <c r="E668" s="1" t="s">
        <v>44</v>
      </c>
      <c r="F668" s="1" t="s">
        <v>44</v>
      </c>
      <c r="G668" s="1" t="s">
        <v>1061</v>
      </c>
      <c r="H668" s="1" t="s">
        <v>332</v>
      </c>
      <c r="I668" s="1" t="s">
        <v>318</v>
      </c>
      <c r="J668" s="1" t="s">
        <v>918</v>
      </c>
      <c r="K668" s="1" t="s">
        <v>54</v>
      </c>
      <c r="L668" s="1" t="s">
        <v>286</v>
      </c>
      <c r="N668" s="6">
        <v>2014.0</v>
      </c>
      <c r="O668" s="10">
        <f t="shared" ref="O668:R668" si="710">IFERROR(V668*INDEX($AH$4:$AH$8,MATCH($AA668,$AG$4:$AG$8,0)),"")</f>
        <v>100000000</v>
      </c>
      <c r="P668" s="10">
        <f t="shared" si="710"/>
        <v>94906362</v>
      </c>
      <c r="Q668" s="10">
        <f t="shared" si="710"/>
        <v>84937397</v>
      </c>
      <c r="R668" s="10">
        <f t="shared" si="710"/>
        <v>23911371</v>
      </c>
      <c r="S668" s="10">
        <f t="shared" si="4"/>
        <v>108848768</v>
      </c>
      <c r="T668" s="10">
        <f t="shared" si="5"/>
        <v>8732500</v>
      </c>
      <c r="U668" s="8">
        <v>46112.0</v>
      </c>
      <c r="V668" s="7">
        <v>1.0E8</v>
      </c>
      <c r="W668" s="7">
        <v>9.4906362E7</v>
      </c>
      <c r="X668" s="7">
        <v>8.4937397E7</v>
      </c>
      <c r="Y668" s="7">
        <v>2.3911371E7</v>
      </c>
      <c r="Z668" s="7">
        <v>8732500.0</v>
      </c>
      <c r="AA668" s="6" t="s">
        <v>52</v>
      </c>
      <c r="AB668" s="11" t="str">
        <f t="shared" si="6"/>
        <v>Include</v>
      </c>
      <c r="AC668" s="1">
        <f t="shared" si="706"/>
        <v>1.146906969</v>
      </c>
    </row>
    <row r="669" ht="15.0" customHeight="1">
      <c r="B669" s="6">
        <f t="shared" si="8"/>
        <v>667</v>
      </c>
      <c r="C669" s="1" t="s">
        <v>1062</v>
      </c>
      <c r="D669" s="1" t="str">
        <f t="shared" si="2"/>
        <v>Real Estate &amp; Infra</v>
      </c>
      <c r="E669" s="1" t="s">
        <v>44</v>
      </c>
      <c r="F669" s="1" t="s">
        <v>44</v>
      </c>
      <c r="G669" s="1" t="s">
        <v>1062</v>
      </c>
      <c r="H669" s="1" t="s">
        <v>971</v>
      </c>
      <c r="I669" s="1" t="s">
        <v>318</v>
      </c>
      <c r="J669" s="1" t="s">
        <v>918</v>
      </c>
      <c r="K669" s="1" t="s">
        <v>62</v>
      </c>
      <c r="L669" s="1" t="s">
        <v>289</v>
      </c>
      <c r="N669" s="6">
        <v>2015.0</v>
      </c>
      <c r="O669" s="10">
        <f t="shared" ref="O669:R669" si="711">IFERROR(V669*INDEX($AH$4:$AH$8,MATCH($AA669,$AG$4:$AG$8,0)),"")</f>
        <v>100000000</v>
      </c>
      <c r="P669" s="10">
        <f t="shared" si="711"/>
        <v>82665343.21</v>
      </c>
      <c r="Q669" s="10">
        <f t="shared" si="711"/>
        <v>59115916.8</v>
      </c>
      <c r="R669" s="10">
        <f t="shared" si="711"/>
        <v>54989376.92</v>
      </c>
      <c r="S669" s="10">
        <f t="shared" si="4"/>
        <v>114105293.7</v>
      </c>
      <c r="T669" s="10">
        <f t="shared" si="5"/>
        <v>9180383.38</v>
      </c>
      <c r="U669" s="8">
        <v>46112.0</v>
      </c>
      <c r="V669" s="7">
        <v>1.0E8</v>
      </c>
      <c r="W669" s="7">
        <v>8.266534321E7</v>
      </c>
      <c r="X669" s="7">
        <v>5.91159168E7</v>
      </c>
      <c r="Y669" s="7">
        <v>5.498937692E7</v>
      </c>
      <c r="Z669" s="7">
        <v>9180383.38</v>
      </c>
      <c r="AA669" s="6" t="s">
        <v>52</v>
      </c>
      <c r="AB669" s="11" t="str">
        <f t="shared" si="6"/>
        <v>Include</v>
      </c>
      <c r="AC669" s="1">
        <f t="shared" si="706"/>
        <v>1.380328071</v>
      </c>
    </row>
    <row r="670" ht="15.0" customHeight="1">
      <c r="B670" s="6">
        <f t="shared" si="8"/>
        <v>668</v>
      </c>
      <c r="C670" s="1" t="s">
        <v>1063</v>
      </c>
      <c r="D670" s="1" t="str">
        <f t="shared" si="2"/>
        <v>Real Estate &amp; Infra</v>
      </c>
      <c r="E670" s="1" t="s">
        <v>44</v>
      </c>
      <c r="F670" s="1" t="s">
        <v>44</v>
      </c>
      <c r="G670" s="1" t="s">
        <v>1063</v>
      </c>
      <c r="H670" s="1" t="s">
        <v>1033</v>
      </c>
      <c r="I670" s="1" t="s">
        <v>318</v>
      </c>
      <c r="J670" s="1" t="s">
        <v>918</v>
      </c>
      <c r="K670" s="1" t="s">
        <v>54</v>
      </c>
      <c r="L670" s="1" t="s">
        <v>286</v>
      </c>
      <c r="N670" s="6">
        <v>2014.0</v>
      </c>
      <c r="O670" s="10">
        <f t="shared" ref="O670:R670" si="712">IFERROR(V670*INDEX($AH$4:$AH$8,MATCH($AA670,$AG$4:$AG$8,0)),"")</f>
        <v>150000000</v>
      </c>
      <c r="P670" s="10">
        <f t="shared" si="712"/>
        <v>147291000</v>
      </c>
      <c r="Q670" s="10">
        <f t="shared" si="712"/>
        <v>243209693</v>
      </c>
      <c r="R670" s="10">
        <f t="shared" si="712"/>
        <v>0</v>
      </c>
      <c r="S670" s="10">
        <f t="shared" si="4"/>
        <v>243209693</v>
      </c>
      <c r="T670" s="10">
        <f t="shared" si="5"/>
        <v>0</v>
      </c>
      <c r="U670" s="8">
        <v>44547.0</v>
      </c>
      <c r="V670" s="7">
        <v>1.5E8</v>
      </c>
      <c r="W670" s="7">
        <v>1.47291E8</v>
      </c>
      <c r="X670" s="7">
        <v>2.4320969295E8</v>
      </c>
      <c r="Y670" s="7">
        <v>0.0</v>
      </c>
      <c r="Z670" s="7">
        <v>0.0</v>
      </c>
      <c r="AA670" s="6" t="s">
        <v>52</v>
      </c>
      <c r="AB670" s="11" t="str">
        <f t="shared" si="6"/>
        <v>Exclude</v>
      </c>
    </row>
    <row r="671" ht="15.0" customHeight="1">
      <c r="B671" s="6">
        <f t="shared" si="8"/>
        <v>669</v>
      </c>
      <c r="C671" s="1" t="s">
        <v>1064</v>
      </c>
      <c r="D671" s="1" t="str">
        <f t="shared" si="2"/>
        <v>Real Estate &amp; Infra</v>
      </c>
      <c r="E671" s="1" t="s">
        <v>44</v>
      </c>
      <c r="F671" s="1" t="s">
        <v>44</v>
      </c>
      <c r="G671" s="1" t="s">
        <v>1064</v>
      </c>
      <c r="H671" s="1" t="s">
        <v>37</v>
      </c>
      <c r="I671" s="1" t="s">
        <v>318</v>
      </c>
      <c r="J671" s="1" t="s">
        <v>918</v>
      </c>
      <c r="K671" s="1" t="s">
        <v>281</v>
      </c>
      <c r="L671" s="1" t="s">
        <v>314</v>
      </c>
      <c r="N671" s="6">
        <v>2015.0</v>
      </c>
      <c r="O671" s="10">
        <f t="shared" ref="O671:R671" si="713">IFERROR(V671*INDEX($AH$4:$AH$8,MATCH($AA671,$AG$4:$AG$8,0)),"")</f>
        <v>300000000</v>
      </c>
      <c r="P671" s="10">
        <f t="shared" si="713"/>
        <v>367569341.6</v>
      </c>
      <c r="Q671" s="10">
        <f t="shared" si="713"/>
        <v>410857484.8</v>
      </c>
      <c r="R671" s="10">
        <f t="shared" si="713"/>
        <v>151721828</v>
      </c>
      <c r="S671" s="10">
        <f t="shared" si="4"/>
        <v>562579312.8</v>
      </c>
      <c r="T671" s="10">
        <f t="shared" si="5"/>
        <v>24635280.91</v>
      </c>
      <c r="U671" s="8">
        <v>46112.0</v>
      </c>
      <c r="V671" s="7">
        <v>3.0E8</v>
      </c>
      <c r="W671" s="7">
        <v>3.6756934159E8</v>
      </c>
      <c r="X671" s="7">
        <v>4.1085748475E8</v>
      </c>
      <c r="Y671" s="7">
        <v>1.51721828E8</v>
      </c>
      <c r="Z671" s="7">
        <v>2.463528091E7</v>
      </c>
      <c r="AA671" s="6" t="s">
        <v>52</v>
      </c>
      <c r="AB671" s="11" t="str">
        <f t="shared" si="6"/>
        <v>Include</v>
      </c>
      <c r="AC671" s="1">
        <f>S671/P671</f>
        <v>1.530539273</v>
      </c>
    </row>
    <row r="672" ht="15.0" customHeight="1">
      <c r="B672" s="6">
        <f t="shared" si="8"/>
        <v>670</v>
      </c>
      <c r="C672" s="1" t="s">
        <v>1065</v>
      </c>
      <c r="D672" s="1" t="str">
        <f t="shared" si="2"/>
        <v>Real Estate &amp; Infra</v>
      </c>
      <c r="E672" s="1" t="s">
        <v>44</v>
      </c>
      <c r="F672" s="1" t="s">
        <v>44</v>
      </c>
      <c r="G672" s="1" t="s">
        <v>1065</v>
      </c>
      <c r="H672" s="1" t="s">
        <v>981</v>
      </c>
      <c r="I672" s="1" t="s">
        <v>318</v>
      </c>
      <c r="J672" s="1" t="s">
        <v>918</v>
      </c>
      <c r="K672" s="1" t="s">
        <v>62</v>
      </c>
      <c r="L672" s="1" t="s">
        <v>289</v>
      </c>
      <c r="N672" s="6">
        <v>2015.0</v>
      </c>
      <c r="O672" s="10">
        <f t="shared" ref="O672:R672" si="714">IFERROR(V672*INDEX($AH$4:$AH$8,MATCH($AA672,$AG$4:$AG$8,0)),"")</f>
        <v>75000000</v>
      </c>
      <c r="P672" s="10">
        <f t="shared" si="714"/>
        <v>75000000</v>
      </c>
      <c r="Q672" s="10">
        <f t="shared" si="714"/>
        <v>141222534.1</v>
      </c>
      <c r="R672" s="10">
        <f t="shared" si="714"/>
        <v>0</v>
      </c>
      <c r="S672" s="10">
        <f t="shared" si="4"/>
        <v>141222534.1</v>
      </c>
      <c r="T672" s="10">
        <f t="shared" si="5"/>
        <v>0</v>
      </c>
      <c r="U672" s="8">
        <v>45602.0</v>
      </c>
      <c r="V672" s="7">
        <v>7.5E7</v>
      </c>
      <c r="W672" s="7">
        <v>7.5E7</v>
      </c>
      <c r="X672" s="7">
        <v>1.4122253405E8</v>
      </c>
      <c r="Y672" s="7">
        <v>0.0</v>
      </c>
      <c r="Z672" s="7">
        <v>0.0</v>
      </c>
      <c r="AA672" s="6" t="s">
        <v>52</v>
      </c>
      <c r="AB672" s="11" t="str">
        <f t="shared" si="6"/>
        <v>Exclude</v>
      </c>
    </row>
    <row r="673" ht="15.0" customHeight="1">
      <c r="B673" s="6">
        <f t="shared" si="8"/>
        <v>671</v>
      </c>
      <c r="C673" s="1" t="s">
        <v>1066</v>
      </c>
      <c r="D673" s="1" t="str">
        <f t="shared" si="2"/>
        <v>Real Estate &amp; Infra</v>
      </c>
      <c r="E673" s="1" t="s">
        <v>44</v>
      </c>
      <c r="F673" s="1" t="s">
        <v>44</v>
      </c>
      <c r="G673" s="1" t="s">
        <v>1066</v>
      </c>
      <c r="H673" s="1" t="s">
        <v>37</v>
      </c>
      <c r="I673" s="1" t="s">
        <v>318</v>
      </c>
      <c r="J673" s="1" t="s">
        <v>918</v>
      </c>
      <c r="K673" s="1" t="s">
        <v>62</v>
      </c>
      <c r="L673" s="1" t="s">
        <v>401</v>
      </c>
      <c r="N673" s="6">
        <v>2016.0</v>
      </c>
      <c r="O673" s="10">
        <f t="shared" ref="O673:R673" si="715">IFERROR(V673*INDEX($AH$4:$AH$8,MATCH($AA673,$AG$4:$AG$8,0)),"")</f>
        <v>100000000</v>
      </c>
      <c r="P673" s="10">
        <f t="shared" si="715"/>
        <v>111282195.6</v>
      </c>
      <c r="Q673" s="10">
        <f t="shared" si="715"/>
        <v>120543331.3</v>
      </c>
      <c r="R673" s="10">
        <f t="shared" si="715"/>
        <v>6788510</v>
      </c>
      <c r="S673" s="10">
        <f t="shared" si="4"/>
        <v>127331841.3</v>
      </c>
      <c r="T673" s="10">
        <f t="shared" si="5"/>
        <v>24722197.68</v>
      </c>
      <c r="U673" s="8">
        <v>46112.0</v>
      </c>
      <c r="V673" s="7">
        <v>1.0E8</v>
      </c>
      <c r="W673" s="7">
        <v>1.1128219557E8</v>
      </c>
      <c r="X673" s="7">
        <v>1.2054333127E8</v>
      </c>
      <c r="Y673" s="7">
        <v>6788510.0</v>
      </c>
      <c r="Z673" s="7">
        <v>2.472219768E7</v>
      </c>
      <c r="AA673" s="6" t="s">
        <v>52</v>
      </c>
      <c r="AB673" s="11" t="str">
        <f t="shared" si="6"/>
        <v>Include</v>
      </c>
      <c r="AC673" s="1">
        <f t="shared" ref="AC673:AC680" si="717">S673/P673</f>
        <v>1.14422474</v>
      </c>
    </row>
    <row r="674" ht="15.0" customHeight="1">
      <c r="B674" s="6">
        <f t="shared" si="8"/>
        <v>672</v>
      </c>
      <c r="C674" s="1" t="s">
        <v>1067</v>
      </c>
      <c r="D674" s="1" t="str">
        <f t="shared" si="2"/>
        <v>Real Estate &amp; Infra</v>
      </c>
      <c r="E674" s="1" t="s">
        <v>44</v>
      </c>
      <c r="F674" s="1" t="s">
        <v>44</v>
      </c>
      <c r="G674" s="1" t="s">
        <v>1067</v>
      </c>
      <c r="H674" s="1" t="s">
        <v>185</v>
      </c>
      <c r="I674" s="1" t="s">
        <v>318</v>
      </c>
      <c r="J674" s="1" t="s">
        <v>918</v>
      </c>
      <c r="K674" s="1" t="s">
        <v>54</v>
      </c>
      <c r="L674" s="1" t="s">
        <v>286</v>
      </c>
      <c r="N674" s="6">
        <v>2016.0</v>
      </c>
      <c r="O674" s="10">
        <f t="shared" ref="O674:R674" si="716">IFERROR(V674*INDEX($AH$4:$AH$8,MATCH($AA674,$AG$4:$AG$8,0)),"")</f>
        <v>100000000</v>
      </c>
      <c r="P674" s="10">
        <f t="shared" si="716"/>
        <v>97298820.23</v>
      </c>
      <c r="Q674" s="10">
        <f t="shared" si="716"/>
        <v>193336982.1</v>
      </c>
      <c r="R674" s="10">
        <f t="shared" si="716"/>
        <v>54111295.71</v>
      </c>
      <c r="S674" s="10">
        <f t="shared" si="4"/>
        <v>247448277.8</v>
      </c>
      <c r="T674" s="10">
        <f t="shared" si="5"/>
        <v>2605263.16</v>
      </c>
      <c r="U674" s="8">
        <v>46112.0</v>
      </c>
      <c r="V674" s="7">
        <v>1.0E8</v>
      </c>
      <c r="W674" s="7">
        <v>9.729882023E7</v>
      </c>
      <c r="X674" s="7">
        <v>1.933369821E8</v>
      </c>
      <c r="Y674" s="7">
        <v>5.411129571E7</v>
      </c>
      <c r="Z674" s="7">
        <v>2605263.16</v>
      </c>
      <c r="AA674" s="6" t="s">
        <v>52</v>
      </c>
      <c r="AB674" s="11" t="str">
        <f t="shared" si="6"/>
        <v>Include</v>
      </c>
      <c r="AC674" s="1">
        <f t="shared" si="717"/>
        <v>2.543178604</v>
      </c>
    </row>
    <row r="675" ht="15.0" customHeight="1">
      <c r="B675" s="6">
        <f t="shared" si="8"/>
        <v>673</v>
      </c>
      <c r="C675" s="1" t="s">
        <v>1068</v>
      </c>
      <c r="D675" s="1" t="str">
        <f t="shared" si="2"/>
        <v>Real Estate &amp; Infra</v>
      </c>
      <c r="E675" s="1" t="s">
        <v>44</v>
      </c>
      <c r="F675" s="1" t="s">
        <v>44</v>
      </c>
      <c r="G675" s="1" t="s">
        <v>1068</v>
      </c>
      <c r="H675" s="1" t="s">
        <v>64</v>
      </c>
      <c r="I675" s="1" t="s">
        <v>318</v>
      </c>
      <c r="J675" s="1" t="s">
        <v>918</v>
      </c>
      <c r="K675" s="1" t="s">
        <v>281</v>
      </c>
      <c r="L675" s="1" t="s">
        <v>314</v>
      </c>
      <c r="N675" s="6">
        <v>2015.0</v>
      </c>
      <c r="O675" s="10">
        <f t="shared" ref="O675:R675" si="718">IFERROR(V675*INDEX($AH$4:$AH$8,MATCH($AA675,$AG$4:$AG$8,0)),"")</f>
        <v>200000000</v>
      </c>
      <c r="P675" s="10">
        <f t="shared" si="718"/>
        <v>255667414.1</v>
      </c>
      <c r="Q675" s="10">
        <f t="shared" si="718"/>
        <v>303722379.9</v>
      </c>
      <c r="R675" s="10">
        <f t="shared" si="718"/>
        <v>83625760</v>
      </c>
      <c r="S675" s="10">
        <f t="shared" si="4"/>
        <v>387348139.9</v>
      </c>
      <c r="T675" s="10">
        <f t="shared" si="5"/>
        <v>43599756.01</v>
      </c>
      <c r="U675" s="8">
        <v>46112.0</v>
      </c>
      <c r="V675" s="7">
        <v>2.0E8</v>
      </c>
      <c r="W675" s="7">
        <v>2.5566741407E8</v>
      </c>
      <c r="X675" s="7">
        <v>3.0372237993E8</v>
      </c>
      <c r="Y675" s="7">
        <v>8.362576E7</v>
      </c>
      <c r="Z675" s="7">
        <v>4.359975601E7</v>
      </c>
      <c r="AA675" s="6" t="s">
        <v>52</v>
      </c>
      <c r="AB675" s="11" t="str">
        <f t="shared" si="6"/>
        <v>Include</v>
      </c>
      <c r="AC675" s="1">
        <f t="shared" si="717"/>
        <v>1.515046966</v>
      </c>
    </row>
    <row r="676" ht="15.0" customHeight="1">
      <c r="B676" s="6">
        <f t="shared" si="8"/>
        <v>674</v>
      </c>
      <c r="C676" s="1" t="s">
        <v>1069</v>
      </c>
      <c r="D676" s="1" t="str">
        <f t="shared" si="2"/>
        <v>Real Estate &amp; Infra</v>
      </c>
      <c r="E676" s="1" t="s">
        <v>44</v>
      </c>
      <c r="F676" s="1" t="s">
        <v>44</v>
      </c>
      <c r="G676" s="1" t="s">
        <v>1069</v>
      </c>
      <c r="H676" s="1" t="s">
        <v>971</v>
      </c>
      <c r="I676" s="1" t="s">
        <v>318</v>
      </c>
      <c r="J676" s="1" t="s">
        <v>918</v>
      </c>
      <c r="K676" s="1" t="s">
        <v>62</v>
      </c>
      <c r="L676" s="1" t="s">
        <v>1070</v>
      </c>
      <c r="N676" s="6">
        <v>2015.0</v>
      </c>
      <c r="O676" s="10">
        <f t="shared" ref="O676:R676" si="719">IFERROR(V676*INDEX($AH$4:$AH$8,MATCH($AA676,$AG$4:$AG$8,0)),"")</f>
        <v>99200250</v>
      </c>
      <c r="P676" s="10">
        <f t="shared" si="719"/>
        <v>105767466.6</v>
      </c>
      <c r="Q676" s="10">
        <f t="shared" si="719"/>
        <v>86428610.65</v>
      </c>
      <c r="R676" s="10">
        <f t="shared" si="719"/>
        <v>18169684.78</v>
      </c>
      <c r="S676" s="10">
        <f t="shared" si="4"/>
        <v>104598295.4</v>
      </c>
      <c r="T676" s="10">
        <f t="shared" si="5"/>
        <v>7749724.576</v>
      </c>
      <c r="U676" s="8">
        <v>46112.0</v>
      </c>
      <c r="V676" s="7">
        <v>7.5E7</v>
      </c>
      <c r="W676" s="7">
        <v>7.9965121E7</v>
      </c>
      <c r="X676" s="7">
        <v>6.5344047E7</v>
      </c>
      <c r="Y676" s="7">
        <v>1.373712625E7</v>
      </c>
      <c r="Z676" s="7">
        <v>5859152.0</v>
      </c>
      <c r="AA676" s="6" t="s">
        <v>106</v>
      </c>
      <c r="AB676" s="11" t="str">
        <f t="shared" si="6"/>
        <v>Include</v>
      </c>
      <c r="AC676" s="1">
        <f t="shared" si="717"/>
        <v>0.9889458336</v>
      </c>
    </row>
    <row r="677" ht="15.0" customHeight="1">
      <c r="B677" s="6">
        <f t="shared" si="8"/>
        <v>675</v>
      </c>
      <c r="C677" s="1" t="s">
        <v>1071</v>
      </c>
      <c r="D677" s="1" t="str">
        <f t="shared" si="2"/>
        <v>Real Estate &amp; Infra</v>
      </c>
      <c r="E677" s="1" t="s">
        <v>44</v>
      </c>
      <c r="F677" s="1" t="s">
        <v>44</v>
      </c>
      <c r="G677" s="1" t="s">
        <v>1071</v>
      </c>
      <c r="H677" s="1" t="s">
        <v>297</v>
      </c>
      <c r="I677" s="1" t="s">
        <v>318</v>
      </c>
      <c r="J677" s="1" t="s">
        <v>918</v>
      </c>
      <c r="K677" s="1" t="s">
        <v>62</v>
      </c>
      <c r="L677" s="1" t="s">
        <v>289</v>
      </c>
      <c r="N677" s="6">
        <v>2016.0</v>
      </c>
      <c r="O677" s="10">
        <f t="shared" ref="O677:R677" si="720">IFERROR(V677*INDEX($AH$4:$AH$8,MATCH($AA677,$AG$4:$AG$8,0)),"")</f>
        <v>100000000</v>
      </c>
      <c r="P677" s="10">
        <f t="shared" si="720"/>
        <v>101310028</v>
      </c>
      <c r="Q677" s="10">
        <f t="shared" si="720"/>
        <v>138650871</v>
      </c>
      <c r="R677" s="10">
        <f t="shared" si="720"/>
        <v>20672752</v>
      </c>
      <c r="S677" s="10">
        <f t="shared" si="4"/>
        <v>159323623</v>
      </c>
      <c r="T677" s="10">
        <f t="shared" si="5"/>
        <v>-0.01</v>
      </c>
      <c r="U677" s="8">
        <v>46112.0</v>
      </c>
      <c r="V677" s="7">
        <v>1.0E8</v>
      </c>
      <c r="W677" s="7">
        <v>1.0131002801E8</v>
      </c>
      <c r="X677" s="7">
        <v>1.38650871E8</v>
      </c>
      <c r="Y677" s="7">
        <v>2.0672752E7</v>
      </c>
      <c r="Z677" s="7">
        <v>-0.01</v>
      </c>
      <c r="AA677" s="6" t="s">
        <v>52</v>
      </c>
      <c r="AB677" s="11" t="str">
        <f t="shared" si="6"/>
        <v>Include</v>
      </c>
      <c r="AC677" s="1">
        <f t="shared" si="717"/>
        <v>1.57263428</v>
      </c>
    </row>
    <row r="678" ht="15.0" customHeight="1">
      <c r="B678" s="6">
        <f t="shared" si="8"/>
        <v>676</v>
      </c>
      <c r="C678" s="1" t="s">
        <v>1072</v>
      </c>
      <c r="D678" s="1" t="str">
        <f t="shared" si="2"/>
        <v>Real Estate &amp; Infra</v>
      </c>
      <c r="E678" s="1" t="s">
        <v>44</v>
      </c>
      <c r="F678" s="1" t="s">
        <v>44</v>
      </c>
      <c r="G678" s="1" t="s">
        <v>1072</v>
      </c>
      <c r="H678" s="1" t="s">
        <v>185</v>
      </c>
      <c r="I678" s="1" t="s">
        <v>318</v>
      </c>
      <c r="J678" s="1" t="s">
        <v>918</v>
      </c>
      <c r="K678" s="1" t="s">
        <v>62</v>
      </c>
      <c r="L678" s="1" t="s">
        <v>289</v>
      </c>
      <c r="N678" s="6">
        <v>2016.0</v>
      </c>
      <c r="O678" s="10">
        <f t="shared" ref="O678:R678" si="721">IFERROR(V678*INDEX($AH$4:$AH$8,MATCH($AA678,$AG$4:$AG$8,0)),"")</f>
        <v>100000000</v>
      </c>
      <c r="P678" s="10">
        <f t="shared" si="721"/>
        <v>94431372.55</v>
      </c>
      <c r="Q678" s="10">
        <f t="shared" si="721"/>
        <v>199437969</v>
      </c>
      <c r="R678" s="10">
        <f t="shared" si="721"/>
        <v>7885190.59</v>
      </c>
      <c r="S678" s="10">
        <f t="shared" si="4"/>
        <v>207323159.5</v>
      </c>
      <c r="T678" s="10">
        <f t="shared" si="5"/>
        <v>5568627.45</v>
      </c>
      <c r="U678" s="8">
        <v>46112.0</v>
      </c>
      <c r="V678" s="7">
        <v>1.0E8</v>
      </c>
      <c r="W678" s="7">
        <v>9.443137255E7</v>
      </c>
      <c r="X678" s="7">
        <v>1.9943796895E8</v>
      </c>
      <c r="Y678" s="7">
        <v>7885190.59</v>
      </c>
      <c r="Z678" s="7">
        <v>5568627.45</v>
      </c>
      <c r="AA678" s="6" t="s">
        <v>52</v>
      </c>
      <c r="AB678" s="11" t="str">
        <f t="shared" si="6"/>
        <v>Include</v>
      </c>
      <c r="AC678" s="1">
        <f t="shared" si="717"/>
        <v>2.195490269</v>
      </c>
    </row>
    <row r="679" ht="15.0" customHeight="1">
      <c r="B679" s="6">
        <f t="shared" si="8"/>
        <v>677</v>
      </c>
      <c r="C679" s="1" t="s">
        <v>1073</v>
      </c>
      <c r="D679" s="1" t="str">
        <f t="shared" si="2"/>
        <v>Real Estate &amp; Infra</v>
      </c>
      <c r="E679" s="1" t="s">
        <v>44</v>
      </c>
      <c r="F679" s="1" t="s">
        <v>44</v>
      </c>
      <c r="G679" s="1" t="s">
        <v>1073</v>
      </c>
      <c r="H679" s="1" t="s">
        <v>291</v>
      </c>
      <c r="I679" s="1" t="s">
        <v>318</v>
      </c>
      <c r="J679" s="1" t="s">
        <v>918</v>
      </c>
      <c r="K679" s="1" t="s">
        <v>62</v>
      </c>
      <c r="L679" s="1" t="s">
        <v>289</v>
      </c>
      <c r="N679" s="6">
        <v>2016.0</v>
      </c>
      <c r="O679" s="10">
        <f t="shared" ref="O679:R679" si="722">IFERROR(V679*INDEX($AH$4:$AH$8,MATCH($AA679,$AG$4:$AG$8,0)),"")</f>
        <v>75000000</v>
      </c>
      <c r="P679" s="10">
        <f t="shared" si="722"/>
        <v>70151398.72</v>
      </c>
      <c r="Q679" s="10">
        <f t="shared" si="722"/>
        <v>60447608.66</v>
      </c>
      <c r="R679" s="10">
        <f t="shared" si="722"/>
        <v>59226642.83</v>
      </c>
      <c r="S679" s="10">
        <f t="shared" si="4"/>
        <v>119674251.5</v>
      </c>
      <c r="T679" s="10">
        <f t="shared" si="5"/>
        <v>3317097</v>
      </c>
      <c r="U679" s="8">
        <v>46112.0</v>
      </c>
      <c r="V679" s="7">
        <v>7.5E7</v>
      </c>
      <c r="W679" s="7">
        <v>7.015139872E7</v>
      </c>
      <c r="X679" s="7">
        <v>6.044760866E7</v>
      </c>
      <c r="Y679" s="7">
        <v>5.922664283E7</v>
      </c>
      <c r="Z679" s="7">
        <v>3317097.0</v>
      </c>
      <c r="AA679" s="6" t="s">
        <v>52</v>
      </c>
      <c r="AB679" s="11" t="str">
        <f t="shared" si="6"/>
        <v>Include</v>
      </c>
      <c r="AC679" s="1">
        <f t="shared" si="717"/>
        <v>1.705942485</v>
      </c>
    </row>
    <row r="680" ht="15.0" customHeight="1">
      <c r="B680" s="6">
        <f t="shared" si="8"/>
        <v>678</v>
      </c>
      <c r="C680" s="1" t="s">
        <v>1074</v>
      </c>
      <c r="D680" s="1" t="str">
        <f t="shared" si="2"/>
        <v>Real Estate &amp; Infra</v>
      </c>
      <c r="E680" s="1" t="s">
        <v>44</v>
      </c>
      <c r="F680" s="1" t="s">
        <v>44</v>
      </c>
      <c r="G680" s="1" t="s">
        <v>1074</v>
      </c>
      <c r="H680" s="1" t="s">
        <v>293</v>
      </c>
      <c r="I680" s="1" t="s">
        <v>318</v>
      </c>
      <c r="J680" s="1" t="s">
        <v>918</v>
      </c>
      <c r="K680" s="1" t="s">
        <v>62</v>
      </c>
      <c r="L680" s="1" t="s">
        <v>294</v>
      </c>
      <c r="N680" s="6">
        <v>2017.0</v>
      </c>
      <c r="O680" s="10">
        <f t="shared" ref="O680:R680" si="723">IFERROR(V680*INDEX($AH$4:$AH$8,MATCH($AA680,$AG$4:$AG$8,0)),"")</f>
        <v>75000000</v>
      </c>
      <c r="P680" s="10">
        <f t="shared" si="723"/>
        <v>52314272</v>
      </c>
      <c r="Q680" s="10">
        <f t="shared" si="723"/>
        <v>54753135</v>
      </c>
      <c r="R680" s="10">
        <f t="shared" si="723"/>
        <v>11242440</v>
      </c>
      <c r="S680" s="10">
        <f t="shared" si="4"/>
        <v>65995575</v>
      </c>
      <c r="T680" s="10">
        <f t="shared" si="5"/>
        <v>53449107</v>
      </c>
      <c r="U680" s="8">
        <v>46112.0</v>
      </c>
      <c r="V680" s="7">
        <v>7.5E7</v>
      </c>
      <c r="W680" s="7">
        <v>5.2314272E7</v>
      </c>
      <c r="X680" s="7">
        <v>5.4753135E7</v>
      </c>
      <c r="Y680" s="7">
        <v>1.124244E7</v>
      </c>
      <c r="Z680" s="7">
        <v>5.3449107E7</v>
      </c>
      <c r="AA680" s="6" t="s">
        <v>52</v>
      </c>
      <c r="AB680" s="11" t="str">
        <f t="shared" si="6"/>
        <v>Include</v>
      </c>
      <c r="AC680" s="1">
        <f t="shared" si="717"/>
        <v>1.261521426</v>
      </c>
    </row>
    <row r="681" ht="15.0" customHeight="1">
      <c r="B681" s="6">
        <f t="shared" si="8"/>
        <v>679</v>
      </c>
      <c r="C681" s="1" t="s">
        <v>1075</v>
      </c>
      <c r="D681" s="1" t="str">
        <f t="shared" si="2"/>
        <v>Real Estate &amp; Infra</v>
      </c>
      <c r="E681" s="1" t="s">
        <v>44</v>
      </c>
      <c r="F681" s="1" t="s">
        <v>44</v>
      </c>
      <c r="G681" s="1" t="s">
        <v>1075</v>
      </c>
      <c r="H681" s="1" t="s">
        <v>1033</v>
      </c>
      <c r="I681" s="1" t="s">
        <v>318</v>
      </c>
      <c r="J681" s="1" t="s">
        <v>918</v>
      </c>
      <c r="K681" s="1" t="s">
        <v>62</v>
      </c>
      <c r="L681" s="1" t="s">
        <v>289</v>
      </c>
      <c r="N681" s="6">
        <v>2016.0</v>
      </c>
      <c r="O681" s="10">
        <f t="shared" ref="O681:R681" si="724">IFERROR(V681*INDEX($AH$4:$AH$8,MATCH($AA681,$AG$4:$AG$8,0)),"")</f>
        <v>100000000</v>
      </c>
      <c r="P681" s="10">
        <f t="shared" si="724"/>
        <v>96774000</v>
      </c>
      <c r="Q681" s="10">
        <f t="shared" si="724"/>
        <v>218533404.8</v>
      </c>
      <c r="R681" s="10">
        <f t="shared" si="724"/>
        <v>0</v>
      </c>
      <c r="S681" s="10">
        <f t="shared" si="4"/>
        <v>218533404.8</v>
      </c>
      <c r="T681" s="10">
        <f t="shared" si="5"/>
        <v>0</v>
      </c>
      <c r="U681" s="8">
        <v>45681.0</v>
      </c>
      <c r="V681" s="7">
        <v>1.0E8</v>
      </c>
      <c r="W681" s="7">
        <v>9.6774E7</v>
      </c>
      <c r="X681" s="7">
        <v>2.1853340481E8</v>
      </c>
      <c r="Y681" s="7">
        <v>0.0</v>
      </c>
      <c r="Z681" s="7">
        <v>0.0</v>
      </c>
      <c r="AA681" s="6" t="s">
        <v>52</v>
      </c>
      <c r="AB681" s="11" t="str">
        <f t="shared" si="6"/>
        <v>Exclude</v>
      </c>
    </row>
    <row r="682" ht="15.0" customHeight="1">
      <c r="B682" s="6">
        <f t="shared" si="8"/>
        <v>680</v>
      </c>
      <c r="C682" s="1" t="s">
        <v>1076</v>
      </c>
      <c r="D682" s="1" t="str">
        <f t="shared" si="2"/>
        <v>Real Estate &amp; Infra</v>
      </c>
      <c r="E682" s="1" t="s">
        <v>44</v>
      </c>
      <c r="F682" s="1" t="s">
        <v>44</v>
      </c>
      <c r="G682" s="1" t="s">
        <v>1076</v>
      </c>
      <c r="H682" s="1" t="s">
        <v>97</v>
      </c>
      <c r="I682" s="1" t="s">
        <v>318</v>
      </c>
      <c r="J682" s="1" t="s">
        <v>918</v>
      </c>
      <c r="K682" s="1" t="s">
        <v>281</v>
      </c>
      <c r="L682" s="1" t="s">
        <v>282</v>
      </c>
      <c r="N682" s="6">
        <v>2017.0</v>
      </c>
      <c r="O682" s="10">
        <f t="shared" ref="O682:R682" si="725">IFERROR(V682*INDEX($AH$4:$AH$8,MATCH($AA682,$AG$4:$AG$8,0)),"")</f>
        <v>200000000</v>
      </c>
      <c r="P682" s="10">
        <f t="shared" si="725"/>
        <v>179606500</v>
      </c>
      <c r="Q682" s="10">
        <f t="shared" si="725"/>
        <v>202674030</v>
      </c>
      <c r="R682" s="10">
        <f t="shared" si="725"/>
        <v>53632484</v>
      </c>
      <c r="S682" s="10">
        <f t="shared" si="4"/>
        <v>256306514</v>
      </c>
      <c r="T682" s="10">
        <f t="shared" si="5"/>
        <v>128266581</v>
      </c>
      <c r="U682" s="8">
        <v>46112.0</v>
      </c>
      <c r="V682" s="7">
        <v>2.0E8</v>
      </c>
      <c r="W682" s="7">
        <v>1.796065E8</v>
      </c>
      <c r="X682" s="7">
        <v>2.0267403E8</v>
      </c>
      <c r="Y682" s="7">
        <v>5.3632484E7</v>
      </c>
      <c r="Z682" s="7">
        <v>1.28266581E8</v>
      </c>
      <c r="AA682" s="6" t="s">
        <v>52</v>
      </c>
      <c r="AB682" s="11" t="str">
        <f t="shared" si="6"/>
        <v>Include</v>
      </c>
      <c r="AC682" s="1">
        <f t="shared" ref="AC682:AC707" si="727">S682/P682</f>
        <v>1.427044756</v>
      </c>
    </row>
    <row r="683" ht="15.0" customHeight="1">
      <c r="B683" s="6">
        <f t="shared" si="8"/>
        <v>681</v>
      </c>
      <c r="C683" s="1" t="s">
        <v>1077</v>
      </c>
      <c r="D683" s="1" t="str">
        <f t="shared" si="2"/>
        <v>Real Estate &amp; Infra</v>
      </c>
      <c r="E683" s="1" t="s">
        <v>44</v>
      </c>
      <c r="F683" s="1" t="s">
        <v>44</v>
      </c>
      <c r="G683" s="1" t="s">
        <v>1077</v>
      </c>
      <c r="H683" s="1" t="s">
        <v>413</v>
      </c>
      <c r="I683" s="1" t="s">
        <v>318</v>
      </c>
      <c r="J683" s="1" t="s">
        <v>918</v>
      </c>
      <c r="K683" s="1" t="s">
        <v>62</v>
      </c>
      <c r="L683" s="1" t="s">
        <v>289</v>
      </c>
      <c r="N683" s="6">
        <v>2017.0</v>
      </c>
      <c r="O683" s="10">
        <f t="shared" ref="O683:R683" si="726">IFERROR(V683*INDEX($AH$4:$AH$8,MATCH($AA683,$AG$4:$AG$8,0)),"")</f>
        <v>100000000</v>
      </c>
      <c r="P683" s="10">
        <f t="shared" si="726"/>
        <v>93982752</v>
      </c>
      <c r="Q683" s="10">
        <f t="shared" si="726"/>
        <v>119013164</v>
      </c>
      <c r="R683" s="10">
        <f t="shared" si="726"/>
        <v>31027056</v>
      </c>
      <c r="S683" s="10">
        <f t="shared" si="4"/>
        <v>150040220</v>
      </c>
      <c r="T683" s="10">
        <f t="shared" si="5"/>
        <v>6768345</v>
      </c>
      <c r="U683" s="8">
        <v>46112.0</v>
      </c>
      <c r="V683" s="7">
        <v>1.0E8</v>
      </c>
      <c r="W683" s="7">
        <v>9.3982752E7</v>
      </c>
      <c r="X683" s="7">
        <v>1.19013164E8</v>
      </c>
      <c r="Y683" s="7">
        <v>3.1027056E7</v>
      </c>
      <c r="Z683" s="7">
        <v>6768345.0</v>
      </c>
      <c r="AA683" s="6" t="s">
        <v>52</v>
      </c>
      <c r="AB683" s="11" t="str">
        <f t="shared" si="6"/>
        <v>Include</v>
      </c>
      <c r="AC683" s="1">
        <f t="shared" si="727"/>
        <v>1.596465488</v>
      </c>
    </row>
    <row r="684" ht="15.0" customHeight="1">
      <c r="B684" s="6">
        <f t="shared" si="8"/>
        <v>682</v>
      </c>
      <c r="C684" s="1" t="s">
        <v>1078</v>
      </c>
      <c r="D684" s="1" t="str">
        <f t="shared" si="2"/>
        <v>Real Estate &amp; Infra</v>
      </c>
      <c r="E684" s="1" t="s">
        <v>44</v>
      </c>
      <c r="F684" s="1" t="s">
        <v>44</v>
      </c>
      <c r="G684" s="1" t="s">
        <v>1078</v>
      </c>
      <c r="H684" s="1" t="s">
        <v>332</v>
      </c>
      <c r="I684" s="1" t="s">
        <v>318</v>
      </c>
      <c r="J684" s="1" t="s">
        <v>918</v>
      </c>
      <c r="K684" s="1" t="s">
        <v>62</v>
      </c>
      <c r="L684" s="1" t="s">
        <v>993</v>
      </c>
      <c r="N684" s="6">
        <v>2017.0</v>
      </c>
      <c r="O684" s="10">
        <f t="shared" ref="O684:R684" si="728">IFERROR(V684*INDEX($AH$4:$AH$8,MATCH($AA684,$AG$4:$AG$8,0)),"")</f>
        <v>100000000</v>
      </c>
      <c r="P684" s="10">
        <f t="shared" si="728"/>
        <v>92953637</v>
      </c>
      <c r="Q684" s="10">
        <f t="shared" si="728"/>
        <v>63210231</v>
      </c>
      <c r="R684" s="10">
        <f t="shared" si="728"/>
        <v>52299919</v>
      </c>
      <c r="S684" s="10">
        <f t="shared" si="4"/>
        <v>115510150</v>
      </c>
      <c r="T684" s="10">
        <f t="shared" si="5"/>
        <v>17025000</v>
      </c>
      <c r="U684" s="8">
        <v>46112.0</v>
      </c>
      <c r="V684" s="7">
        <v>1.0E8</v>
      </c>
      <c r="W684" s="7">
        <v>9.2953637E7</v>
      </c>
      <c r="X684" s="7">
        <v>6.3210231E7</v>
      </c>
      <c r="Y684" s="7">
        <v>5.2299919E7</v>
      </c>
      <c r="Z684" s="7">
        <v>1.7025E7</v>
      </c>
      <c r="AA684" s="6" t="s">
        <v>52</v>
      </c>
      <c r="AB684" s="11" t="str">
        <f t="shared" si="6"/>
        <v>Include</v>
      </c>
      <c r="AC684" s="1">
        <f t="shared" si="727"/>
        <v>1.242664125</v>
      </c>
    </row>
    <row r="685" ht="15.0" customHeight="1">
      <c r="B685" s="6">
        <f t="shared" si="8"/>
        <v>683</v>
      </c>
      <c r="C685" s="1" t="s">
        <v>1079</v>
      </c>
      <c r="D685" s="1" t="str">
        <f t="shared" si="2"/>
        <v>Real Estate &amp; Infra</v>
      </c>
      <c r="E685" s="1" t="s">
        <v>44</v>
      </c>
      <c r="F685" s="1" t="s">
        <v>44</v>
      </c>
      <c r="G685" s="1" t="s">
        <v>1079</v>
      </c>
      <c r="H685" s="1" t="s">
        <v>305</v>
      </c>
      <c r="I685" s="1" t="s">
        <v>318</v>
      </c>
      <c r="J685" s="1" t="s">
        <v>918</v>
      </c>
      <c r="K685" s="1" t="s">
        <v>62</v>
      </c>
      <c r="L685" s="1" t="s">
        <v>289</v>
      </c>
      <c r="N685" s="6">
        <v>2018.0</v>
      </c>
      <c r="O685" s="10">
        <f t="shared" ref="O685:R685" si="729">IFERROR(V685*INDEX($AH$4:$AH$8,MATCH($AA685,$AG$4:$AG$8,0)),"")</f>
        <v>150000000</v>
      </c>
      <c r="P685" s="10">
        <f t="shared" si="729"/>
        <v>131025607</v>
      </c>
      <c r="Q685" s="10">
        <f t="shared" si="729"/>
        <v>48213288</v>
      </c>
      <c r="R685" s="10">
        <f t="shared" si="729"/>
        <v>123927904</v>
      </c>
      <c r="S685" s="10">
        <f t="shared" si="4"/>
        <v>172141192</v>
      </c>
      <c r="T685" s="10">
        <f t="shared" si="5"/>
        <v>26792242</v>
      </c>
      <c r="U685" s="8">
        <v>46112.0</v>
      </c>
      <c r="V685" s="7">
        <v>1.5E8</v>
      </c>
      <c r="W685" s="7">
        <v>1.31025607E8</v>
      </c>
      <c r="X685" s="7">
        <v>4.8213288E7</v>
      </c>
      <c r="Y685" s="7">
        <v>1.23927904E8</v>
      </c>
      <c r="Z685" s="7">
        <v>2.6792242E7</v>
      </c>
      <c r="AA685" s="6" t="s">
        <v>52</v>
      </c>
      <c r="AB685" s="11" t="str">
        <f t="shared" si="6"/>
        <v>Include</v>
      </c>
      <c r="AC685" s="1">
        <f t="shared" si="727"/>
        <v>1.313798088</v>
      </c>
    </row>
    <row r="686" ht="15.0" customHeight="1">
      <c r="B686" s="6">
        <f t="shared" si="8"/>
        <v>684</v>
      </c>
      <c r="C686" s="1" t="s">
        <v>1080</v>
      </c>
      <c r="D686" s="1" t="str">
        <f t="shared" si="2"/>
        <v>Real Estate &amp; Infra</v>
      </c>
      <c r="E686" s="1" t="s">
        <v>44</v>
      </c>
      <c r="F686" s="1" t="s">
        <v>44</v>
      </c>
      <c r="G686" s="1" t="s">
        <v>1080</v>
      </c>
      <c r="H686" s="1" t="s">
        <v>1033</v>
      </c>
      <c r="I686" s="1" t="s">
        <v>318</v>
      </c>
      <c r="J686" s="1" t="s">
        <v>918</v>
      </c>
      <c r="K686" s="1" t="s">
        <v>54</v>
      </c>
      <c r="L686" s="1" t="s">
        <v>286</v>
      </c>
      <c r="N686" s="6">
        <v>2017.0</v>
      </c>
      <c r="O686" s="10">
        <f t="shared" ref="O686:R686" si="730">IFERROR(V686*INDEX($AH$4:$AH$8,MATCH($AA686,$AG$4:$AG$8,0)),"")</f>
        <v>100000000</v>
      </c>
      <c r="P686" s="10">
        <f t="shared" si="730"/>
        <v>99848098</v>
      </c>
      <c r="Q686" s="10">
        <f t="shared" si="730"/>
        <v>43591982.48</v>
      </c>
      <c r="R686" s="10">
        <f t="shared" si="730"/>
        <v>112541549</v>
      </c>
      <c r="S686" s="10">
        <f t="shared" si="4"/>
        <v>156133531.5</v>
      </c>
      <c r="T686" s="10">
        <f t="shared" si="5"/>
        <v>0</v>
      </c>
      <c r="U686" s="8">
        <v>46112.0</v>
      </c>
      <c r="V686" s="7">
        <v>1.0E8</v>
      </c>
      <c r="W686" s="7">
        <v>9.9848098E7</v>
      </c>
      <c r="X686" s="7">
        <v>4.359198248E7</v>
      </c>
      <c r="Y686" s="7">
        <v>1.12541549E8</v>
      </c>
      <c r="Z686" s="7">
        <v>0.0</v>
      </c>
      <c r="AA686" s="6" t="s">
        <v>52</v>
      </c>
      <c r="AB686" s="11" t="str">
        <f t="shared" si="6"/>
        <v>Include</v>
      </c>
      <c r="AC686" s="1">
        <f t="shared" si="727"/>
        <v>1.563710623</v>
      </c>
    </row>
    <row r="687" ht="15.0" customHeight="1">
      <c r="B687" s="6">
        <f t="shared" si="8"/>
        <v>685</v>
      </c>
      <c r="C687" s="1" t="s">
        <v>1081</v>
      </c>
      <c r="D687" s="1" t="str">
        <f t="shared" si="2"/>
        <v>Real Estate &amp; Infra</v>
      </c>
      <c r="E687" s="1" t="s">
        <v>44</v>
      </c>
      <c r="F687" s="1" t="s">
        <v>44</v>
      </c>
      <c r="G687" s="1" t="s">
        <v>1081</v>
      </c>
      <c r="H687" s="1" t="s">
        <v>981</v>
      </c>
      <c r="I687" s="1" t="s">
        <v>318</v>
      </c>
      <c r="J687" s="1" t="s">
        <v>918</v>
      </c>
      <c r="K687" s="1" t="s">
        <v>62</v>
      </c>
      <c r="L687" s="1" t="s">
        <v>289</v>
      </c>
      <c r="N687" s="6">
        <v>2018.0</v>
      </c>
      <c r="O687" s="10">
        <f t="shared" ref="O687:R687" si="731">IFERROR(V687*INDEX($AH$4:$AH$8,MATCH($AA687,$AG$4:$AG$8,0)),"")</f>
        <v>100000000</v>
      </c>
      <c r="P687" s="10">
        <f t="shared" si="731"/>
        <v>100000000</v>
      </c>
      <c r="Q687" s="10">
        <f t="shared" si="731"/>
        <v>82892913.38</v>
      </c>
      <c r="R687" s="10">
        <f t="shared" si="731"/>
        <v>67125405.43</v>
      </c>
      <c r="S687" s="10">
        <f t="shared" si="4"/>
        <v>150018318.8</v>
      </c>
      <c r="T687" s="10">
        <f t="shared" si="5"/>
        <v>25276634.44</v>
      </c>
      <c r="U687" s="8">
        <v>46112.0</v>
      </c>
      <c r="V687" s="7">
        <v>1.0E8</v>
      </c>
      <c r="W687" s="7">
        <v>1.0000000001E8</v>
      </c>
      <c r="X687" s="7">
        <v>8.289291338E7</v>
      </c>
      <c r="Y687" s="7">
        <v>6.712540543E7</v>
      </c>
      <c r="Z687" s="7">
        <v>2.527663444E7</v>
      </c>
      <c r="AA687" s="6" t="s">
        <v>52</v>
      </c>
      <c r="AB687" s="11" t="str">
        <f t="shared" si="6"/>
        <v>Include</v>
      </c>
      <c r="AC687" s="1">
        <f t="shared" si="727"/>
        <v>1.500183188</v>
      </c>
    </row>
    <row r="688" ht="15.0" customHeight="1">
      <c r="B688" s="6">
        <f t="shared" si="8"/>
        <v>686</v>
      </c>
      <c r="C688" s="1" t="s">
        <v>1082</v>
      </c>
      <c r="D688" s="1" t="str">
        <f t="shared" si="2"/>
        <v>Real Estate &amp; Infra</v>
      </c>
      <c r="E688" s="1" t="s">
        <v>44</v>
      </c>
      <c r="F688" s="1" t="s">
        <v>44</v>
      </c>
      <c r="G688" s="1" t="s">
        <v>1082</v>
      </c>
      <c r="H688" s="1" t="s">
        <v>332</v>
      </c>
      <c r="I688" s="1" t="s">
        <v>318</v>
      </c>
      <c r="J688" s="1" t="s">
        <v>918</v>
      </c>
      <c r="K688" s="1" t="s">
        <v>62</v>
      </c>
      <c r="L688" s="1" t="s">
        <v>289</v>
      </c>
      <c r="N688" s="6">
        <v>2018.0</v>
      </c>
      <c r="O688" s="10">
        <f t="shared" ref="O688:R688" si="732">IFERROR(V688*INDEX($AH$4:$AH$8,MATCH($AA688,$AG$4:$AG$8,0)),"")</f>
        <v>150000000</v>
      </c>
      <c r="P688" s="10">
        <f t="shared" si="732"/>
        <v>142487580</v>
      </c>
      <c r="Q688" s="10">
        <f t="shared" si="732"/>
        <v>104155460</v>
      </c>
      <c r="R688" s="10">
        <f t="shared" si="732"/>
        <v>75548229</v>
      </c>
      <c r="S688" s="10">
        <f t="shared" si="4"/>
        <v>179703689</v>
      </c>
      <c r="T688" s="10">
        <f t="shared" si="5"/>
        <v>35805000</v>
      </c>
      <c r="U688" s="8">
        <v>46112.0</v>
      </c>
      <c r="V688" s="7">
        <v>1.5E8</v>
      </c>
      <c r="W688" s="7">
        <v>1.4248758E8</v>
      </c>
      <c r="X688" s="7">
        <v>1.0415546E8</v>
      </c>
      <c r="Y688" s="7">
        <v>7.5548229E7</v>
      </c>
      <c r="Z688" s="7">
        <v>3.5805E7</v>
      </c>
      <c r="AA688" s="6" t="s">
        <v>52</v>
      </c>
      <c r="AB688" s="11" t="str">
        <f t="shared" si="6"/>
        <v>Include</v>
      </c>
      <c r="AC688" s="1">
        <f t="shared" si="727"/>
        <v>1.261188442</v>
      </c>
    </row>
    <row r="689" ht="15.0" customHeight="1">
      <c r="B689" s="6">
        <f t="shared" si="8"/>
        <v>687</v>
      </c>
      <c r="C689" s="1" t="s">
        <v>1083</v>
      </c>
      <c r="D689" s="1" t="str">
        <f t="shared" si="2"/>
        <v>Real Estate &amp; Infra</v>
      </c>
      <c r="E689" s="1" t="s">
        <v>44</v>
      </c>
      <c r="F689" s="1" t="s">
        <v>44</v>
      </c>
      <c r="G689" s="1" t="s">
        <v>1084</v>
      </c>
      <c r="H689" s="1" t="s">
        <v>64</v>
      </c>
      <c r="I689" s="1" t="s">
        <v>318</v>
      </c>
      <c r="J689" s="1" t="s">
        <v>918</v>
      </c>
      <c r="K689" s="1" t="s">
        <v>281</v>
      </c>
      <c r="L689" s="1" t="s">
        <v>314</v>
      </c>
      <c r="N689" s="6">
        <v>2017.0</v>
      </c>
      <c r="O689" s="10">
        <f t="shared" ref="O689:R689" si="733">IFERROR(V689*INDEX($AH$4:$AH$8,MATCH($AA689,$AG$4:$AG$8,0)),"")</f>
        <v>210000000</v>
      </c>
      <c r="P689" s="10">
        <f t="shared" si="733"/>
        <v>260179305.4</v>
      </c>
      <c r="Q689" s="10">
        <f t="shared" si="733"/>
        <v>149026986.3</v>
      </c>
      <c r="R689" s="10">
        <f t="shared" si="733"/>
        <v>202961520</v>
      </c>
      <c r="S689" s="10">
        <f t="shared" si="4"/>
        <v>351988506.3</v>
      </c>
      <c r="T689" s="10">
        <f t="shared" si="5"/>
        <v>55037074.48</v>
      </c>
      <c r="U689" s="8">
        <v>46112.0</v>
      </c>
      <c r="V689" s="7">
        <v>2.1E8</v>
      </c>
      <c r="W689" s="7">
        <v>2.601793054E8</v>
      </c>
      <c r="X689" s="7">
        <v>1.4902698629E8</v>
      </c>
      <c r="Y689" s="7">
        <v>2.0296152E8</v>
      </c>
      <c r="Z689" s="7">
        <v>5.503707448E7</v>
      </c>
      <c r="AA689" s="6" t="s">
        <v>52</v>
      </c>
      <c r="AB689" s="11" t="str">
        <f t="shared" si="6"/>
        <v>Include</v>
      </c>
      <c r="AC689" s="1">
        <f t="shared" si="727"/>
        <v>1.35286896</v>
      </c>
    </row>
    <row r="690" ht="15.0" customHeight="1">
      <c r="B690" s="6">
        <f t="shared" si="8"/>
        <v>688</v>
      </c>
      <c r="C690" s="1" t="s">
        <v>1085</v>
      </c>
      <c r="D690" s="1" t="str">
        <f t="shared" si="2"/>
        <v>Real Estate &amp; Infra</v>
      </c>
      <c r="E690" s="1" t="s">
        <v>44</v>
      </c>
      <c r="F690" s="1" t="s">
        <v>44</v>
      </c>
      <c r="G690" s="1" t="s">
        <v>1085</v>
      </c>
      <c r="H690" s="1" t="s">
        <v>185</v>
      </c>
      <c r="I690" s="1" t="s">
        <v>318</v>
      </c>
      <c r="J690" s="1" t="s">
        <v>918</v>
      </c>
      <c r="K690" s="1" t="s">
        <v>54</v>
      </c>
      <c r="L690" s="1" t="s">
        <v>286</v>
      </c>
      <c r="N690" s="6">
        <v>2019.0</v>
      </c>
      <c r="O690" s="10">
        <f t="shared" ref="O690:R690" si="734">IFERROR(V690*INDEX($AH$4:$AH$8,MATCH($AA690,$AG$4:$AG$8,0)),"")</f>
        <v>100000000</v>
      </c>
      <c r="P690" s="10">
        <f t="shared" si="734"/>
        <v>98270440.25</v>
      </c>
      <c r="Q690" s="10">
        <f t="shared" si="734"/>
        <v>24591194.97</v>
      </c>
      <c r="R690" s="10">
        <f t="shared" si="734"/>
        <v>112749416.5</v>
      </c>
      <c r="S690" s="10">
        <f t="shared" si="4"/>
        <v>137340611.5</v>
      </c>
      <c r="T690" s="10">
        <f t="shared" si="5"/>
        <v>1729559.75</v>
      </c>
      <c r="U690" s="8">
        <v>46112.0</v>
      </c>
      <c r="V690" s="7">
        <v>1.0E8</v>
      </c>
      <c r="W690" s="7">
        <v>9.827044025E7</v>
      </c>
      <c r="X690" s="7">
        <v>2.459119497E7</v>
      </c>
      <c r="Y690" s="7">
        <v>1.1274941653E8</v>
      </c>
      <c r="Z690" s="7">
        <v>1729559.75</v>
      </c>
      <c r="AA690" s="6" t="s">
        <v>52</v>
      </c>
      <c r="AB690" s="11" t="str">
        <f t="shared" si="6"/>
        <v>Include</v>
      </c>
      <c r="AC690" s="1">
        <f t="shared" si="727"/>
        <v>1.397578063</v>
      </c>
    </row>
    <row r="691" ht="15.0" customHeight="1">
      <c r="B691" s="6">
        <f t="shared" si="8"/>
        <v>689</v>
      </c>
      <c r="C691" s="1" t="s">
        <v>1086</v>
      </c>
      <c r="D691" s="1" t="str">
        <f t="shared" si="2"/>
        <v>Real Estate &amp; Infra</v>
      </c>
      <c r="E691" s="1" t="s">
        <v>44</v>
      </c>
      <c r="F691" s="1" t="s">
        <v>44</v>
      </c>
      <c r="G691" s="1" t="s">
        <v>1086</v>
      </c>
      <c r="H691" s="1" t="s">
        <v>291</v>
      </c>
      <c r="I691" s="1" t="s">
        <v>318</v>
      </c>
      <c r="J691" s="1" t="s">
        <v>918</v>
      </c>
      <c r="K691" s="1" t="s">
        <v>62</v>
      </c>
      <c r="L691" s="1" t="s">
        <v>289</v>
      </c>
      <c r="N691" s="6">
        <v>2019.0</v>
      </c>
      <c r="O691" s="10">
        <f t="shared" ref="O691:R691" si="735">IFERROR(V691*INDEX($AH$4:$AH$8,MATCH($AA691,$AG$4:$AG$8,0)),"")</f>
        <v>100000000</v>
      </c>
      <c r="P691" s="10">
        <f t="shared" si="735"/>
        <v>95172768.32</v>
      </c>
      <c r="Q691" s="10">
        <f t="shared" si="735"/>
        <v>11027280.68</v>
      </c>
      <c r="R691" s="10">
        <f t="shared" si="735"/>
        <v>89191000</v>
      </c>
      <c r="S691" s="10">
        <f t="shared" si="4"/>
        <v>100218280.7</v>
      </c>
      <c r="T691" s="10">
        <f t="shared" si="5"/>
        <v>3236972</v>
      </c>
      <c r="U691" s="8">
        <v>46112.0</v>
      </c>
      <c r="V691" s="7">
        <v>1.0E8</v>
      </c>
      <c r="W691" s="7">
        <v>9.517276832E7</v>
      </c>
      <c r="X691" s="7">
        <v>1.102728068E7</v>
      </c>
      <c r="Y691" s="7">
        <v>8.9191E7</v>
      </c>
      <c r="Z691" s="7">
        <v>3236972.0</v>
      </c>
      <c r="AA691" s="6" t="s">
        <v>52</v>
      </c>
      <c r="AB691" s="11" t="str">
        <f t="shared" si="6"/>
        <v>Include</v>
      </c>
      <c r="AC691" s="1">
        <f t="shared" si="727"/>
        <v>1.053014244</v>
      </c>
    </row>
    <row r="692" ht="15.0" customHeight="1">
      <c r="B692" s="6">
        <f t="shared" si="8"/>
        <v>690</v>
      </c>
      <c r="C692" s="1" t="s">
        <v>1087</v>
      </c>
      <c r="D692" s="1" t="str">
        <f t="shared" si="2"/>
        <v>Real Estate &amp; Infra</v>
      </c>
      <c r="E692" s="1" t="s">
        <v>44</v>
      </c>
      <c r="F692" s="1" t="s">
        <v>44</v>
      </c>
      <c r="G692" s="1" t="s">
        <v>1087</v>
      </c>
      <c r="H692" s="1" t="s">
        <v>1033</v>
      </c>
      <c r="I692" s="1" t="s">
        <v>318</v>
      </c>
      <c r="J692" s="1" t="s">
        <v>918</v>
      </c>
      <c r="K692" s="1" t="s">
        <v>54</v>
      </c>
      <c r="L692" s="1" t="s">
        <v>1088</v>
      </c>
      <c r="N692" s="6">
        <v>2019.0</v>
      </c>
      <c r="O692" s="10">
        <f t="shared" ref="O692:R692" si="736">IFERROR(V692*INDEX($AH$4:$AH$8,MATCH($AA692,$AG$4:$AG$8,0)),"")</f>
        <v>66133500</v>
      </c>
      <c r="P692" s="10">
        <f t="shared" si="736"/>
        <v>80430240.03</v>
      </c>
      <c r="Q692" s="10">
        <f t="shared" si="736"/>
        <v>50729396.47</v>
      </c>
      <c r="R692" s="10">
        <f t="shared" si="736"/>
        <v>68457732.76</v>
      </c>
      <c r="S692" s="10">
        <f t="shared" si="4"/>
        <v>119187129.2</v>
      </c>
      <c r="T692" s="10">
        <f t="shared" si="5"/>
        <v>2489926.275</v>
      </c>
      <c r="U692" s="8">
        <v>46112.0</v>
      </c>
      <c r="V692" s="7">
        <v>5.0E7</v>
      </c>
      <c r="W692" s="7">
        <v>6.0809E7</v>
      </c>
      <c r="X692" s="7">
        <v>3.835378172E7</v>
      </c>
      <c r="Y692" s="7">
        <v>5.1757228E7</v>
      </c>
      <c r="Z692" s="7">
        <v>1882500.0</v>
      </c>
      <c r="AA692" s="6" t="s">
        <v>106</v>
      </c>
      <c r="AB692" s="11" t="str">
        <f t="shared" si="6"/>
        <v>Include</v>
      </c>
      <c r="AC692" s="1">
        <f t="shared" si="727"/>
        <v>1.48186962</v>
      </c>
    </row>
    <row r="693" ht="15.0" customHeight="1">
      <c r="B693" s="6">
        <f t="shared" si="8"/>
        <v>691</v>
      </c>
      <c r="C693" s="1" t="s">
        <v>1089</v>
      </c>
      <c r="D693" s="1" t="str">
        <f t="shared" si="2"/>
        <v>Real Estate &amp; Infra</v>
      </c>
      <c r="E693" s="1" t="s">
        <v>44</v>
      </c>
      <c r="F693" s="1" t="s">
        <v>44</v>
      </c>
      <c r="G693" s="1" t="s">
        <v>1089</v>
      </c>
      <c r="H693" s="1" t="s">
        <v>297</v>
      </c>
      <c r="I693" s="1" t="s">
        <v>318</v>
      </c>
      <c r="J693" s="1" t="s">
        <v>918</v>
      </c>
      <c r="K693" s="1" t="s">
        <v>62</v>
      </c>
      <c r="L693" s="1" t="s">
        <v>289</v>
      </c>
      <c r="N693" s="6">
        <v>2019.0</v>
      </c>
      <c r="O693" s="10">
        <f t="shared" ref="O693:R693" si="737">IFERROR(V693*INDEX($AH$4:$AH$8,MATCH($AA693,$AG$4:$AG$8,0)),"")</f>
        <v>100000000</v>
      </c>
      <c r="P693" s="10">
        <f t="shared" si="737"/>
        <v>101910527</v>
      </c>
      <c r="Q693" s="10">
        <f t="shared" si="737"/>
        <v>48716354</v>
      </c>
      <c r="R693" s="10">
        <f t="shared" si="737"/>
        <v>84184126</v>
      </c>
      <c r="S693" s="10">
        <f t="shared" si="4"/>
        <v>132900480</v>
      </c>
      <c r="T693" s="10">
        <f t="shared" si="5"/>
        <v>10473682</v>
      </c>
      <c r="U693" s="8">
        <v>46112.0</v>
      </c>
      <c r="V693" s="7">
        <v>1.0E8</v>
      </c>
      <c r="W693" s="7">
        <v>1.01910527E8</v>
      </c>
      <c r="X693" s="7">
        <v>4.8716354E7</v>
      </c>
      <c r="Y693" s="7">
        <v>8.4184126E7</v>
      </c>
      <c r="Z693" s="7">
        <v>1.0473682E7</v>
      </c>
      <c r="AA693" s="6" t="s">
        <v>52</v>
      </c>
      <c r="AB693" s="11" t="str">
        <f t="shared" si="6"/>
        <v>Include</v>
      </c>
      <c r="AC693" s="1">
        <f t="shared" si="727"/>
        <v>1.304089812</v>
      </c>
    </row>
    <row r="694" ht="15.0" customHeight="1">
      <c r="B694" s="6">
        <f t="shared" si="8"/>
        <v>692</v>
      </c>
      <c r="C694" s="1" t="s">
        <v>1090</v>
      </c>
      <c r="D694" s="1" t="str">
        <f t="shared" si="2"/>
        <v>Real Estate &amp; Infra</v>
      </c>
      <c r="E694" s="1" t="s">
        <v>44</v>
      </c>
      <c r="F694" s="1" t="s">
        <v>44</v>
      </c>
      <c r="G694" s="1" t="s">
        <v>1090</v>
      </c>
      <c r="H694" s="1" t="s">
        <v>332</v>
      </c>
      <c r="I694" s="1" t="s">
        <v>318</v>
      </c>
      <c r="J694" s="1" t="s">
        <v>918</v>
      </c>
      <c r="K694" s="1" t="s">
        <v>62</v>
      </c>
      <c r="L694" s="1" t="s">
        <v>993</v>
      </c>
      <c r="N694" s="6">
        <v>2019.0</v>
      </c>
      <c r="O694" s="10">
        <f t="shared" ref="O694:R694" si="738">IFERROR(V694*INDEX($AH$4:$AH$8,MATCH($AA694,$AG$4:$AG$8,0)),"")</f>
        <v>100000000</v>
      </c>
      <c r="P694" s="10">
        <f t="shared" si="738"/>
        <v>79448608</v>
      </c>
      <c r="Q694" s="10">
        <f t="shared" si="738"/>
        <v>11798247</v>
      </c>
      <c r="R694" s="10">
        <f t="shared" si="738"/>
        <v>65230040</v>
      </c>
      <c r="S694" s="10">
        <f t="shared" si="4"/>
        <v>77028287</v>
      </c>
      <c r="T694" s="10">
        <f t="shared" si="5"/>
        <v>24250000</v>
      </c>
      <c r="U694" s="8">
        <v>46112.0</v>
      </c>
      <c r="V694" s="7">
        <v>1.0E8</v>
      </c>
      <c r="W694" s="7">
        <v>7.9448608E7</v>
      </c>
      <c r="X694" s="7">
        <v>1.1798247E7</v>
      </c>
      <c r="Y694" s="7">
        <v>6.523004E7</v>
      </c>
      <c r="Z694" s="7">
        <v>2.425E7</v>
      </c>
      <c r="AA694" s="6" t="s">
        <v>52</v>
      </c>
      <c r="AB694" s="11" t="str">
        <f t="shared" si="6"/>
        <v>Include</v>
      </c>
      <c r="AC694" s="1">
        <f t="shared" si="727"/>
        <v>0.9695360175</v>
      </c>
    </row>
    <row r="695" ht="15.0" customHeight="1">
      <c r="B695" s="6">
        <f t="shared" si="8"/>
        <v>693</v>
      </c>
      <c r="C695" s="1" t="s">
        <v>1091</v>
      </c>
      <c r="D695" s="1" t="str">
        <f t="shared" si="2"/>
        <v>Real Estate &amp; Infra</v>
      </c>
      <c r="E695" s="1" t="s">
        <v>44</v>
      </c>
      <c r="F695" s="1" t="s">
        <v>44</v>
      </c>
      <c r="G695" s="1" t="s">
        <v>1091</v>
      </c>
      <c r="H695" s="1" t="s">
        <v>1033</v>
      </c>
      <c r="I695" s="1" t="s">
        <v>318</v>
      </c>
      <c r="J695" s="1" t="s">
        <v>918</v>
      </c>
      <c r="K695" s="1" t="s">
        <v>62</v>
      </c>
      <c r="L695" s="1" t="s">
        <v>289</v>
      </c>
      <c r="N695" s="6">
        <v>2019.0</v>
      </c>
      <c r="O695" s="10">
        <f t="shared" ref="O695:R695" si="739">IFERROR(V695*INDEX($AH$4:$AH$8,MATCH($AA695,$AG$4:$AG$8,0)),"")</f>
        <v>100000000</v>
      </c>
      <c r="P695" s="10">
        <f t="shared" si="739"/>
        <v>91305500</v>
      </c>
      <c r="Q695" s="10">
        <f t="shared" si="739"/>
        <v>26585464.08</v>
      </c>
      <c r="R695" s="10">
        <f t="shared" si="739"/>
        <v>101660348</v>
      </c>
      <c r="S695" s="10">
        <f t="shared" si="4"/>
        <v>128245812.1</v>
      </c>
      <c r="T695" s="10">
        <f t="shared" si="5"/>
        <v>8694500</v>
      </c>
      <c r="U695" s="8">
        <v>46112.0</v>
      </c>
      <c r="V695" s="7">
        <v>1.0E8</v>
      </c>
      <c r="W695" s="7">
        <v>9.13055E7</v>
      </c>
      <c r="X695" s="7">
        <v>2.658546408E7</v>
      </c>
      <c r="Y695" s="7">
        <v>1.01660348E8</v>
      </c>
      <c r="Z695" s="7">
        <v>8694500.0</v>
      </c>
      <c r="AA695" s="6" t="s">
        <v>52</v>
      </c>
      <c r="AB695" s="11" t="str">
        <f t="shared" si="6"/>
        <v>Include</v>
      </c>
      <c r="AC695" s="1">
        <f t="shared" si="727"/>
        <v>1.404579265</v>
      </c>
    </row>
    <row r="696" ht="15.0" customHeight="1">
      <c r="B696" s="6">
        <f t="shared" si="8"/>
        <v>694</v>
      </c>
      <c r="C696" s="1" t="s">
        <v>1092</v>
      </c>
      <c r="D696" s="1" t="str">
        <f t="shared" si="2"/>
        <v>Real Estate &amp; Infra</v>
      </c>
      <c r="E696" s="1" t="s">
        <v>44</v>
      </c>
      <c r="F696" s="1" t="s">
        <v>44</v>
      </c>
      <c r="G696" s="1" t="s">
        <v>1092</v>
      </c>
      <c r="H696" s="1" t="s">
        <v>185</v>
      </c>
      <c r="I696" s="1" t="s">
        <v>318</v>
      </c>
      <c r="J696" s="1" t="s">
        <v>918</v>
      </c>
      <c r="K696" s="1" t="s">
        <v>62</v>
      </c>
      <c r="L696" s="1" t="s">
        <v>289</v>
      </c>
      <c r="N696" s="6">
        <v>2019.0</v>
      </c>
      <c r="O696" s="10">
        <f t="shared" ref="O696:R696" si="740">IFERROR(V696*INDEX($AH$4:$AH$8,MATCH($AA696,$AG$4:$AG$8,0)),"")</f>
        <v>100000000</v>
      </c>
      <c r="P696" s="10">
        <f t="shared" si="740"/>
        <v>98463528.19</v>
      </c>
      <c r="Q696" s="10">
        <f t="shared" si="740"/>
        <v>52240041.36</v>
      </c>
      <c r="R696" s="10">
        <f t="shared" si="740"/>
        <v>123814724.4</v>
      </c>
      <c r="S696" s="10">
        <f t="shared" si="4"/>
        <v>176054765.8</v>
      </c>
      <c r="T696" s="10">
        <f t="shared" si="5"/>
        <v>1536471.81</v>
      </c>
      <c r="U696" s="8">
        <v>46112.0</v>
      </c>
      <c r="V696" s="7">
        <v>1.0E8</v>
      </c>
      <c r="W696" s="7">
        <v>9.846352819E7</v>
      </c>
      <c r="X696" s="7">
        <v>5.224004136E7</v>
      </c>
      <c r="Y696" s="7">
        <v>1.2381472443E8</v>
      </c>
      <c r="Z696" s="7">
        <v>1536471.81</v>
      </c>
      <c r="AA696" s="6" t="s">
        <v>52</v>
      </c>
      <c r="AB696" s="11" t="str">
        <f t="shared" si="6"/>
        <v>Include</v>
      </c>
      <c r="AC696" s="1">
        <f t="shared" si="727"/>
        <v>1.788020082</v>
      </c>
    </row>
    <row r="697" ht="15.0" customHeight="1">
      <c r="B697" s="6">
        <f t="shared" si="8"/>
        <v>695</v>
      </c>
      <c r="C697" s="1" t="s">
        <v>1093</v>
      </c>
      <c r="D697" s="1" t="str">
        <f t="shared" si="2"/>
        <v>Real Estate &amp; Infra</v>
      </c>
      <c r="E697" s="1" t="s">
        <v>44</v>
      </c>
      <c r="F697" s="1" t="s">
        <v>44</v>
      </c>
      <c r="G697" s="1" t="s">
        <v>1093</v>
      </c>
      <c r="H697" s="1" t="s">
        <v>971</v>
      </c>
      <c r="I697" s="1" t="s">
        <v>318</v>
      </c>
      <c r="J697" s="1" t="s">
        <v>918</v>
      </c>
      <c r="K697" s="1" t="s">
        <v>62</v>
      </c>
      <c r="L697" s="1" t="s">
        <v>1070</v>
      </c>
      <c r="N697" s="6">
        <v>2020.0</v>
      </c>
      <c r="O697" s="10">
        <f t="shared" ref="O697:R697" si="741">IFERROR(V697*INDEX($AH$4:$AH$8,MATCH($AA697,$AG$4:$AG$8,0)),"")</f>
        <v>115614041</v>
      </c>
      <c r="P697" s="10">
        <f t="shared" si="741"/>
        <v>86805398.32</v>
      </c>
      <c r="Q697" s="10">
        <f t="shared" si="741"/>
        <v>69394630</v>
      </c>
      <c r="R697" s="10">
        <f t="shared" si="741"/>
        <v>34260979.38</v>
      </c>
      <c r="S697" s="10">
        <f t="shared" si="4"/>
        <v>103655609.4</v>
      </c>
      <c r="T697" s="10">
        <f t="shared" si="5"/>
        <v>28869913.43</v>
      </c>
      <c r="U697" s="8">
        <v>46112.0</v>
      </c>
      <c r="V697" s="7">
        <v>1.15614041E8</v>
      </c>
      <c r="W697" s="7">
        <v>8.680539832E7</v>
      </c>
      <c r="X697" s="7">
        <v>6.939463E7</v>
      </c>
      <c r="Y697" s="7">
        <v>3.426097938E7</v>
      </c>
      <c r="Z697" s="7">
        <v>2.886991343E7</v>
      </c>
      <c r="AA697" s="6" t="s">
        <v>52</v>
      </c>
      <c r="AB697" s="11" t="str">
        <f t="shared" si="6"/>
        <v>Include</v>
      </c>
      <c r="AC697" s="1">
        <f t="shared" si="727"/>
        <v>1.194114783</v>
      </c>
    </row>
    <row r="698" ht="15.0" customHeight="1">
      <c r="B698" s="6">
        <f t="shared" si="8"/>
        <v>696</v>
      </c>
      <c r="C698" s="1" t="s">
        <v>1094</v>
      </c>
      <c r="D698" s="1" t="str">
        <f t="shared" si="2"/>
        <v>Real Estate &amp; Infra</v>
      </c>
      <c r="E698" s="1" t="s">
        <v>44</v>
      </c>
      <c r="F698" s="1" t="s">
        <v>44</v>
      </c>
      <c r="G698" s="1" t="s">
        <v>1094</v>
      </c>
      <c r="H698" s="1" t="s">
        <v>97</v>
      </c>
      <c r="I698" s="1" t="s">
        <v>318</v>
      </c>
      <c r="J698" s="1" t="s">
        <v>918</v>
      </c>
      <c r="K698" s="1" t="s">
        <v>281</v>
      </c>
      <c r="L698" s="1" t="s">
        <v>282</v>
      </c>
      <c r="N698" s="6">
        <v>2021.0</v>
      </c>
      <c r="O698" s="10">
        <f t="shared" ref="O698:R698" si="742">IFERROR(V698*INDEX($AH$4:$AH$8,MATCH($AA698,$AG$4:$AG$8,0)),"")</f>
        <v>200000000</v>
      </c>
      <c r="P698" s="10">
        <f t="shared" si="742"/>
        <v>164833997</v>
      </c>
      <c r="Q698" s="10">
        <f t="shared" si="742"/>
        <v>24684672</v>
      </c>
      <c r="R698" s="10">
        <f t="shared" si="742"/>
        <v>141858000</v>
      </c>
      <c r="S698" s="10">
        <f t="shared" si="4"/>
        <v>166542672</v>
      </c>
      <c r="T698" s="10">
        <f t="shared" si="5"/>
        <v>59896497</v>
      </c>
      <c r="U698" s="8">
        <v>46112.0</v>
      </c>
      <c r="V698" s="7">
        <v>2.0E8</v>
      </c>
      <c r="W698" s="7">
        <v>1.64833997E8</v>
      </c>
      <c r="X698" s="7">
        <v>2.4684672E7</v>
      </c>
      <c r="Y698" s="7">
        <v>1.41858E8</v>
      </c>
      <c r="Z698" s="7">
        <v>5.9896497E7</v>
      </c>
      <c r="AA698" s="6" t="s">
        <v>52</v>
      </c>
      <c r="AB698" s="11" t="str">
        <f t="shared" si="6"/>
        <v>Include</v>
      </c>
      <c r="AC698" s="1">
        <f t="shared" si="727"/>
        <v>1.010366035</v>
      </c>
    </row>
    <row r="699" ht="15.0" customHeight="1">
      <c r="B699" s="6">
        <f t="shared" si="8"/>
        <v>697</v>
      </c>
      <c r="C699" s="1" t="s">
        <v>1095</v>
      </c>
      <c r="D699" s="1" t="str">
        <f t="shared" si="2"/>
        <v>Real Estate &amp; Infra</v>
      </c>
      <c r="E699" s="1" t="s">
        <v>44</v>
      </c>
      <c r="F699" s="1" t="s">
        <v>44</v>
      </c>
      <c r="G699" s="1" t="s">
        <v>1095</v>
      </c>
      <c r="H699" s="1" t="s">
        <v>64</v>
      </c>
      <c r="I699" s="1" t="s">
        <v>318</v>
      </c>
      <c r="J699" s="1" t="s">
        <v>918</v>
      </c>
      <c r="K699" s="1" t="s">
        <v>281</v>
      </c>
      <c r="L699" s="1" t="s">
        <v>314</v>
      </c>
      <c r="N699" s="6">
        <v>2021.0</v>
      </c>
      <c r="O699" s="10">
        <f t="shared" ref="O699:R699" si="743">IFERROR(V699*INDEX($AH$4:$AH$8,MATCH($AA699,$AG$4:$AG$8,0)),"")</f>
        <v>300000000</v>
      </c>
      <c r="P699" s="10">
        <f t="shared" si="743"/>
        <v>282080698</v>
      </c>
      <c r="Q699" s="10">
        <f t="shared" si="743"/>
        <v>47392803.87</v>
      </c>
      <c r="R699" s="10">
        <f t="shared" si="743"/>
        <v>252865238</v>
      </c>
      <c r="S699" s="10">
        <f t="shared" si="4"/>
        <v>300258041.9</v>
      </c>
      <c r="T699" s="10">
        <f t="shared" si="5"/>
        <v>65259286.93</v>
      </c>
      <c r="U699" s="8">
        <v>46112.0</v>
      </c>
      <c r="V699" s="7">
        <v>3.0E8</v>
      </c>
      <c r="W699" s="7">
        <v>2.8208069804E8</v>
      </c>
      <c r="X699" s="7">
        <v>4.739280387E7</v>
      </c>
      <c r="Y699" s="7">
        <v>2.52865238E8</v>
      </c>
      <c r="Z699" s="7">
        <v>6.525928693E7</v>
      </c>
      <c r="AA699" s="6" t="s">
        <v>52</v>
      </c>
      <c r="AB699" s="11" t="str">
        <f t="shared" si="6"/>
        <v>Include</v>
      </c>
      <c r="AC699" s="1">
        <f t="shared" si="727"/>
        <v>1.064440226</v>
      </c>
    </row>
    <row r="700" ht="15.0" customHeight="1">
      <c r="B700" s="6">
        <f t="shared" si="8"/>
        <v>698</v>
      </c>
      <c r="C700" s="1" t="s">
        <v>1096</v>
      </c>
      <c r="D700" s="1" t="str">
        <f t="shared" si="2"/>
        <v>Real Estate &amp; Infra</v>
      </c>
      <c r="E700" s="1" t="s">
        <v>44</v>
      </c>
      <c r="F700" s="1" t="s">
        <v>44</v>
      </c>
      <c r="G700" s="1" t="s">
        <v>1096</v>
      </c>
      <c r="H700" s="1" t="s">
        <v>981</v>
      </c>
      <c r="I700" s="1" t="s">
        <v>318</v>
      </c>
      <c r="J700" s="1" t="s">
        <v>918</v>
      </c>
      <c r="K700" s="1" t="s">
        <v>62</v>
      </c>
      <c r="L700" s="1" t="s">
        <v>289</v>
      </c>
      <c r="N700" s="6">
        <v>2021.0</v>
      </c>
      <c r="O700" s="10">
        <f t="shared" ref="O700:R700" si="744">IFERROR(V700*INDEX($AH$4:$AH$8,MATCH($AA700,$AG$4:$AG$8,0)),"")</f>
        <v>100000000</v>
      </c>
      <c r="P700" s="10">
        <f t="shared" si="744"/>
        <v>90850000</v>
      </c>
      <c r="Q700" s="10">
        <f t="shared" si="744"/>
        <v>3136956.52</v>
      </c>
      <c r="R700" s="10">
        <f t="shared" si="744"/>
        <v>65547152.59</v>
      </c>
      <c r="S700" s="10">
        <f t="shared" si="4"/>
        <v>68684109.11</v>
      </c>
      <c r="T700" s="10">
        <f t="shared" si="5"/>
        <v>9150000</v>
      </c>
      <c r="U700" s="8">
        <v>46112.0</v>
      </c>
      <c r="V700" s="7">
        <v>1.0E8</v>
      </c>
      <c r="W700" s="7">
        <v>9.085E7</v>
      </c>
      <c r="X700" s="7">
        <v>3136956.52</v>
      </c>
      <c r="Y700" s="7">
        <v>6.554715259E7</v>
      </c>
      <c r="Z700" s="7">
        <v>9150000.0</v>
      </c>
      <c r="AA700" s="6" t="s">
        <v>52</v>
      </c>
      <c r="AB700" s="11" t="str">
        <f t="shared" si="6"/>
        <v>Include</v>
      </c>
      <c r="AC700" s="1">
        <f t="shared" si="727"/>
        <v>0.756016611</v>
      </c>
    </row>
    <row r="701" ht="15.0" customHeight="1">
      <c r="B701" s="6">
        <f t="shared" si="8"/>
        <v>699</v>
      </c>
      <c r="C701" s="1" t="s">
        <v>1097</v>
      </c>
      <c r="D701" s="1" t="str">
        <f t="shared" si="2"/>
        <v>Real Estate &amp; Infra</v>
      </c>
      <c r="E701" s="1" t="s">
        <v>44</v>
      </c>
      <c r="F701" s="1" t="s">
        <v>44</v>
      </c>
      <c r="G701" s="1" t="s">
        <v>1097</v>
      </c>
      <c r="H701" s="1" t="s">
        <v>185</v>
      </c>
      <c r="I701" s="1" t="s">
        <v>318</v>
      </c>
      <c r="J701" s="1" t="s">
        <v>918</v>
      </c>
      <c r="K701" s="1" t="s">
        <v>54</v>
      </c>
      <c r="L701" s="1" t="s">
        <v>286</v>
      </c>
      <c r="N701" s="6">
        <v>2021.0</v>
      </c>
      <c r="O701" s="10">
        <f t="shared" ref="O701:R701" si="745">IFERROR(V701*INDEX($AH$4:$AH$8,MATCH($AA701,$AG$4:$AG$8,0)),"")</f>
        <v>100000000</v>
      </c>
      <c r="P701" s="10">
        <f t="shared" si="745"/>
        <v>99079386.56</v>
      </c>
      <c r="Q701" s="10">
        <f t="shared" si="745"/>
        <v>5069949.76</v>
      </c>
      <c r="R701" s="10">
        <f t="shared" si="745"/>
        <v>97742409.08</v>
      </c>
      <c r="S701" s="10">
        <f t="shared" si="4"/>
        <v>102812358.8</v>
      </c>
      <c r="T701" s="10">
        <f t="shared" si="5"/>
        <v>920613.44</v>
      </c>
      <c r="U701" s="8">
        <v>46112.0</v>
      </c>
      <c r="V701" s="7">
        <v>1.0E8</v>
      </c>
      <c r="W701" s="7">
        <v>9.907938656E7</v>
      </c>
      <c r="X701" s="7">
        <v>5069949.76</v>
      </c>
      <c r="Y701" s="7">
        <v>9.774240908E7</v>
      </c>
      <c r="Z701" s="7">
        <v>920613.44</v>
      </c>
      <c r="AA701" s="6" t="s">
        <v>52</v>
      </c>
      <c r="AB701" s="11" t="str">
        <f t="shared" si="6"/>
        <v>Include</v>
      </c>
      <c r="AC701" s="1">
        <f t="shared" si="727"/>
        <v>1.037676578</v>
      </c>
    </row>
    <row r="702" ht="15.0" customHeight="1">
      <c r="B702" s="6">
        <f t="shared" si="8"/>
        <v>700</v>
      </c>
      <c r="C702" s="1" t="s">
        <v>1098</v>
      </c>
      <c r="D702" s="1" t="str">
        <f t="shared" si="2"/>
        <v>Real Estate &amp; Infra</v>
      </c>
      <c r="E702" s="1" t="s">
        <v>44</v>
      </c>
      <c r="F702" s="1" t="s">
        <v>44</v>
      </c>
      <c r="G702" s="1" t="s">
        <v>1098</v>
      </c>
      <c r="H702" s="1" t="s">
        <v>185</v>
      </c>
      <c r="I702" s="1" t="s">
        <v>318</v>
      </c>
      <c r="J702" s="1" t="s">
        <v>918</v>
      </c>
      <c r="K702" s="1" t="s">
        <v>62</v>
      </c>
      <c r="L702" s="1" t="s">
        <v>289</v>
      </c>
      <c r="N702" s="6">
        <v>2022.0</v>
      </c>
      <c r="O702" s="10">
        <f t="shared" ref="O702:R702" si="746">IFERROR(V702*INDEX($AH$4:$AH$8,MATCH($AA702,$AG$4:$AG$8,0)),"")</f>
        <v>100000000</v>
      </c>
      <c r="P702" s="10">
        <f t="shared" si="746"/>
        <v>70000000.01</v>
      </c>
      <c r="Q702" s="10">
        <f t="shared" si="746"/>
        <v>0</v>
      </c>
      <c r="R702" s="10">
        <f t="shared" si="746"/>
        <v>66204154.5</v>
      </c>
      <c r="S702" s="10">
        <f t="shared" si="4"/>
        <v>66204154.5</v>
      </c>
      <c r="T702" s="10">
        <f t="shared" si="5"/>
        <v>29999999.99</v>
      </c>
      <c r="U702" s="8">
        <v>46112.0</v>
      </c>
      <c r="V702" s="7">
        <v>1.0E8</v>
      </c>
      <c r="W702" s="7">
        <v>7.000000001E7</v>
      </c>
      <c r="X702" s="7">
        <v>0.0</v>
      </c>
      <c r="Y702" s="7">
        <v>6.62041545E7</v>
      </c>
      <c r="Z702" s="7">
        <v>2.999999999E7</v>
      </c>
      <c r="AA702" s="6" t="s">
        <v>52</v>
      </c>
      <c r="AB702" s="11" t="str">
        <f t="shared" si="6"/>
        <v>Include</v>
      </c>
      <c r="AC702" s="1">
        <f t="shared" si="727"/>
        <v>0.9457736356</v>
      </c>
    </row>
    <row r="703" ht="15.0" customHeight="1">
      <c r="B703" s="6">
        <f t="shared" si="8"/>
        <v>701</v>
      </c>
      <c r="C703" s="1" t="s">
        <v>1099</v>
      </c>
      <c r="D703" s="1" t="str">
        <f t="shared" si="2"/>
        <v>Real Estate &amp; Infra</v>
      </c>
      <c r="E703" s="1" t="s">
        <v>44</v>
      </c>
      <c r="F703" s="1" t="s">
        <v>44</v>
      </c>
      <c r="G703" s="1" t="s">
        <v>1099</v>
      </c>
      <c r="H703" s="1" t="s">
        <v>1033</v>
      </c>
      <c r="I703" s="1" t="s">
        <v>318</v>
      </c>
      <c r="J703" s="1" t="s">
        <v>918</v>
      </c>
      <c r="K703" s="1" t="s">
        <v>62</v>
      </c>
      <c r="L703" s="1" t="s">
        <v>289</v>
      </c>
      <c r="N703" s="6">
        <v>2022.0</v>
      </c>
      <c r="O703" s="10">
        <f t="shared" ref="O703:R703" si="747">IFERROR(V703*INDEX($AH$4:$AH$8,MATCH($AA703,$AG$4:$AG$8,0)),"")</f>
        <v>175000000</v>
      </c>
      <c r="P703" s="10">
        <f t="shared" si="747"/>
        <v>155330500</v>
      </c>
      <c r="Q703" s="10">
        <f t="shared" si="747"/>
        <v>1312500</v>
      </c>
      <c r="R703" s="10">
        <f t="shared" si="747"/>
        <v>153770694</v>
      </c>
      <c r="S703" s="10">
        <f t="shared" si="4"/>
        <v>155083194</v>
      </c>
      <c r="T703" s="10">
        <f t="shared" si="5"/>
        <v>19669499.99</v>
      </c>
      <c r="U703" s="8">
        <v>46112.0</v>
      </c>
      <c r="V703" s="7">
        <v>1.75E8</v>
      </c>
      <c r="W703" s="7">
        <v>1.5533050001E8</v>
      </c>
      <c r="X703" s="7">
        <v>1312500.0</v>
      </c>
      <c r="Y703" s="7">
        <v>1.53770694E8</v>
      </c>
      <c r="Z703" s="7">
        <v>1.966949999E7</v>
      </c>
      <c r="AA703" s="6" t="s">
        <v>52</v>
      </c>
      <c r="AB703" s="11" t="str">
        <f t="shared" si="6"/>
        <v>Include</v>
      </c>
      <c r="AC703" s="1">
        <f t="shared" si="727"/>
        <v>0.9984078722</v>
      </c>
    </row>
    <row r="704" ht="15.0" customHeight="1">
      <c r="B704" s="6">
        <f t="shared" si="8"/>
        <v>702</v>
      </c>
      <c r="C704" s="1" t="s">
        <v>1100</v>
      </c>
      <c r="D704" s="1" t="str">
        <f t="shared" si="2"/>
        <v>Real Estate &amp; Infra</v>
      </c>
      <c r="E704" s="1" t="s">
        <v>44</v>
      </c>
      <c r="F704" s="1" t="s">
        <v>44</v>
      </c>
      <c r="G704" s="1" t="s">
        <v>1100</v>
      </c>
      <c r="H704" s="1" t="s">
        <v>297</v>
      </c>
      <c r="I704" s="1" t="s">
        <v>318</v>
      </c>
      <c r="J704" s="1" t="s">
        <v>918</v>
      </c>
      <c r="K704" s="1" t="s">
        <v>62</v>
      </c>
      <c r="L704" s="1" t="s">
        <v>289</v>
      </c>
      <c r="N704" s="6">
        <v>2022.0</v>
      </c>
      <c r="O704" s="10">
        <f t="shared" ref="O704:R704" si="748">IFERROR(V704*INDEX($AH$4:$AH$8,MATCH($AA704,$AG$4:$AG$8,0)),"")</f>
        <v>125000000</v>
      </c>
      <c r="P704" s="10">
        <f t="shared" si="748"/>
        <v>87088816.01</v>
      </c>
      <c r="Q704" s="10">
        <f t="shared" si="748"/>
        <v>4563018</v>
      </c>
      <c r="R704" s="10">
        <f t="shared" si="748"/>
        <v>58779342</v>
      </c>
      <c r="S704" s="10">
        <f t="shared" si="4"/>
        <v>63342360</v>
      </c>
      <c r="T704" s="10">
        <f t="shared" si="5"/>
        <v>39758579.99</v>
      </c>
      <c r="U704" s="8">
        <v>46112.0</v>
      </c>
      <c r="V704" s="7">
        <v>1.25E8</v>
      </c>
      <c r="W704" s="7">
        <v>8.708881601E7</v>
      </c>
      <c r="X704" s="7">
        <v>4563018.0</v>
      </c>
      <c r="Y704" s="7">
        <v>5.8779342E7</v>
      </c>
      <c r="Z704" s="7">
        <v>3.975857999E7</v>
      </c>
      <c r="AA704" s="6" t="s">
        <v>52</v>
      </c>
      <c r="AB704" s="11" t="str">
        <f t="shared" si="6"/>
        <v>Include</v>
      </c>
      <c r="AC704" s="1">
        <f t="shared" si="727"/>
        <v>0.7273305908</v>
      </c>
    </row>
    <row r="705" ht="15.0" customHeight="1">
      <c r="B705" s="6">
        <f t="shared" si="8"/>
        <v>703</v>
      </c>
      <c r="C705" s="1" t="s">
        <v>1101</v>
      </c>
      <c r="D705" s="1" t="str">
        <f t="shared" si="2"/>
        <v>Real Estate &amp; Infra</v>
      </c>
      <c r="E705" s="1" t="s">
        <v>44</v>
      </c>
      <c r="F705" s="1" t="s">
        <v>44</v>
      </c>
      <c r="G705" s="1" t="s">
        <v>1101</v>
      </c>
      <c r="H705" s="1" t="s">
        <v>291</v>
      </c>
      <c r="I705" s="1" t="s">
        <v>318</v>
      </c>
      <c r="J705" s="1" t="s">
        <v>918</v>
      </c>
      <c r="K705" s="1" t="s">
        <v>62</v>
      </c>
      <c r="L705" s="1" t="s">
        <v>289</v>
      </c>
      <c r="N705" s="6">
        <v>2022.0</v>
      </c>
      <c r="O705" s="10">
        <f t="shared" ref="O705:R705" si="749">IFERROR(V705*INDEX($AH$4:$AH$8,MATCH($AA705,$AG$4:$AG$8,0)),"")</f>
        <v>150000000</v>
      </c>
      <c r="P705" s="10">
        <f t="shared" si="749"/>
        <v>103494982.9</v>
      </c>
      <c r="Q705" s="10">
        <f t="shared" si="749"/>
        <v>2749380.5</v>
      </c>
      <c r="R705" s="10">
        <f t="shared" si="749"/>
        <v>103354000</v>
      </c>
      <c r="S705" s="10">
        <f t="shared" si="4"/>
        <v>106103380.5</v>
      </c>
      <c r="T705" s="10">
        <f t="shared" si="5"/>
        <v>44967084.99</v>
      </c>
      <c r="U705" s="8">
        <v>46112.0</v>
      </c>
      <c r="V705" s="7">
        <v>1.5E8</v>
      </c>
      <c r="W705" s="7">
        <v>1.0349498292E8</v>
      </c>
      <c r="X705" s="7">
        <v>2749380.5</v>
      </c>
      <c r="Y705" s="7">
        <v>1.03354E8</v>
      </c>
      <c r="Z705" s="7">
        <v>4.496708499E7</v>
      </c>
      <c r="AA705" s="6" t="s">
        <v>52</v>
      </c>
      <c r="AB705" s="11" t="str">
        <f t="shared" si="6"/>
        <v>Include</v>
      </c>
      <c r="AC705" s="1">
        <f t="shared" si="727"/>
        <v>1.025203131</v>
      </c>
    </row>
    <row r="706" ht="15.0" customHeight="1">
      <c r="B706" s="6">
        <f t="shared" si="8"/>
        <v>704</v>
      </c>
      <c r="C706" s="1" t="s">
        <v>1102</v>
      </c>
      <c r="D706" s="1" t="str">
        <f t="shared" si="2"/>
        <v>Real Estate &amp; Infra</v>
      </c>
      <c r="E706" s="1" t="s">
        <v>44</v>
      </c>
      <c r="F706" s="1" t="s">
        <v>44</v>
      </c>
      <c r="G706" s="1" t="s">
        <v>1102</v>
      </c>
      <c r="H706" s="1" t="s">
        <v>332</v>
      </c>
      <c r="I706" s="1" t="s">
        <v>318</v>
      </c>
      <c r="J706" s="1" t="s">
        <v>918</v>
      </c>
      <c r="K706" s="1" t="s">
        <v>62</v>
      </c>
      <c r="L706" s="1" t="s">
        <v>993</v>
      </c>
      <c r="N706" s="6">
        <v>2023.0</v>
      </c>
      <c r="O706" s="10">
        <f t="shared" ref="O706:R706" si="750">IFERROR(V706*INDEX($AH$4:$AH$8,MATCH($AA706,$AG$4:$AG$8,0)),"")</f>
        <v>115000000</v>
      </c>
      <c r="P706" s="10">
        <f t="shared" si="750"/>
        <v>19739652</v>
      </c>
      <c r="Q706" s="10">
        <f t="shared" si="750"/>
        <v>1903447</v>
      </c>
      <c r="R706" s="10">
        <f t="shared" si="750"/>
        <v>19232023</v>
      </c>
      <c r="S706" s="10">
        <f t="shared" si="4"/>
        <v>21135470</v>
      </c>
      <c r="T706" s="10">
        <f t="shared" si="5"/>
        <v>94875000</v>
      </c>
      <c r="U706" s="8">
        <v>46112.0</v>
      </c>
      <c r="V706" s="7">
        <v>1.15E8</v>
      </c>
      <c r="W706" s="7">
        <v>1.9739652E7</v>
      </c>
      <c r="X706" s="7">
        <v>1903447.0</v>
      </c>
      <c r="Y706" s="7">
        <v>1.9232023E7</v>
      </c>
      <c r="Z706" s="7">
        <v>9.4875E7</v>
      </c>
      <c r="AA706" s="6" t="s">
        <v>52</v>
      </c>
      <c r="AB706" s="11" t="str">
        <f t="shared" si="6"/>
        <v>Include</v>
      </c>
      <c r="AC706" s="1">
        <f t="shared" si="727"/>
        <v>1.070711378</v>
      </c>
    </row>
    <row r="707" ht="15.0" customHeight="1">
      <c r="B707" s="6">
        <f t="shared" si="8"/>
        <v>705</v>
      </c>
      <c r="C707" s="1" t="s">
        <v>1103</v>
      </c>
      <c r="D707" s="1" t="str">
        <f t="shared" si="2"/>
        <v>Real Estate &amp; Infra</v>
      </c>
      <c r="E707" s="1" t="s">
        <v>44</v>
      </c>
      <c r="F707" s="1" t="s">
        <v>44</v>
      </c>
      <c r="G707" s="1" t="s">
        <v>1103</v>
      </c>
      <c r="H707" s="1" t="s">
        <v>64</v>
      </c>
      <c r="I707" s="1" t="s">
        <v>318</v>
      </c>
      <c r="J707" s="1" t="s">
        <v>918</v>
      </c>
      <c r="K707" s="1" t="s">
        <v>281</v>
      </c>
      <c r="L707" s="1" t="s">
        <v>314</v>
      </c>
      <c r="N707" s="6">
        <v>2023.0</v>
      </c>
      <c r="O707" s="10">
        <f t="shared" ref="O707:R707" si="751">IFERROR(V707*INDEX($AH$4:$AH$8,MATCH($AA707,$AG$4:$AG$8,0)),"")</f>
        <v>300000000</v>
      </c>
      <c r="P707" s="10">
        <f t="shared" si="751"/>
        <v>93955671.64</v>
      </c>
      <c r="Q707" s="10">
        <f t="shared" si="751"/>
        <v>4597085.91</v>
      </c>
      <c r="R707" s="10">
        <f t="shared" si="751"/>
        <v>54762702</v>
      </c>
      <c r="S707" s="10">
        <f t="shared" si="4"/>
        <v>59359787.91</v>
      </c>
      <c r="T707" s="10">
        <f t="shared" si="5"/>
        <v>210641414.3</v>
      </c>
      <c r="U707" s="8">
        <v>46112.0</v>
      </c>
      <c r="V707" s="7">
        <v>3.0E8</v>
      </c>
      <c r="W707" s="7">
        <v>9.395567164E7</v>
      </c>
      <c r="X707" s="7">
        <v>4597085.91</v>
      </c>
      <c r="Y707" s="7">
        <v>5.4762702E7</v>
      </c>
      <c r="Z707" s="7">
        <v>2.1064141427E8</v>
      </c>
      <c r="AA707" s="6" t="s">
        <v>52</v>
      </c>
      <c r="AB707" s="11" t="str">
        <f t="shared" si="6"/>
        <v>Include</v>
      </c>
      <c r="AC707" s="1">
        <f t="shared" si="727"/>
        <v>0.6317850415</v>
      </c>
    </row>
    <row r="708" ht="15.0" customHeight="1">
      <c r="B708" s="6">
        <f t="shared" si="8"/>
        <v>706</v>
      </c>
      <c r="C708" s="1" t="s">
        <v>1104</v>
      </c>
      <c r="D708" s="1" t="str">
        <f t="shared" si="2"/>
        <v>Real Estate &amp; Infra</v>
      </c>
      <c r="E708" s="1" t="s">
        <v>44</v>
      </c>
      <c r="F708" s="1" t="s">
        <v>44</v>
      </c>
      <c r="G708" s="1" t="s">
        <v>1104</v>
      </c>
      <c r="H708" s="1" t="s">
        <v>97</v>
      </c>
      <c r="I708" s="1" t="s">
        <v>318</v>
      </c>
      <c r="J708" s="1" t="s">
        <v>918</v>
      </c>
      <c r="K708" s="1" t="s">
        <v>281</v>
      </c>
      <c r="L708" s="1" t="s">
        <v>282</v>
      </c>
      <c r="N708" s="6">
        <v>2025.0</v>
      </c>
      <c r="O708" s="10">
        <f t="shared" ref="O708:R708" si="752">IFERROR(V708*INDEX($AH$4:$AH$8,MATCH($AA708,$AG$4:$AG$8,0)),"")</f>
        <v>300000000</v>
      </c>
      <c r="P708" s="10">
        <f t="shared" si="752"/>
        <v>18901285.01</v>
      </c>
      <c r="Q708" s="10">
        <f t="shared" si="752"/>
        <v>592540</v>
      </c>
      <c r="R708" s="10">
        <f t="shared" si="752"/>
        <v>-834844</v>
      </c>
      <c r="S708" s="10">
        <f t="shared" si="4"/>
        <v>-242304</v>
      </c>
      <c r="T708" s="10">
        <f t="shared" si="5"/>
        <v>281691255</v>
      </c>
      <c r="U708" s="8">
        <v>46112.0</v>
      </c>
      <c r="V708" s="7">
        <v>3.0E8</v>
      </c>
      <c r="W708" s="7">
        <v>1.890128501E7</v>
      </c>
      <c r="X708" s="7">
        <v>592540.0</v>
      </c>
      <c r="Y708" s="7">
        <v>-834844.0</v>
      </c>
      <c r="Z708" s="7">
        <v>2.8169125499E8</v>
      </c>
      <c r="AA708" s="6" t="s">
        <v>52</v>
      </c>
      <c r="AB708" s="11" t="str">
        <f t="shared" si="6"/>
        <v>Exclude</v>
      </c>
    </row>
    <row r="709" ht="15.0" customHeight="1">
      <c r="B709" s="6">
        <f t="shared" si="8"/>
        <v>707</v>
      </c>
      <c r="C709" s="1" t="s">
        <v>1105</v>
      </c>
      <c r="D709" s="1" t="str">
        <f t="shared" si="2"/>
        <v>Real Estate &amp; Infra</v>
      </c>
      <c r="E709" s="1" t="s">
        <v>44</v>
      </c>
      <c r="F709" s="1" t="s">
        <v>44</v>
      </c>
      <c r="G709" s="1" t="s">
        <v>1105</v>
      </c>
      <c r="H709" s="1" t="s">
        <v>316</v>
      </c>
      <c r="I709" s="1" t="s">
        <v>318</v>
      </c>
      <c r="J709" s="1" t="s">
        <v>918</v>
      </c>
      <c r="K709" s="1" t="s">
        <v>281</v>
      </c>
      <c r="L709" s="1" t="s">
        <v>314</v>
      </c>
      <c r="N709" s="6">
        <v>2025.0</v>
      </c>
      <c r="O709" s="10">
        <f t="shared" ref="O709:R709" si="753">IFERROR(V709*INDEX($AH$4:$AH$8,MATCH($AA709,$AG$4:$AG$8,0)),"")</f>
        <v>150000000</v>
      </c>
      <c r="P709" s="10">
        <f t="shared" si="753"/>
        <v>105261679.2</v>
      </c>
      <c r="Q709" s="10">
        <f t="shared" si="753"/>
        <v>0</v>
      </c>
      <c r="R709" s="10">
        <f t="shared" si="753"/>
        <v>114127950.7</v>
      </c>
      <c r="S709" s="10">
        <f t="shared" si="4"/>
        <v>114127950.7</v>
      </c>
      <c r="T709" s="10">
        <f t="shared" si="5"/>
        <v>47100000</v>
      </c>
      <c r="U709" s="8">
        <v>46112.0</v>
      </c>
      <c r="V709" s="7">
        <v>1.5E8</v>
      </c>
      <c r="W709" s="7">
        <v>1.0526167923E8</v>
      </c>
      <c r="X709" s="7">
        <v>0.0</v>
      </c>
      <c r="Y709" s="7">
        <v>1.1412795073E8</v>
      </c>
      <c r="Z709" s="7">
        <v>4.71E7</v>
      </c>
      <c r="AA709" s="6" t="s">
        <v>52</v>
      </c>
      <c r="AB709" s="11" t="str">
        <f t="shared" si="6"/>
        <v>Include</v>
      </c>
      <c r="AC709" s="1">
        <f t="shared" ref="AC709:AC711" si="755">S709/P709</f>
        <v>1.084230762</v>
      </c>
    </row>
    <row r="710" ht="15.0" customHeight="1">
      <c r="B710" s="6">
        <f t="shared" si="8"/>
        <v>708</v>
      </c>
      <c r="C710" s="1" t="s">
        <v>1106</v>
      </c>
      <c r="D710" s="1" t="str">
        <f t="shared" si="2"/>
        <v>Real Estate &amp; Infra</v>
      </c>
      <c r="E710" s="1" t="s">
        <v>44</v>
      </c>
      <c r="F710" s="1" t="s">
        <v>44</v>
      </c>
      <c r="G710" s="1" t="s">
        <v>1107</v>
      </c>
      <c r="H710" s="1" t="s">
        <v>1108</v>
      </c>
      <c r="I710" s="1" t="s">
        <v>318</v>
      </c>
      <c r="J710" s="1" t="s">
        <v>918</v>
      </c>
      <c r="K710" s="1" t="s">
        <v>62</v>
      </c>
      <c r="L710" s="1" t="s">
        <v>993</v>
      </c>
      <c r="N710" s="6">
        <v>2023.0</v>
      </c>
      <c r="O710" s="10">
        <f t="shared" ref="O710:R710" si="754">IFERROR(V710*INDEX($AH$4:$AH$8,MATCH($AA710,$AG$4:$AG$8,0)),"")</f>
        <v>86663250</v>
      </c>
      <c r="P710" s="10">
        <f t="shared" si="754"/>
        <v>22732440.68</v>
      </c>
      <c r="Q710" s="10">
        <f t="shared" si="754"/>
        <v>0</v>
      </c>
      <c r="R710" s="10">
        <f t="shared" si="754"/>
        <v>16613356.58</v>
      </c>
      <c r="S710" s="10">
        <f t="shared" si="4"/>
        <v>16613356.58</v>
      </c>
      <c r="T710" s="10">
        <f t="shared" si="5"/>
        <v>64801015.81</v>
      </c>
      <c r="U710" s="8">
        <v>46112.0</v>
      </c>
      <c r="V710" s="7">
        <v>7.5E7</v>
      </c>
      <c r="W710" s="7">
        <v>1.967308001E7</v>
      </c>
      <c r="X710" s="7">
        <v>0.0</v>
      </c>
      <c r="Y710" s="7">
        <v>1.437751E7</v>
      </c>
      <c r="Z710" s="7">
        <v>5.608001299E7</v>
      </c>
      <c r="AA710" s="6" t="s">
        <v>45</v>
      </c>
      <c r="AB710" s="11" t="str">
        <f t="shared" si="6"/>
        <v>Include</v>
      </c>
      <c r="AC710" s="1">
        <f t="shared" si="755"/>
        <v>0.730821508</v>
      </c>
    </row>
    <row r="711" ht="15.0" customHeight="1">
      <c r="B711" s="6">
        <f t="shared" si="8"/>
        <v>709</v>
      </c>
      <c r="C711" s="1" t="s">
        <v>1109</v>
      </c>
      <c r="D711" s="1" t="str">
        <f t="shared" si="2"/>
        <v>Real Estate &amp; Infra</v>
      </c>
      <c r="E711" s="1" t="s">
        <v>44</v>
      </c>
      <c r="F711" s="1" t="s">
        <v>44</v>
      </c>
      <c r="G711" s="1" t="s">
        <v>1109</v>
      </c>
      <c r="H711" s="1" t="s">
        <v>1110</v>
      </c>
      <c r="I711" s="1" t="s">
        <v>318</v>
      </c>
      <c r="J711" s="1" t="s">
        <v>918</v>
      </c>
      <c r="K711" s="1" t="s">
        <v>62</v>
      </c>
      <c r="L711" s="1" t="s">
        <v>289</v>
      </c>
      <c r="N711" s="6">
        <v>2023.0</v>
      </c>
      <c r="O711" s="10">
        <f t="shared" ref="O711:R711" si="756">IFERROR(V711*INDEX($AH$4:$AH$8,MATCH($AA711,$AG$4:$AG$8,0)),"")</f>
        <v>30444707</v>
      </c>
      <c r="P711" s="10">
        <f t="shared" si="756"/>
        <v>16029816.62</v>
      </c>
      <c r="Q711" s="10">
        <f t="shared" si="756"/>
        <v>516956.7</v>
      </c>
      <c r="R711" s="10">
        <f t="shared" si="756"/>
        <v>13047143</v>
      </c>
      <c r="S711" s="10">
        <f t="shared" si="4"/>
        <v>13564099.7</v>
      </c>
      <c r="T711" s="10">
        <f t="shared" si="5"/>
        <v>15222353.5</v>
      </c>
      <c r="U711" s="8">
        <v>46112.0</v>
      </c>
      <c r="V711" s="7">
        <v>3.0444707E7</v>
      </c>
      <c r="W711" s="7">
        <v>1.602981662E7</v>
      </c>
      <c r="X711" s="7">
        <v>516956.7</v>
      </c>
      <c r="Y711" s="7">
        <v>1.3047143E7</v>
      </c>
      <c r="Z711" s="7">
        <v>1.52223535E7</v>
      </c>
      <c r="AA711" s="6" t="s">
        <v>52</v>
      </c>
      <c r="AB711" s="11" t="str">
        <f t="shared" si="6"/>
        <v>Include</v>
      </c>
      <c r="AC711" s="1">
        <f t="shared" si="755"/>
        <v>0.8461793433</v>
      </c>
    </row>
    <row r="712" ht="15.0" customHeight="1">
      <c r="B712" s="6">
        <f t="shared" si="8"/>
        <v>710</v>
      </c>
      <c r="C712" s="1" t="s">
        <v>1111</v>
      </c>
      <c r="D712" s="1" t="str">
        <f t="shared" si="2"/>
        <v>Real Estate &amp; Infra</v>
      </c>
      <c r="E712" s="1" t="s">
        <v>44</v>
      </c>
      <c r="F712" s="1" t="s">
        <v>44</v>
      </c>
      <c r="G712" s="1" t="s">
        <v>1111</v>
      </c>
      <c r="H712" s="1" t="s">
        <v>1033</v>
      </c>
      <c r="I712" s="1" t="s">
        <v>318</v>
      </c>
      <c r="J712" s="1" t="s">
        <v>918</v>
      </c>
      <c r="K712" s="1" t="s">
        <v>62</v>
      </c>
      <c r="L712" s="1" t="s">
        <v>301</v>
      </c>
      <c r="N712" s="6">
        <v>2025.0</v>
      </c>
      <c r="O712" s="10">
        <f t="shared" ref="O712:R712" si="757">IFERROR(V712*INDEX($AH$4:$AH$8,MATCH($AA712,$AG$4:$AG$8,0)),"")</f>
        <v>150000000</v>
      </c>
      <c r="P712" s="10">
        <f t="shared" si="757"/>
        <v>0.01</v>
      </c>
      <c r="Q712" s="10">
        <f t="shared" si="757"/>
        <v>0</v>
      </c>
      <c r="R712" s="10">
        <f t="shared" si="757"/>
        <v>-312153</v>
      </c>
      <c r="S712" s="10">
        <f t="shared" si="4"/>
        <v>-312153</v>
      </c>
      <c r="T712" s="10">
        <f t="shared" si="5"/>
        <v>150000000</v>
      </c>
      <c r="U712" s="8">
        <v>46112.0</v>
      </c>
      <c r="V712" s="7">
        <v>1.5E8</v>
      </c>
      <c r="W712" s="7">
        <v>0.01</v>
      </c>
      <c r="X712" s="7">
        <v>0.0</v>
      </c>
      <c r="Y712" s="7">
        <v>-312153.0</v>
      </c>
      <c r="Z712" s="7">
        <v>1.4999999999E8</v>
      </c>
      <c r="AA712" s="6" t="s">
        <v>52</v>
      </c>
      <c r="AB712" s="11" t="str">
        <f t="shared" si="6"/>
        <v>Exclude</v>
      </c>
    </row>
    <row r="713" ht="15.0" customHeight="1">
      <c r="B713" s="6">
        <f t="shared" si="8"/>
        <v>711</v>
      </c>
      <c r="C713" s="1" t="s">
        <v>1112</v>
      </c>
      <c r="D713" s="1" t="str">
        <f t="shared" si="2"/>
        <v>Real Estate &amp; Infra</v>
      </c>
      <c r="E713" s="1" t="s">
        <v>44</v>
      </c>
      <c r="F713" s="1" t="s">
        <v>44</v>
      </c>
      <c r="G713" s="1" t="s">
        <v>1112</v>
      </c>
      <c r="H713" s="1" t="s">
        <v>981</v>
      </c>
      <c r="I713" s="1" t="s">
        <v>318</v>
      </c>
      <c r="J713" s="1" t="s">
        <v>918</v>
      </c>
      <c r="K713" s="1" t="s">
        <v>62</v>
      </c>
      <c r="L713" s="1" t="s">
        <v>289</v>
      </c>
      <c r="N713" s="6">
        <v>2026.0</v>
      </c>
      <c r="O713" s="10">
        <f t="shared" ref="O713:R713" si="758">IFERROR(V713*INDEX($AH$4:$AH$8,MATCH($AA713,$AG$4:$AG$8,0)),"")</f>
        <v>100000000</v>
      </c>
      <c r="P713" s="10">
        <f t="shared" si="758"/>
        <v>0</v>
      </c>
      <c r="Q713" s="10">
        <f t="shared" si="758"/>
        <v>0</v>
      </c>
      <c r="R713" s="10">
        <f t="shared" si="758"/>
        <v>0</v>
      </c>
      <c r="S713" s="10">
        <f t="shared" si="4"/>
        <v>0</v>
      </c>
      <c r="T713" s="10">
        <f t="shared" si="5"/>
        <v>100000000</v>
      </c>
      <c r="U713" s="8"/>
      <c r="V713" s="7">
        <v>1.0E8</v>
      </c>
      <c r="W713" s="7">
        <v>0.0</v>
      </c>
      <c r="X713" s="7">
        <v>0.0</v>
      </c>
      <c r="Y713" s="7"/>
      <c r="Z713" s="7">
        <v>1.0E8</v>
      </c>
      <c r="AA713" s="6" t="s">
        <v>52</v>
      </c>
      <c r="AB713" s="11" t="str">
        <f t="shared" si="6"/>
        <v>Exclude</v>
      </c>
    </row>
    <row r="714" ht="15.0" customHeight="1">
      <c r="B714" s="6">
        <f t="shared" si="8"/>
        <v>712</v>
      </c>
      <c r="C714" s="1" t="s">
        <v>1113</v>
      </c>
      <c r="D714" s="1" t="str">
        <f t="shared" si="2"/>
        <v>Real Estate &amp; Infra</v>
      </c>
      <c r="E714" s="1" t="s">
        <v>44</v>
      </c>
      <c r="F714" s="1" t="s">
        <v>44</v>
      </c>
      <c r="G714" s="1" t="s">
        <v>1113</v>
      </c>
      <c r="H714" s="1" t="s">
        <v>64</v>
      </c>
      <c r="I714" s="1" t="s">
        <v>318</v>
      </c>
      <c r="J714" s="1" t="s">
        <v>918</v>
      </c>
      <c r="K714" s="1" t="s">
        <v>62</v>
      </c>
      <c r="L714" s="1" t="s">
        <v>289</v>
      </c>
      <c r="N714" s="6">
        <v>2026.0</v>
      </c>
      <c r="O714" s="10">
        <f t="shared" ref="O714:R714" si="759">IFERROR(V714*INDEX($AH$4:$AH$8,MATCH($AA714,$AG$4:$AG$8,0)),"")</f>
        <v>591000000</v>
      </c>
      <c r="P714" s="10">
        <f t="shared" si="759"/>
        <v>509398718</v>
      </c>
      <c r="Q714" s="10">
        <f t="shared" si="759"/>
        <v>0</v>
      </c>
      <c r="R714" s="10">
        <f t="shared" si="759"/>
        <v>0</v>
      </c>
      <c r="S714" s="10">
        <f t="shared" si="4"/>
        <v>0</v>
      </c>
      <c r="T714" s="10">
        <f t="shared" si="5"/>
        <v>81601282</v>
      </c>
      <c r="U714" s="8"/>
      <c r="V714" s="7">
        <v>5.91E8</v>
      </c>
      <c r="W714" s="7">
        <v>5.09398718E8</v>
      </c>
      <c r="X714" s="7">
        <v>0.0</v>
      </c>
      <c r="Y714" s="7"/>
      <c r="Z714" s="7">
        <v>8.1601282E7</v>
      </c>
      <c r="AA714" s="6" t="s">
        <v>52</v>
      </c>
      <c r="AB714" s="11" t="str">
        <f t="shared" si="6"/>
        <v>Exclude</v>
      </c>
    </row>
    <row r="715" ht="15.0" customHeight="1">
      <c r="B715" s="6">
        <f t="shared" si="8"/>
        <v>713</v>
      </c>
      <c r="C715" s="1" t="s">
        <v>1114</v>
      </c>
      <c r="D715" s="1" t="str">
        <f t="shared" si="2"/>
        <v>Real Estate &amp; Infra</v>
      </c>
      <c r="E715" s="1" t="s">
        <v>44</v>
      </c>
      <c r="F715" s="1" t="s">
        <v>44</v>
      </c>
      <c r="G715" s="1" t="s">
        <v>1114</v>
      </c>
      <c r="H715" s="1" t="s">
        <v>297</v>
      </c>
      <c r="I715" s="1" t="s">
        <v>318</v>
      </c>
      <c r="J715" s="1" t="s">
        <v>918</v>
      </c>
      <c r="K715" s="1" t="s">
        <v>62</v>
      </c>
      <c r="L715" s="1" t="s">
        <v>289</v>
      </c>
      <c r="N715" s="6">
        <v>2026.0</v>
      </c>
      <c r="O715" s="10">
        <f t="shared" ref="O715:R715" si="760">IFERROR(V715*INDEX($AH$4:$AH$8,MATCH($AA715,$AG$4:$AG$8,0)),"")</f>
        <v>150000000</v>
      </c>
      <c r="P715" s="10">
        <f t="shared" si="760"/>
        <v>0</v>
      </c>
      <c r="Q715" s="10">
        <f t="shared" si="760"/>
        <v>0</v>
      </c>
      <c r="R715" s="10">
        <f t="shared" si="760"/>
        <v>0</v>
      </c>
      <c r="S715" s="10">
        <f t="shared" si="4"/>
        <v>0</v>
      </c>
      <c r="T715" s="10">
        <f t="shared" si="5"/>
        <v>150000000</v>
      </c>
      <c r="U715" s="8"/>
      <c r="V715" s="7">
        <v>1.5E8</v>
      </c>
      <c r="W715" s="7">
        <v>0.0</v>
      </c>
      <c r="X715" s="7">
        <v>0.0</v>
      </c>
      <c r="Y715" s="7"/>
      <c r="Z715" s="7">
        <v>1.5E8</v>
      </c>
      <c r="AA715" s="6" t="s">
        <v>52</v>
      </c>
      <c r="AB715" s="11" t="str">
        <f t="shared" si="6"/>
        <v>Exclude</v>
      </c>
    </row>
    <row r="716" ht="15.0" customHeight="1">
      <c r="B716" s="6">
        <f t="shared" si="8"/>
        <v>714</v>
      </c>
      <c r="C716" s="1" t="s">
        <v>1115</v>
      </c>
      <c r="D716" s="1" t="str">
        <f t="shared" si="2"/>
        <v>Real Estate &amp; Infra</v>
      </c>
      <c r="E716" s="1" t="s">
        <v>44</v>
      </c>
      <c r="F716" s="1" t="s">
        <v>44</v>
      </c>
      <c r="G716" s="1" t="s">
        <v>1115</v>
      </c>
      <c r="H716" s="1" t="s">
        <v>1116</v>
      </c>
      <c r="I716" s="1" t="s">
        <v>1117</v>
      </c>
      <c r="J716" s="1" t="s">
        <v>1118</v>
      </c>
      <c r="K716" s="1" t="s">
        <v>54</v>
      </c>
      <c r="L716" s="1" t="s">
        <v>286</v>
      </c>
      <c r="N716" s="6">
        <v>1986.0</v>
      </c>
      <c r="O716" s="10">
        <f t="shared" ref="O716:R716" si="761">IFERROR(V716*INDEX($AH$4:$AH$8,MATCH($AA716,$AG$4:$AG$8,0)),"")</f>
        <v>9980000</v>
      </c>
      <c r="P716" s="10">
        <f t="shared" si="761"/>
        <v>10093273.08</v>
      </c>
      <c r="Q716" s="10">
        <f t="shared" si="761"/>
        <v>17584708.05</v>
      </c>
      <c r="R716" s="10">
        <f t="shared" si="761"/>
        <v>8182212.41</v>
      </c>
      <c r="S716" s="10">
        <f t="shared" si="4"/>
        <v>25766920.46</v>
      </c>
      <c r="T716" s="10">
        <f t="shared" si="5"/>
        <v>0</v>
      </c>
      <c r="U716" s="8">
        <v>46112.0</v>
      </c>
      <c r="V716" s="7">
        <v>9980000.0</v>
      </c>
      <c r="W716" s="7">
        <v>1.009327308E7</v>
      </c>
      <c r="X716" s="7">
        <v>1.758470805E7</v>
      </c>
      <c r="Y716" s="7">
        <v>8182212.41</v>
      </c>
      <c r="Z716" s="7">
        <v>0.0</v>
      </c>
      <c r="AA716" s="6" t="s">
        <v>52</v>
      </c>
      <c r="AB716" s="11" t="str">
        <f t="shared" si="6"/>
        <v>Include</v>
      </c>
      <c r="AC716" s="1">
        <f t="shared" ref="AC716:AC717" si="763">S716/P716</f>
        <v>2.552880543</v>
      </c>
    </row>
    <row r="717" ht="15.0" customHeight="1">
      <c r="B717" s="6">
        <f t="shared" si="8"/>
        <v>715</v>
      </c>
      <c r="C717" s="1" t="s">
        <v>1119</v>
      </c>
      <c r="D717" s="1" t="str">
        <f t="shared" si="2"/>
        <v>Real Estate &amp; Infra</v>
      </c>
      <c r="E717" s="1" t="s">
        <v>44</v>
      </c>
      <c r="F717" s="1" t="s">
        <v>44</v>
      </c>
      <c r="G717" s="1" t="s">
        <v>1119</v>
      </c>
      <c r="H717" s="1" t="s">
        <v>285</v>
      </c>
      <c r="I717" s="1" t="s">
        <v>1117</v>
      </c>
      <c r="J717" s="1" t="s">
        <v>1118</v>
      </c>
      <c r="K717" s="1" t="s">
        <v>54</v>
      </c>
      <c r="L717" s="1" t="s">
        <v>286</v>
      </c>
      <c r="N717" s="6">
        <v>1987.0</v>
      </c>
      <c r="O717" s="10">
        <f t="shared" ref="O717:R717" si="762">IFERROR(V717*INDEX($AH$4:$AH$8,MATCH($AA717,$AG$4:$AG$8,0)),"")</f>
        <v>131991000</v>
      </c>
      <c r="P717" s="10">
        <f t="shared" si="762"/>
        <v>133807305.9</v>
      </c>
      <c r="Q717" s="10">
        <f t="shared" si="762"/>
        <v>210969850.9</v>
      </c>
      <c r="R717" s="10">
        <f t="shared" si="762"/>
        <v>65271781</v>
      </c>
      <c r="S717" s="10">
        <f t="shared" si="4"/>
        <v>276241631.9</v>
      </c>
      <c r="T717" s="10">
        <f t="shared" si="5"/>
        <v>0</v>
      </c>
      <c r="U717" s="8">
        <v>46112.0</v>
      </c>
      <c r="V717" s="7">
        <v>1.31991E8</v>
      </c>
      <c r="W717" s="7">
        <v>1.3380730589E8</v>
      </c>
      <c r="X717" s="7">
        <v>2.1096985085E8</v>
      </c>
      <c r="Y717" s="7">
        <v>6.5271781E7</v>
      </c>
      <c r="Z717" s="7">
        <v>0.0</v>
      </c>
      <c r="AA717" s="6" t="s">
        <v>52</v>
      </c>
      <c r="AB717" s="11" t="str">
        <f t="shared" si="6"/>
        <v>Include</v>
      </c>
      <c r="AC717" s="1">
        <f t="shared" si="763"/>
        <v>2.064473461</v>
      </c>
    </row>
    <row r="718" ht="15.0" customHeight="1">
      <c r="B718" s="6">
        <f t="shared" si="8"/>
        <v>716</v>
      </c>
      <c r="C718" s="1" t="s">
        <v>1120</v>
      </c>
      <c r="D718" s="1" t="str">
        <f t="shared" si="2"/>
        <v>Real Estate &amp; Infra</v>
      </c>
      <c r="E718" s="1" t="s">
        <v>44</v>
      </c>
      <c r="F718" s="1" t="s">
        <v>44</v>
      </c>
      <c r="G718" s="1" t="s">
        <v>1120</v>
      </c>
      <c r="H718" s="1" t="s">
        <v>1121</v>
      </c>
      <c r="I718" s="1" t="s">
        <v>1117</v>
      </c>
      <c r="J718" s="1" t="s">
        <v>1118</v>
      </c>
      <c r="K718" s="1" t="s">
        <v>54</v>
      </c>
      <c r="L718" s="1" t="s">
        <v>286</v>
      </c>
      <c r="N718" s="6">
        <v>1993.0</v>
      </c>
      <c r="O718" s="10">
        <f t="shared" ref="O718:R718" si="764">IFERROR(V718*INDEX($AH$4:$AH$8,MATCH($AA718,$AG$4:$AG$8,0)),"")</f>
        <v>82653000</v>
      </c>
      <c r="P718" s="10">
        <f t="shared" si="764"/>
        <v>82760276.24</v>
      </c>
      <c r="Q718" s="10">
        <f t="shared" si="764"/>
        <v>108042829.6</v>
      </c>
      <c r="R718" s="10">
        <f t="shared" si="764"/>
        <v>0</v>
      </c>
      <c r="S718" s="10">
        <f t="shared" si="4"/>
        <v>108042829.6</v>
      </c>
      <c r="T718" s="10">
        <f t="shared" si="5"/>
        <v>0.17</v>
      </c>
      <c r="U718" s="8">
        <v>41364.0</v>
      </c>
      <c r="V718" s="7">
        <v>8.2653E7</v>
      </c>
      <c r="W718" s="7">
        <v>8.276027624E7</v>
      </c>
      <c r="X718" s="7">
        <v>1.0804282962E8</v>
      </c>
      <c r="Y718" s="7">
        <v>0.0</v>
      </c>
      <c r="Z718" s="7">
        <v>0.17</v>
      </c>
      <c r="AA718" s="6" t="s">
        <v>52</v>
      </c>
      <c r="AB718" s="11" t="str">
        <f t="shared" si="6"/>
        <v>Exclude</v>
      </c>
    </row>
    <row r="719" ht="15.0" customHeight="1">
      <c r="B719" s="6">
        <f t="shared" si="8"/>
        <v>717</v>
      </c>
      <c r="C719" s="1" t="s">
        <v>1122</v>
      </c>
      <c r="D719" s="1" t="str">
        <f t="shared" si="2"/>
        <v>Real Estate &amp; Infra</v>
      </c>
      <c r="E719" s="1" t="s">
        <v>44</v>
      </c>
      <c r="F719" s="1" t="s">
        <v>44</v>
      </c>
      <c r="G719" s="1" t="s">
        <v>1122</v>
      </c>
      <c r="H719" s="1" t="s">
        <v>1123</v>
      </c>
      <c r="I719" s="1" t="s">
        <v>1117</v>
      </c>
      <c r="J719" s="1" t="s">
        <v>1118</v>
      </c>
      <c r="K719" s="1" t="s">
        <v>54</v>
      </c>
      <c r="L719" s="1" t="s">
        <v>286</v>
      </c>
      <c r="N719" s="6">
        <v>1993.0</v>
      </c>
      <c r="O719" s="10">
        <f t="shared" ref="O719:R719" si="765">IFERROR(V719*INDEX($AH$4:$AH$8,MATCH($AA719,$AG$4:$AG$8,0)),"")</f>
        <v>150403000</v>
      </c>
      <c r="P719" s="10">
        <f t="shared" si="765"/>
        <v>151746925.9</v>
      </c>
      <c r="Q719" s="10">
        <f t="shared" si="765"/>
        <v>263052839.6</v>
      </c>
      <c r="R719" s="10">
        <f t="shared" si="765"/>
        <v>30111627</v>
      </c>
      <c r="S719" s="10">
        <f t="shared" si="4"/>
        <v>293164466.6</v>
      </c>
      <c r="T719" s="10">
        <f t="shared" si="5"/>
        <v>0</v>
      </c>
      <c r="U719" s="8">
        <v>46112.0</v>
      </c>
      <c r="V719" s="7">
        <v>1.50403E8</v>
      </c>
      <c r="W719" s="7">
        <v>1.5174692586E8</v>
      </c>
      <c r="X719" s="7">
        <v>2.6305283961E8</v>
      </c>
      <c r="Y719" s="7">
        <v>3.0111627E7</v>
      </c>
      <c r="Z719" s="7">
        <v>0.0</v>
      </c>
      <c r="AA719" s="6" t="s">
        <v>52</v>
      </c>
      <c r="AB719" s="11" t="str">
        <f t="shared" si="6"/>
        <v>Include</v>
      </c>
      <c r="AC719" s="1">
        <f t="shared" ref="AC719:AC720" si="767">S719/P719</f>
        <v>1.931930185</v>
      </c>
    </row>
    <row r="720" ht="15.0" customHeight="1">
      <c r="B720" s="6">
        <f t="shared" si="8"/>
        <v>718</v>
      </c>
      <c r="C720" s="1" t="s">
        <v>1124</v>
      </c>
      <c r="D720" s="1" t="str">
        <f t="shared" si="2"/>
        <v>Real Estate &amp; Infra</v>
      </c>
      <c r="E720" s="1" t="s">
        <v>44</v>
      </c>
      <c r="F720" s="1" t="s">
        <v>44</v>
      </c>
      <c r="G720" s="1" t="s">
        <v>1125</v>
      </c>
      <c r="H720" s="1" t="s">
        <v>1126</v>
      </c>
      <c r="I720" s="1" t="s">
        <v>1117</v>
      </c>
      <c r="J720" s="1" t="s">
        <v>1118</v>
      </c>
      <c r="K720" s="1" t="s">
        <v>62</v>
      </c>
      <c r="L720" s="1" t="s">
        <v>1127</v>
      </c>
      <c r="N720" s="6">
        <v>1993.0</v>
      </c>
      <c r="O720" s="10">
        <f t="shared" ref="O720:R720" si="766">IFERROR(V720*INDEX($AH$4:$AH$8,MATCH($AA720,$AG$4:$AG$8,0)),"")</f>
        <v>133179000</v>
      </c>
      <c r="P720" s="10">
        <f t="shared" si="766"/>
        <v>274863325.1</v>
      </c>
      <c r="Q720" s="10">
        <f t="shared" si="766"/>
        <v>373433807.3</v>
      </c>
      <c r="R720" s="10">
        <f t="shared" si="766"/>
        <v>15482975.58</v>
      </c>
      <c r="S720" s="10">
        <f t="shared" si="4"/>
        <v>388916782.9</v>
      </c>
      <c r="T720" s="10">
        <f t="shared" si="5"/>
        <v>0</v>
      </c>
      <c r="U720" s="8">
        <v>46022.0</v>
      </c>
      <c r="V720" s="7">
        <v>1.33179E8</v>
      </c>
      <c r="W720" s="7">
        <v>2.7486332505E8</v>
      </c>
      <c r="X720" s="7">
        <v>3.7343380732E8</v>
      </c>
      <c r="Y720" s="7">
        <v>1.548297558E7</v>
      </c>
      <c r="Z720" s="7">
        <v>0.0</v>
      </c>
      <c r="AA720" s="6" t="s">
        <v>52</v>
      </c>
      <c r="AB720" s="11" t="str">
        <f t="shared" si="6"/>
        <v>Include</v>
      </c>
      <c r="AC720" s="1">
        <f t="shared" si="767"/>
        <v>1.414946075</v>
      </c>
    </row>
    <row r="721" ht="15.0" customHeight="1">
      <c r="B721" s="6">
        <f t="shared" si="8"/>
        <v>719</v>
      </c>
      <c r="C721" s="1" t="s">
        <v>1128</v>
      </c>
      <c r="D721" s="1" t="str">
        <f t="shared" si="2"/>
        <v>Real Estate &amp; Infra</v>
      </c>
      <c r="E721" s="1" t="s">
        <v>44</v>
      </c>
      <c r="F721" s="1" t="s">
        <v>44</v>
      </c>
      <c r="G721" s="1" t="s">
        <v>1128</v>
      </c>
      <c r="H721" s="1" t="s">
        <v>322</v>
      </c>
      <c r="I721" s="1" t="s">
        <v>1117</v>
      </c>
      <c r="J721" s="1" t="s">
        <v>1118</v>
      </c>
      <c r="K721" s="1" t="s">
        <v>54</v>
      </c>
      <c r="L721" s="1" t="s">
        <v>286</v>
      </c>
      <c r="N721" s="6">
        <v>2013.0</v>
      </c>
      <c r="O721" s="10">
        <f t="shared" ref="O721:R721" si="768">IFERROR(V721*INDEX($AH$4:$AH$8,MATCH($AA721,$AG$4:$AG$8,0)),"")</f>
        <v>879844</v>
      </c>
      <c r="P721" s="10">
        <f t="shared" si="768"/>
        <v>1106388.08</v>
      </c>
      <c r="Q721" s="10">
        <f t="shared" si="768"/>
        <v>1338723.49</v>
      </c>
      <c r="R721" s="10">
        <f t="shared" si="768"/>
        <v>0</v>
      </c>
      <c r="S721" s="10">
        <f t="shared" si="4"/>
        <v>1338723.49</v>
      </c>
      <c r="T721" s="10">
        <f t="shared" si="5"/>
        <v>0.26</v>
      </c>
      <c r="U721" s="8">
        <v>42088.0</v>
      </c>
      <c r="V721" s="7">
        <v>879844.0</v>
      </c>
      <c r="W721" s="7">
        <v>1106388.08</v>
      </c>
      <c r="X721" s="7">
        <v>1338723.49</v>
      </c>
      <c r="Y721" s="7">
        <v>0.0</v>
      </c>
      <c r="Z721" s="7">
        <v>0.26</v>
      </c>
      <c r="AA721" s="6" t="s">
        <v>52</v>
      </c>
      <c r="AB721" s="11" t="str">
        <f t="shared" si="6"/>
        <v>Exclude</v>
      </c>
    </row>
    <row r="722" ht="15.0" customHeight="1">
      <c r="B722" s="6">
        <f t="shared" si="8"/>
        <v>720</v>
      </c>
      <c r="C722" s="1" t="s">
        <v>1129</v>
      </c>
      <c r="D722" s="1" t="str">
        <f t="shared" si="2"/>
        <v>Real Estate &amp; Infra</v>
      </c>
      <c r="E722" s="1" t="s">
        <v>44</v>
      </c>
      <c r="F722" s="1" t="s">
        <v>44</v>
      </c>
      <c r="G722" s="1" t="s">
        <v>1129</v>
      </c>
      <c r="H722" s="1" t="s">
        <v>1130</v>
      </c>
      <c r="I722" s="1" t="s">
        <v>1117</v>
      </c>
      <c r="J722" s="1" t="s">
        <v>1118</v>
      </c>
      <c r="K722" s="1" t="s">
        <v>54</v>
      </c>
      <c r="L722" s="1" t="s">
        <v>286</v>
      </c>
      <c r="N722" s="6">
        <v>1980.0</v>
      </c>
      <c r="O722" s="10">
        <f t="shared" ref="O722:R722" si="769">IFERROR(V722*INDEX($AH$4:$AH$8,MATCH($AA722,$AG$4:$AG$8,0)),"")</f>
        <v>1940917889</v>
      </c>
      <c r="P722" s="10">
        <f t="shared" si="769"/>
        <v>1845114863</v>
      </c>
      <c r="Q722" s="10">
        <f t="shared" si="769"/>
        <v>2943215250</v>
      </c>
      <c r="R722" s="10">
        <f t="shared" si="769"/>
        <v>0</v>
      </c>
      <c r="S722" s="10">
        <f t="shared" si="4"/>
        <v>2943215250</v>
      </c>
      <c r="T722" s="10">
        <f t="shared" si="5"/>
        <v>0</v>
      </c>
      <c r="U722" s="8">
        <v>41090.0</v>
      </c>
      <c r="V722" s="7">
        <v>1.94091788937E9</v>
      </c>
      <c r="W722" s="7">
        <v>1.84511486337E9</v>
      </c>
      <c r="X722" s="7">
        <v>2.94321524952E9</v>
      </c>
      <c r="Y722" s="7">
        <v>0.0</v>
      </c>
      <c r="Z722" s="7">
        <v>0.0</v>
      </c>
      <c r="AA722" s="6" t="s">
        <v>52</v>
      </c>
      <c r="AB722" s="11" t="str">
        <f t="shared" si="6"/>
        <v>Exclude</v>
      </c>
    </row>
    <row r="723" ht="15.0" customHeight="1">
      <c r="B723" s="6">
        <f t="shared" si="8"/>
        <v>721</v>
      </c>
      <c r="C723" s="1" t="s">
        <v>1131</v>
      </c>
      <c r="D723" s="1" t="str">
        <f t="shared" si="2"/>
        <v>Real Estate &amp; Infra</v>
      </c>
      <c r="E723" s="1" t="s">
        <v>44</v>
      </c>
      <c r="F723" s="1" t="s">
        <v>44</v>
      </c>
      <c r="G723" s="1" t="s">
        <v>1131</v>
      </c>
      <c r="H723" s="1" t="s">
        <v>1116</v>
      </c>
      <c r="I723" s="1" t="s">
        <v>1117</v>
      </c>
      <c r="J723" s="1" t="s">
        <v>1118</v>
      </c>
      <c r="K723" s="1" t="s">
        <v>281</v>
      </c>
      <c r="L723" s="1" t="s">
        <v>282</v>
      </c>
      <c r="N723" s="6">
        <v>2017.0</v>
      </c>
      <c r="O723" s="10">
        <f t="shared" ref="O723:R723" si="770">IFERROR(V723*INDEX($AH$4:$AH$8,MATCH($AA723,$AG$4:$AG$8,0)),"")</f>
        <v>9236885.62</v>
      </c>
      <c r="P723" s="10">
        <f t="shared" si="770"/>
        <v>9236886.01</v>
      </c>
      <c r="Q723" s="10">
        <f t="shared" si="770"/>
        <v>0</v>
      </c>
      <c r="R723" s="10">
        <f t="shared" si="770"/>
        <v>1596238.49</v>
      </c>
      <c r="S723" s="10">
        <f t="shared" si="4"/>
        <v>1596238.49</v>
      </c>
      <c r="T723" s="10">
        <f t="shared" si="5"/>
        <v>-0.39</v>
      </c>
      <c r="U723" s="8">
        <v>46112.0</v>
      </c>
      <c r="V723" s="7">
        <v>9236885.62</v>
      </c>
      <c r="W723" s="7">
        <v>9236886.01</v>
      </c>
      <c r="X723" s="7">
        <v>0.0</v>
      </c>
      <c r="Y723" s="7">
        <v>1596238.49</v>
      </c>
      <c r="Z723" s="7">
        <v>-0.39</v>
      </c>
      <c r="AA723" s="6" t="s">
        <v>52</v>
      </c>
      <c r="AB723" s="11" t="str">
        <f t="shared" si="6"/>
        <v>Include</v>
      </c>
      <c r="AC723" s="1">
        <f>S723/P723</f>
        <v>0.1728113228</v>
      </c>
    </row>
    <row r="724" ht="15.0" customHeight="1">
      <c r="B724" s="6">
        <f t="shared" si="8"/>
        <v>722</v>
      </c>
      <c r="C724" s="1" t="s">
        <v>1132</v>
      </c>
      <c r="D724" s="1" t="str">
        <f t="shared" si="2"/>
        <v>Real Estate &amp; Infra</v>
      </c>
      <c r="E724" s="1" t="s">
        <v>44</v>
      </c>
      <c r="F724" s="1" t="s">
        <v>44</v>
      </c>
      <c r="G724" s="1" t="s">
        <v>1132</v>
      </c>
      <c r="H724" s="1" t="s">
        <v>291</v>
      </c>
      <c r="I724" s="1" t="s">
        <v>1117</v>
      </c>
      <c r="J724" s="1" t="s">
        <v>1118</v>
      </c>
      <c r="K724" s="1" t="s">
        <v>54</v>
      </c>
      <c r="L724" s="1" t="s">
        <v>286</v>
      </c>
      <c r="N724" s="6">
        <v>2018.0</v>
      </c>
      <c r="O724" s="10">
        <f t="shared" ref="O724:R724" si="771">IFERROR(V724*INDEX($AH$4:$AH$8,MATCH($AA724,$AG$4:$AG$8,0)),"")</f>
        <v>19111234.74</v>
      </c>
      <c r="P724" s="10">
        <f t="shared" si="771"/>
        <v>19111234.74</v>
      </c>
      <c r="Q724" s="10">
        <f t="shared" si="771"/>
        <v>37818612.9</v>
      </c>
      <c r="R724" s="10">
        <f t="shared" si="771"/>
        <v>0</v>
      </c>
      <c r="S724" s="10">
        <f t="shared" si="4"/>
        <v>37818612.9</v>
      </c>
      <c r="T724" s="10">
        <f t="shared" si="5"/>
        <v>0</v>
      </c>
      <c r="U724" s="8">
        <v>45198.0</v>
      </c>
      <c r="V724" s="7">
        <v>1.911123474E7</v>
      </c>
      <c r="W724" s="7">
        <v>1.911123474E7</v>
      </c>
      <c r="X724" s="7">
        <v>3.78186129E7</v>
      </c>
      <c r="Y724" s="7">
        <v>0.0</v>
      </c>
      <c r="Z724" s="7">
        <v>0.0</v>
      </c>
      <c r="AA724" s="6" t="s">
        <v>52</v>
      </c>
      <c r="AB724" s="11" t="str">
        <f t="shared" si="6"/>
        <v>Exclude</v>
      </c>
    </row>
    <row r="725" ht="15.0" customHeight="1">
      <c r="B725" s="6">
        <f t="shared" si="8"/>
        <v>723</v>
      </c>
      <c r="C725" s="1" t="s">
        <v>1133</v>
      </c>
      <c r="D725" s="1" t="str">
        <f t="shared" si="2"/>
        <v>Real Estate &amp; Infra</v>
      </c>
      <c r="E725" s="1" t="s">
        <v>44</v>
      </c>
      <c r="F725" s="1" t="s">
        <v>44</v>
      </c>
      <c r="G725" s="1" t="s">
        <v>1133</v>
      </c>
      <c r="H725" s="1" t="s">
        <v>291</v>
      </c>
      <c r="I725" s="1" t="s">
        <v>1117</v>
      </c>
      <c r="J725" s="1" t="s">
        <v>1118</v>
      </c>
      <c r="K725" s="1" t="s">
        <v>54</v>
      </c>
      <c r="L725" s="1" t="s">
        <v>286</v>
      </c>
      <c r="N725" s="6">
        <v>2018.0</v>
      </c>
      <c r="O725" s="10">
        <f t="shared" ref="O725:R725" si="772">IFERROR(V725*INDEX($AH$4:$AH$8,MATCH($AA725,$AG$4:$AG$8,0)),"")</f>
        <v>55264940</v>
      </c>
      <c r="P725" s="10">
        <f t="shared" si="772"/>
        <v>55264939.74</v>
      </c>
      <c r="Q725" s="10">
        <f t="shared" si="772"/>
        <v>115994680.7</v>
      </c>
      <c r="R725" s="10">
        <f t="shared" si="772"/>
        <v>0</v>
      </c>
      <c r="S725" s="10">
        <f t="shared" si="4"/>
        <v>115994680.7</v>
      </c>
      <c r="T725" s="10">
        <f t="shared" si="5"/>
        <v>0.26</v>
      </c>
      <c r="U725" s="8">
        <v>45198.0</v>
      </c>
      <c r="V725" s="7">
        <v>5.526494E7</v>
      </c>
      <c r="W725" s="7">
        <v>5.526493974E7</v>
      </c>
      <c r="X725" s="7">
        <v>1.1599468067E8</v>
      </c>
      <c r="Y725" s="7">
        <v>0.0</v>
      </c>
      <c r="Z725" s="7">
        <v>0.26</v>
      </c>
      <c r="AA725" s="6" t="s">
        <v>52</v>
      </c>
      <c r="AB725" s="11" t="str">
        <f t="shared" si="6"/>
        <v>Exclude</v>
      </c>
    </row>
    <row r="726" ht="15.0" customHeight="1">
      <c r="B726" s="6">
        <f t="shared" si="8"/>
        <v>724</v>
      </c>
      <c r="C726" s="1" t="s">
        <v>1134</v>
      </c>
      <c r="D726" s="1" t="str">
        <f t="shared" si="2"/>
        <v>Real Estate &amp; Infra</v>
      </c>
      <c r="E726" s="1" t="s">
        <v>44</v>
      </c>
      <c r="F726" s="1" t="s">
        <v>44</v>
      </c>
      <c r="G726" s="1" t="s">
        <v>1134</v>
      </c>
      <c r="H726" s="1" t="s">
        <v>291</v>
      </c>
      <c r="I726" s="1" t="s">
        <v>1117</v>
      </c>
      <c r="J726" s="1" t="s">
        <v>1118</v>
      </c>
      <c r="K726" s="1" t="s">
        <v>54</v>
      </c>
      <c r="L726" s="1" t="s">
        <v>286</v>
      </c>
      <c r="N726" s="6">
        <v>2018.0</v>
      </c>
      <c r="O726" s="10">
        <f t="shared" ref="O726:R726" si="773">IFERROR(V726*INDEX($AH$4:$AH$8,MATCH($AA726,$AG$4:$AG$8,0)),"")</f>
        <v>36747146.57</v>
      </c>
      <c r="P726" s="10">
        <f t="shared" si="773"/>
        <v>36747625.06</v>
      </c>
      <c r="Q726" s="10">
        <f t="shared" si="773"/>
        <v>69460824.63</v>
      </c>
      <c r="R726" s="10">
        <f t="shared" si="773"/>
        <v>0</v>
      </c>
      <c r="S726" s="10">
        <f t="shared" si="4"/>
        <v>69460824.63</v>
      </c>
      <c r="T726" s="10">
        <f t="shared" si="5"/>
        <v>0</v>
      </c>
      <c r="U726" s="8">
        <v>45730.0</v>
      </c>
      <c r="V726" s="7">
        <v>3.674714657E7</v>
      </c>
      <c r="W726" s="7">
        <v>3.674762506E7</v>
      </c>
      <c r="X726" s="7">
        <v>6.946082463E7</v>
      </c>
      <c r="Y726" s="7">
        <v>0.0</v>
      </c>
      <c r="Z726" s="7">
        <v>0.0</v>
      </c>
      <c r="AA726" s="6" t="s">
        <v>52</v>
      </c>
      <c r="AB726" s="11" t="str">
        <f t="shared" si="6"/>
        <v>Exclude</v>
      </c>
    </row>
    <row r="727" ht="15.0" customHeight="1">
      <c r="B727" s="6">
        <f t="shared" si="8"/>
        <v>725</v>
      </c>
      <c r="C727" s="1" t="s">
        <v>1135</v>
      </c>
      <c r="D727" s="1" t="str">
        <f t="shared" si="2"/>
        <v>Real Estate &amp; Infra</v>
      </c>
      <c r="E727" s="1" t="s">
        <v>44</v>
      </c>
      <c r="F727" s="1" t="s">
        <v>44</v>
      </c>
      <c r="G727" s="1" t="s">
        <v>1135</v>
      </c>
      <c r="H727" s="1" t="s">
        <v>291</v>
      </c>
      <c r="I727" s="1" t="s">
        <v>1117</v>
      </c>
      <c r="J727" s="1" t="s">
        <v>1118</v>
      </c>
      <c r="K727" s="1" t="s">
        <v>54</v>
      </c>
      <c r="L727" s="1" t="s">
        <v>286</v>
      </c>
      <c r="N727" s="6">
        <v>2018.0</v>
      </c>
      <c r="O727" s="10">
        <f t="shared" ref="O727:R727" si="774">IFERROR(V727*INDEX($AH$4:$AH$8,MATCH($AA727,$AG$4:$AG$8,0)),"")</f>
        <v>34550304.7</v>
      </c>
      <c r="P727" s="10">
        <f t="shared" si="774"/>
        <v>34550304.7</v>
      </c>
      <c r="Q727" s="10">
        <f t="shared" si="774"/>
        <v>52764135.14</v>
      </c>
      <c r="R727" s="10">
        <f t="shared" si="774"/>
        <v>0</v>
      </c>
      <c r="S727" s="10">
        <f t="shared" si="4"/>
        <v>52764135.14</v>
      </c>
      <c r="T727" s="10">
        <f t="shared" si="5"/>
        <v>0</v>
      </c>
      <c r="U727" s="8">
        <v>45198.0</v>
      </c>
      <c r="V727" s="7">
        <v>3.45503047E7</v>
      </c>
      <c r="W727" s="7">
        <v>3.45503047E7</v>
      </c>
      <c r="X727" s="7">
        <v>5.276413514E7</v>
      </c>
      <c r="Y727" s="7">
        <v>0.0</v>
      </c>
      <c r="Z727" s="7">
        <v>0.0</v>
      </c>
      <c r="AA727" s="6" t="s">
        <v>52</v>
      </c>
      <c r="AB727" s="11" t="str">
        <f t="shared" si="6"/>
        <v>Exclude</v>
      </c>
    </row>
    <row r="728" ht="15.0" customHeight="1">
      <c r="B728" s="6">
        <f t="shared" si="8"/>
        <v>726</v>
      </c>
      <c r="C728" s="1" t="s">
        <v>1136</v>
      </c>
      <c r="D728" s="1" t="str">
        <f t="shared" si="2"/>
        <v>Real Estate &amp; Infra</v>
      </c>
      <c r="E728" s="1" t="s">
        <v>44</v>
      </c>
      <c r="F728" s="1" t="s">
        <v>44</v>
      </c>
      <c r="G728" s="1" t="s">
        <v>1136</v>
      </c>
      <c r="H728" s="1" t="s">
        <v>1116</v>
      </c>
      <c r="I728" s="1" t="s">
        <v>1117</v>
      </c>
      <c r="J728" s="1" t="s">
        <v>1118</v>
      </c>
      <c r="K728" s="1" t="s">
        <v>281</v>
      </c>
      <c r="L728" s="1" t="s">
        <v>282</v>
      </c>
      <c r="N728" s="6">
        <v>2020.0</v>
      </c>
      <c r="O728" s="10">
        <f t="shared" ref="O728:R728" si="775">IFERROR(V728*INDEX($AH$4:$AH$8,MATCH($AA728,$AG$4:$AG$8,0)),"")</f>
        <v>1329452.61</v>
      </c>
      <c r="P728" s="10">
        <f t="shared" si="775"/>
        <v>1329452.61</v>
      </c>
      <c r="Q728" s="10">
        <f t="shared" si="775"/>
        <v>0</v>
      </c>
      <c r="R728" s="10">
        <f t="shared" si="775"/>
        <v>561150.98</v>
      </c>
      <c r="S728" s="10">
        <f t="shared" si="4"/>
        <v>561150.98</v>
      </c>
      <c r="T728" s="10">
        <f t="shared" si="5"/>
        <v>0</v>
      </c>
      <c r="U728" s="8">
        <v>46112.0</v>
      </c>
      <c r="V728" s="7">
        <v>1329452.61</v>
      </c>
      <c r="W728" s="7">
        <v>1329452.61</v>
      </c>
      <c r="X728" s="7">
        <v>0.0</v>
      </c>
      <c r="Y728" s="7">
        <v>561150.98</v>
      </c>
      <c r="Z728" s="7">
        <v>0.0</v>
      </c>
      <c r="AA728" s="6" t="s">
        <v>52</v>
      </c>
      <c r="AB728" s="11" t="str">
        <f t="shared" si="6"/>
        <v>Include</v>
      </c>
      <c r="AC728" s="1">
        <f t="shared" ref="AC728:AC729" si="777">S728/P728</f>
        <v>0.422091751</v>
      </c>
    </row>
    <row r="729" ht="15.0" customHeight="1">
      <c r="B729" s="6">
        <f t="shared" si="8"/>
        <v>727</v>
      </c>
      <c r="C729" s="1" t="s">
        <v>1137</v>
      </c>
      <c r="D729" s="1" t="str">
        <f t="shared" si="2"/>
        <v>Real Estate &amp; Infra</v>
      </c>
      <c r="E729" s="1" t="s">
        <v>9</v>
      </c>
      <c r="F729" s="1" t="s">
        <v>9</v>
      </c>
      <c r="G729" s="1" t="s">
        <v>1137</v>
      </c>
      <c r="H729" s="1" t="s">
        <v>322</v>
      </c>
      <c r="I729" s="1" t="s">
        <v>1138</v>
      </c>
      <c r="J729" s="1" t="s">
        <v>319</v>
      </c>
      <c r="K729" s="1" t="s">
        <v>41</v>
      </c>
      <c r="L729" s="1" t="s">
        <v>55</v>
      </c>
      <c r="N729" s="6">
        <v>2022.0</v>
      </c>
      <c r="O729" s="10">
        <f t="shared" ref="O729:R729" si="776">IFERROR(V729*INDEX($AH$4:$AH$8,MATCH($AA729,$AG$4:$AG$8,0)),"")</f>
        <v>250000000</v>
      </c>
      <c r="P729" s="10">
        <f t="shared" si="776"/>
        <v>208465481.4</v>
      </c>
      <c r="Q729" s="10">
        <f t="shared" si="776"/>
        <v>52722478.47</v>
      </c>
      <c r="R729" s="10">
        <f t="shared" si="776"/>
        <v>192361041</v>
      </c>
      <c r="S729" s="10">
        <f t="shared" si="4"/>
        <v>245083519.5</v>
      </c>
      <c r="T729" s="10">
        <f t="shared" si="5"/>
        <v>60939076.26</v>
      </c>
      <c r="U729" s="8">
        <v>46112.0</v>
      </c>
      <c r="V729" s="7">
        <v>2.5E8</v>
      </c>
      <c r="W729" s="7">
        <v>2.084654814E8</v>
      </c>
      <c r="X729" s="7">
        <v>5.272247847E7</v>
      </c>
      <c r="Y729" s="7">
        <v>1.92361041E8</v>
      </c>
      <c r="Z729" s="7">
        <v>6.093907626E7</v>
      </c>
      <c r="AA729" s="6" t="s">
        <v>52</v>
      </c>
      <c r="AB729" s="11" t="str">
        <f t="shared" si="6"/>
        <v>Include</v>
      </c>
      <c r="AC729" s="1">
        <f t="shared" si="777"/>
        <v>1.175655163</v>
      </c>
    </row>
    <row r="730" ht="15.0" customHeight="1">
      <c r="B730" s="6">
        <f t="shared" si="8"/>
        <v>728</v>
      </c>
      <c r="C730" s="1" t="s">
        <v>1139</v>
      </c>
      <c r="D730" s="1" t="str">
        <f t="shared" si="2"/>
        <v>Private Credit</v>
      </c>
      <c r="E730" s="1" t="s">
        <v>39</v>
      </c>
      <c r="F730" s="1" t="s">
        <v>39</v>
      </c>
      <c r="G730" s="1" t="s">
        <v>1139</v>
      </c>
      <c r="H730" s="1" t="s">
        <v>232</v>
      </c>
      <c r="I730" s="1" t="s">
        <v>1138</v>
      </c>
      <c r="J730" s="1" t="s">
        <v>345</v>
      </c>
      <c r="K730" s="1" t="s">
        <v>92</v>
      </c>
      <c r="L730" s="1" t="s">
        <v>93</v>
      </c>
      <c r="N730" s="6">
        <v>2009.0</v>
      </c>
      <c r="O730" s="10">
        <f t="shared" ref="O730:R730" si="778">IFERROR(V730*INDEX($AH$4:$AH$8,MATCH($AA730,$AG$4:$AG$8,0)),"")</f>
        <v>500000000</v>
      </c>
      <c r="P730" s="10">
        <f t="shared" si="778"/>
        <v>500000000</v>
      </c>
      <c r="Q730" s="10">
        <f t="shared" si="778"/>
        <v>868921996.2</v>
      </c>
      <c r="R730" s="10">
        <f t="shared" si="778"/>
        <v>0</v>
      </c>
      <c r="S730" s="10">
        <f t="shared" si="4"/>
        <v>868921996.2</v>
      </c>
      <c r="T730" s="10">
        <f t="shared" si="5"/>
        <v>0</v>
      </c>
      <c r="U730" s="8">
        <v>44835.0</v>
      </c>
      <c r="V730" s="7">
        <v>5.0E8</v>
      </c>
      <c r="W730" s="7">
        <v>5.0E8</v>
      </c>
      <c r="X730" s="7">
        <v>8.6892199622E8</v>
      </c>
      <c r="Y730" s="7">
        <v>0.0</v>
      </c>
      <c r="Z730" s="7">
        <v>0.0</v>
      </c>
      <c r="AA730" s="6" t="s">
        <v>52</v>
      </c>
      <c r="AB730" s="11" t="str">
        <f t="shared" si="6"/>
        <v>Exclude</v>
      </c>
    </row>
    <row r="731" ht="15.0" customHeight="1">
      <c r="B731" s="6">
        <f t="shared" si="8"/>
        <v>729</v>
      </c>
      <c r="C731" s="1" t="s">
        <v>1140</v>
      </c>
      <c r="D731" s="1" t="str">
        <f t="shared" si="2"/>
        <v>Private Credit</v>
      </c>
      <c r="E731" s="1" t="s">
        <v>39</v>
      </c>
      <c r="F731" s="1" t="s">
        <v>39</v>
      </c>
      <c r="G731" s="1" t="s">
        <v>1140</v>
      </c>
      <c r="H731" s="1" t="s">
        <v>105</v>
      </c>
      <c r="I731" s="1" t="s">
        <v>1138</v>
      </c>
      <c r="J731" s="1" t="s">
        <v>345</v>
      </c>
      <c r="K731" s="1" t="s">
        <v>92</v>
      </c>
      <c r="L731" s="1" t="s">
        <v>93</v>
      </c>
      <c r="N731" s="6">
        <v>2014.0</v>
      </c>
      <c r="O731" s="10">
        <f t="shared" ref="O731:R731" si="779">IFERROR(V731*INDEX($AH$4:$AH$8,MATCH($AA731,$AG$4:$AG$8,0)),"")</f>
        <v>250000000</v>
      </c>
      <c r="P731" s="10">
        <f t="shared" si="779"/>
        <v>811271248.6</v>
      </c>
      <c r="Q731" s="10">
        <f t="shared" si="779"/>
        <v>846015357.6</v>
      </c>
      <c r="R731" s="10">
        <f t="shared" si="779"/>
        <v>215862853</v>
      </c>
      <c r="S731" s="10">
        <f t="shared" si="4"/>
        <v>1061878211</v>
      </c>
      <c r="T731" s="10">
        <f t="shared" si="5"/>
        <v>44641233.64</v>
      </c>
      <c r="U731" s="8">
        <v>46112.0</v>
      </c>
      <c r="V731" s="7">
        <v>2.5E8</v>
      </c>
      <c r="W731" s="7">
        <v>8.1127124862E8</v>
      </c>
      <c r="X731" s="7">
        <v>8.4601535755E8</v>
      </c>
      <c r="Y731" s="7">
        <v>2.15862853E8</v>
      </c>
      <c r="Z731" s="7">
        <v>4.464123364E7</v>
      </c>
      <c r="AA731" s="6" t="s">
        <v>52</v>
      </c>
      <c r="AB731" s="11" t="str">
        <f t="shared" si="6"/>
        <v>Include</v>
      </c>
      <c r="AC731" s="1">
        <f t="shared" ref="AC731:AC739" si="781">S731/P731</f>
        <v>1.3089065</v>
      </c>
    </row>
    <row r="732" ht="15.0" customHeight="1">
      <c r="B732" s="6">
        <f t="shared" si="8"/>
        <v>730</v>
      </c>
      <c r="C732" s="1" t="s">
        <v>1141</v>
      </c>
      <c r="D732" s="1" t="str">
        <f t="shared" si="2"/>
        <v>Private Credit</v>
      </c>
      <c r="E732" s="1" t="s">
        <v>39</v>
      </c>
      <c r="F732" s="1" t="s">
        <v>39</v>
      </c>
      <c r="G732" s="1" t="s">
        <v>1141</v>
      </c>
      <c r="H732" s="1" t="s">
        <v>109</v>
      </c>
      <c r="I732" s="1" t="s">
        <v>1138</v>
      </c>
      <c r="J732" s="1" t="s">
        <v>345</v>
      </c>
      <c r="K732" s="1" t="s">
        <v>102</v>
      </c>
      <c r="L732" s="1" t="s">
        <v>421</v>
      </c>
      <c r="N732" s="6">
        <v>2014.0</v>
      </c>
      <c r="O732" s="10">
        <f t="shared" ref="O732:R732" si="780">IFERROR(V732*INDEX($AH$4:$AH$8,MATCH($AA732,$AG$4:$AG$8,0)),"")</f>
        <v>540000000</v>
      </c>
      <c r="P732" s="10">
        <f t="shared" si="780"/>
        <v>984765833.2</v>
      </c>
      <c r="Q732" s="10">
        <f t="shared" si="780"/>
        <v>577705323.6</v>
      </c>
      <c r="R732" s="10">
        <f t="shared" si="780"/>
        <v>763593955</v>
      </c>
      <c r="S732" s="10">
        <f t="shared" si="4"/>
        <v>1341299279</v>
      </c>
      <c r="T732" s="10">
        <f t="shared" si="5"/>
        <v>126229988.8</v>
      </c>
      <c r="U732" s="8">
        <v>46112.0</v>
      </c>
      <c r="V732" s="7">
        <v>5.4E8</v>
      </c>
      <c r="W732" s="7">
        <v>9.8476583317E8</v>
      </c>
      <c r="X732" s="7">
        <v>5.7770532357E8</v>
      </c>
      <c r="Y732" s="7">
        <v>7.63593955E8</v>
      </c>
      <c r="Z732" s="7">
        <v>1.2622998876E8</v>
      </c>
      <c r="AA732" s="6" t="s">
        <v>52</v>
      </c>
      <c r="AB732" s="11" t="str">
        <f t="shared" si="6"/>
        <v>Include</v>
      </c>
      <c r="AC732" s="1">
        <f t="shared" si="781"/>
        <v>1.36204896</v>
      </c>
    </row>
    <row r="733" ht="15.0" customHeight="1">
      <c r="B733" s="6">
        <f t="shared" si="8"/>
        <v>731</v>
      </c>
      <c r="C733" s="1" t="s">
        <v>1142</v>
      </c>
      <c r="D733" s="1" t="str">
        <f t="shared" si="2"/>
        <v>Private Credit</v>
      </c>
      <c r="E733" s="1" t="s">
        <v>39</v>
      </c>
      <c r="F733" s="1" t="s">
        <v>39</v>
      </c>
      <c r="G733" s="1" t="s">
        <v>1142</v>
      </c>
      <c r="H733" s="1" t="s">
        <v>223</v>
      </c>
      <c r="I733" s="1" t="s">
        <v>1138</v>
      </c>
      <c r="J733" s="1" t="s">
        <v>345</v>
      </c>
      <c r="K733" s="1" t="s">
        <v>102</v>
      </c>
      <c r="L733" s="1" t="s">
        <v>103</v>
      </c>
      <c r="N733" s="6">
        <v>2015.0</v>
      </c>
      <c r="O733" s="10">
        <f t="shared" ref="O733:R733" si="782">IFERROR(V733*INDEX($AH$4:$AH$8,MATCH($AA733,$AG$4:$AG$8,0)),"")</f>
        <v>440000000</v>
      </c>
      <c r="P733" s="10">
        <f t="shared" si="782"/>
        <v>511975475.5</v>
      </c>
      <c r="Q733" s="10">
        <f t="shared" si="782"/>
        <v>299846749.4</v>
      </c>
      <c r="R733" s="10">
        <f t="shared" si="782"/>
        <v>539518049</v>
      </c>
      <c r="S733" s="10">
        <f t="shared" si="4"/>
        <v>839364798.4</v>
      </c>
      <c r="T733" s="10">
        <f t="shared" si="5"/>
        <v>115942466</v>
      </c>
      <c r="U733" s="8">
        <v>46173.0</v>
      </c>
      <c r="V733" s="7">
        <v>4.4E8</v>
      </c>
      <c r="W733" s="7">
        <v>5.1197547547E8</v>
      </c>
      <c r="X733" s="7">
        <v>2.9984674941E8</v>
      </c>
      <c r="Y733" s="7">
        <v>5.39518049E8</v>
      </c>
      <c r="Z733" s="7">
        <v>1.1594246604E8</v>
      </c>
      <c r="AA733" s="6" t="s">
        <v>52</v>
      </c>
      <c r="AB733" s="11" t="str">
        <f t="shared" si="6"/>
        <v>Include</v>
      </c>
      <c r="AC733" s="1">
        <f t="shared" si="781"/>
        <v>1.639462901</v>
      </c>
    </row>
    <row r="734" ht="15.0" customHeight="1">
      <c r="B734" s="6">
        <f t="shared" si="8"/>
        <v>732</v>
      </c>
      <c r="C734" s="1" t="s">
        <v>1143</v>
      </c>
      <c r="D734" s="1" t="str">
        <f t="shared" si="2"/>
        <v>Private Credit</v>
      </c>
      <c r="E734" s="1" t="s">
        <v>39</v>
      </c>
      <c r="F734" s="1" t="s">
        <v>39</v>
      </c>
      <c r="G734" s="1" t="s">
        <v>1143</v>
      </c>
      <c r="H734" s="1" t="s">
        <v>105</v>
      </c>
      <c r="I734" s="1" t="s">
        <v>1138</v>
      </c>
      <c r="J734" s="1" t="s">
        <v>345</v>
      </c>
      <c r="K734" s="1" t="s">
        <v>92</v>
      </c>
      <c r="L734" s="1" t="s">
        <v>93</v>
      </c>
      <c r="N734" s="6">
        <v>2014.0</v>
      </c>
      <c r="O734" s="10">
        <f t="shared" ref="O734:R734" si="783">IFERROR(V734*INDEX($AH$4:$AH$8,MATCH($AA734,$AG$4:$AG$8,0)),"")</f>
        <v>250000000</v>
      </c>
      <c r="P734" s="10">
        <f t="shared" si="783"/>
        <v>733789742.8</v>
      </c>
      <c r="Q734" s="10">
        <f t="shared" si="783"/>
        <v>655495222.9</v>
      </c>
      <c r="R734" s="10">
        <f t="shared" si="783"/>
        <v>217831417</v>
      </c>
      <c r="S734" s="10">
        <f t="shared" si="4"/>
        <v>873326639.9</v>
      </c>
      <c r="T734" s="10">
        <f t="shared" si="5"/>
        <v>77275826.91</v>
      </c>
      <c r="U734" s="8">
        <v>46112.0</v>
      </c>
      <c r="V734" s="7">
        <v>2.5E8</v>
      </c>
      <c r="W734" s="7">
        <v>7.3378974278E8</v>
      </c>
      <c r="X734" s="7">
        <v>6.5549522291E8</v>
      </c>
      <c r="Y734" s="7">
        <v>2.17831417E8</v>
      </c>
      <c r="Z734" s="7">
        <v>7.727582691E7</v>
      </c>
      <c r="AA734" s="6" t="s">
        <v>52</v>
      </c>
      <c r="AB734" s="11" t="str">
        <f t="shared" si="6"/>
        <v>Include</v>
      </c>
      <c r="AC734" s="1">
        <f t="shared" si="781"/>
        <v>1.190159236</v>
      </c>
    </row>
    <row r="735" ht="15.0" customHeight="1">
      <c r="B735" s="6">
        <f t="shared" si="8"/>
        <v>733</v>
      </c>
      <c r="C735" s="1" t="s">
        <v>1144</v>
      </c>
      <c r="D735" s="1" t="str">
        <f t="shared" si="2"/>
        <v>Private Credit</v>
      </c>
      <c r="E735" s="1" t="s">
        <v>39</v>
      </c>
      <c r="F735" s="1" t="s">
        <v>39</v>
      </c>
      <c r="G735" s="1" t="s">
        <v>1144</v>
      </c>
      <c r="H735" s="1" t="s">
        <v>101</v>
      </c>
      <c r="I735" s="1" t="s">
        <v>1138</v>
      </c>
      <c r="J735" s="1" t="s">
        <v>345</v>
      </c>
      <c r="K735" s="1" t="s">
        <v>102</v>
      </c>
      <c r="L735" s="1" t="s">
        <v>103</v>
      </c>
      <c r="N735" s="6">
        <v>2016.0</v>
      </c>
      <c r="O735" s="10">
        <f t="shared" ref="O735:R735" si="784">IFERROR(V735*INDEX($AH$4:$AH$8,MATCH($AA735,$AG$4:$AG$8,0)),"")</f>
        <v>400000000</v>
      </c>
      <c r="P735" s="10">
        <f t="shared" si="784"/>
        <v>353638554.2</v>
      </c>
      <c r="Q735" s="10">
        <f t="shared" si="784"/>
        <v>257102763.5</v>
      </c>
      <c r="R735" s="10">
        <f t="shared" si="784"/>
        <v>352098904.1</v>
      </c>
      <c r="S735" s="10">
        <f t="shared" si="4"/>
        <v>609201667.6</v>
      </c>
      <c r="T735" s="10">
        <f t="shared" si="5"/>
        <v>194210712.5</v>
      </c>
      <c r="U735" s="8">
        <v>46112.0</v>
      </c>
      <c r="V735" s="7">
        <v>4.0E8</v>
      </c>
      <c r="W735" s="7">
        <v>3.5363855422E8</v>
      </c>
      <c r="X735" s="7">
        <v>2.5710276354E8</v>
      </c>
      <c r="Y735" s="7">
        <v>3.5209890405E8</v>
      </c>
      <c r="Z735" s="7">
        <v>1.9421071246E8</v>
      </c>
      <c r="AA735" s="6" t="s">
        <v>52</v>
      </c>
      <c r="AB735" s="11" t="str">
        <f t="shared" si="6"/>
        <v>Include</v>
      </c>
      <c r="AC735" s="1">
        <f t="shared" si="781"/>
        <v>1.722667566</v>
      </c>
    </row>
    <row r="736" ht="15.0" customHeight="1">
      <c r="B736" s="6">
        <f t="shared" si="8"/>
        <v>734</v>
      </c>
      <c r="C736" s="1" t="s">
        <v>1145</v>
      </c>
      <c r="D736" s="1" t="str">
        <f t="shared" si="2"/>
        <v>Private Credit</v>
      </c>
      <c r="E736" s="1" t="s">
        <v>39</v>
      </c>
      <c r="F736" s="1" t="s">
        <v>39</v>
      </c>
      <c r="G736" s="1" t="s">
        <v>1145</v>
      </c>
      <c r="H736" s="1" t="s">
        <v>105</v>
      </c>
      <c r="I736" s="1" t="s">
        <v>1138</v>
      </c>
      <c r="J736" s="1" t="s">
        <v>345</v>
      </c>
      <c r="K736" s="1" t="s">
        <v>92</v>
      </c>
      <c r="L736" s="1" t="s">
        <v>93</v>
      </c>
      <c r="N736" s="6">
        <v>2020.0</v>
      </c>
      <c r="O736" s="10">
        <f t="shared" ref="O736:R736" si="785">IFERROR(V736*INDEX($AH$4:$AH$8,MATCH($AA736,$AG$4:$AG$8,0)),"")</f>
        <v>200000000</v>
      </c>
      <c r="P736" s="10">
        <f t="shared" si="785"/>
        <v>359971568.5</v>
      </c>
      <c r="Q736" s="10">
        <f t="shared" si="785"/>
        <v>267774723.9</v>
      </c>
      <c r="R736" s="10">
        <f t="shared" si="785"/>
        <v>166154425</v>
      </c>
      <c r="S736" s="10">
        <f t="shared" si="4"/>
        <v>433929148.9</v>
      </c>
      <c r="T736" s="10">
        <f t="shared" si="5"/>
        <v>68844959.48</v>
      </c>
      <c r="U736" s="8">
        <v>46112.0</v>
      </c>
      <c r="V736" s="7">
        <v>2.0E8</v>
      </c>
      <c r="W736" s="7">
        <v>3.599715685E8</v>
      </c>
      <c r="X736" s="7">
        <v>2.6777472387E8</v>
      </c>
      <c r="Y736" s="7">
        <v>1.66154425E8</v>
      </c>
      <c r="Z736" s="7">
        <v>6.884495948E7</v>
      </c>
      <c r="AA736" s="6" t="s">
        <v>52</v>
      </c>
      <c r="AB736" s="11" t="str">
        <f t="shared" si="6"/>
        <v>Include</v>
      </c>
      <c r="AC736" s="1">
        <f t="shared" si="781"/>
        <v>1.205453949</v>
      </c>
    </row>
    <row r="737" ht="15.0" customHeight="1">
      <c r="B737" s="6">
        <f t="shared" si="8"/>
        <v>735</v>
      </c>
      <c r="C737" s="1" t="s">
        <v>1146</v>
      </c>
      <c r="D737" s="1" t="str">
        <f t="shared" si="2"/>
        <v>Private Credit</v>
      </c>
      <c r="E737" s="1" t="s">
        <v>39</v>
      </c>
      <c r="F737" s="1" t="s">
        <v>39</v>
      </c>
      <c r="G737" s="1" t="s">
        <v>1147</v>
      </c>
      <c r="H737" s="1" t="s">
        <v>418</v>
      </c>
      <c r="I737" s="1" t="s">
        <v>1138</v>
      </c>
      <c r="J737" s="1" t="s">
        <v>345</v>
      </c>
      <c r="K737" s="1" t="s">
        <v>376</v>
      </c>
      <c r="L737" s="1" t="s">
        <v>419</v>
      </c>
      <c r="N737" s="6">
        <v>2023.0</v>
      </c>
      <c r="O737" s="10">
        <f t="shared" ref="O737:R737" si="786">IFERROR(V737*INDEX($AH$4:$AH$8,MATCH($AA737,$AG$4:$AG$8,0)),"")</f>
        <v>450000000</v>
      </c>
      <c r="P737" s="10">
        <f t="shared" si="786"/>
        <v>241781812.8</v>
      </c>
      <c r="Q737" s="10">
        <f t="shared" si="786"/>
        <v>160708771.9</v>
      </c>
      <c r="R737" s="10">
        <f t="shared" si="786"/>
        <v>312908803</v>
      </c>
      <c r="S737" s="10">
        <f t="shared" si="4"/>
        <v>473617574.9</v>
      </c>
      <c r="T737" s="10">
        <f t="shared" si="5"/>
        <v>227627232.8</v>
      </c>
      <c r="U737" s="8">
        <v>46112.0</v>
      </c>
      <c r="V737" s="7">
        <v>4.5E8</v>
      </c>
      <c r="W737" s="7">
        <v>2.4178181283E8</v>
      </c>
      <c r="X737" s="7">
        <v>1.60708771891E8</v>
      </c>
      <c r="Y737" s="7">
        <v>3.12908803E8</v>
      </c>
      <c r="Z737" s="7">
        <v>2.27627232781E8</v>
      </c>
      <c r="AA737" s="6" t="s">
        <v>52</v>
      </c>
      <c r="AB737" s="11" t="str">
        <f t="shared" si="6"/>
        <v>Include</v>
      </c>
      <c r="AC737" s="1">
        <f t="shared" si="781"/>
        <v>1.958863528</v>
      </c>
    </row>
    <row r="738" ht="15.0" customHeight="1">
      <c r="B738" s="6">
        <f t="shared" si="8"/>
        <v>736</v>
      </c>
      <c r="C738" s="1" t="s">
        <v>1148</v>
      </c>
      <c r="D738" s="1" t="str">
        <f t="shared" si="2"/>
        <v>Real Estate &amp; Infra</v>
      </c>
      <c r="E738" s="1" t="s">
        <v>44</v>
      </c>
      <c r="F738" s="1" t="s">
        <v>44</v>
      </c>
      <c r="G738" s="1" t="s">
        <v>1148</v>
      </c>
      <c r="H738" s="1" t="s">
        <v>279</v>
      </c>
      <c r="I738" s="1" t="s">
        <v>1138</v>
      </c>
      <c r="J738" s="1" t="s">
        <v>918</v>
      </c>
      <c r="K738" s="1" t="s">
        <v>62</v>
      </c>
      <c r="L738" s="1" t="s">
        <v>289</v>
      </c>
      <c r="N738" s="6">
        <v>2016.0</v>
      </c>
      <c r="O738" s="10">
        <f t="shared" ref="O738:R738" si="787">IFERROR(V738*INDEX($AH$4:$AH$8,MATCH($AA738,$AG$4:$AG$8,0)),"")</f>
        <v>303304852</v>
      </c>
      <c r="P738" s="10">
        <f t="shared" si="787"/>
        <v>303304852</v>
      </c>
      <c r="Q738" s="10">
        <f t="shared" si="787"/>
        <v>1475412248</v>
      </c>
      <c r="R738" s="10">
        <f t="shared" si="787"/>
        <v>1204415671</v>
      </c>
      <c r="S738" s="10">
        <f t="shared" si="4"/>
        <v>2679827919</v>
      </c>
      <c r="T738" s="10">
        <f t="shared" si="5"/>
        <v>0</v>
      </c>
      <c r="U738" s="8">
        <v>46112.0</v>
      </c>
      <c r="V738" s="7">
        <v>3.0330485202E8</v>
      </c>
      <c r="W738" s="7">
        <v>3.0330485202E8</v>
      </c>
      <c r="X738" s="7">
        <v>1.47541224803E9</v>
      </c>
      <c r="Y738" s="7">
        <v>1.204415671E9</v>
      </c>
      <c r="Z738" s="7">
        <v>0.0</v>
      </c>
      <c r="AA738" s="6" t="s">
        <v>52</v>
      </c>
      <c r="AB738" s="11" t="str">
        <f t="shared" si="6"/>
        <v>Include</v>
      </c>
      <c r="AC738" s="1">
        <f t="shared" si="781"/>
        <v>8.835427133</v>
      </c>
    </row>
    <row r="739" ht="15.0" customHeight="1">
      <c r="B739" s="6">
        <f t="shared" si="8"/>
        <v>737</v>
      </c>
      <c r="C739" s="1" t="s">
        <v>1149</v>
      </c>
      <c r="D739" s="1" t="str">
        <f t="shared" si="2"/>
        <v>Real Estate &amp; Infra</v>
      </c>
      <c r="E739" s="1" t="s">
        <v>44</v>
      </c>
      <c r="F739" s="1" t="s">
        <v>44</v>
      </c>
      <c r="G739" s="1" t="s">
        <v>1149</v>
      </c>
      <c r="H739" s="1" t="s">
        <v>971</v>
      </c>
      <c r="I739" s="1" t="s">
        <v>1138</v>
      </c>
      <c r="J739" s="1" t="s">
        <v>918</v>
      </c>
      <c r="K739" s="1" t="s">
        <v>54</v>
      </c>
      <c r="L739" s="1" t="s">
        <v>1150</v>
      </c>
      <c r="N739" s="6">
        <v>1992.0</v>
      </c>
      <c r="O739" s="10">
        <f t="shared" ref="O739:R739" si="788">IFERROR(V739*INDEX($AH$4:$AH$8,MATCH($AA739,$AG$4:$AG$8,0)),"")</f>
        <v>200000000</v>
      </c>
      <c r="P739" s="10">
        <f t="shared" si="788"/>
        <v>243140251.2</v>
      </c>
      <c r="Q739" s="10">
        <f t="shared" si="788"/>
        <v>198283123.6</v>
      </c>
      <c r="R739" s="10">
        <f t="shared" si="788"/>
        <v>111022856</v>
      </c>
      <c r="S739" s="10">
        <f t="shared" si="4"/>
        <v>309305979.6</v>
      </c>
      <c r="T739" s="10">
        <f t="shared" si="5"/>
        <v>56313070.78</v>
      </c>
      <c r="U739" s="8">
        <v>46112.0</v>
      </c>
      <c r="V739" s="7">
        <v>2.0E8</v>
      </c>
      <c r="W739" s="7">
        <v>2.4314025122E8</v>
      </c>
      <c r="X739" s="7">
        <v>1.9828312363E8</v>
      </c>
      <c r="Y739" s="7">
        <v>1.11022856E8</v>
      </c>
      <c r="Z739" s="7">
        <v>5.631307078E7</v>
      </c>
      <c r="AA739" s="6" t="s">
        <v>52</v>
      </c>
      <c r="AB739" s="11" t="str">
        <f t="shared" si="6"/>
        <v>Include</v>
      </c>
      <c r="AC739" s="1">
        <f t="shared" si="781"/>
        <v>1.272129884</v>
      </c>
    </row>
    <row r="740" ht="15.0" customHeight="1">
      <c r="B740" s="6">
        <f t="shared" si="8"/>
        <v>738</v>
      </c>
      <c r="C740" s="1" t="s">
        <v>1151</v>
      </c>
      <c r="D740" s="1" t="str">
        <f t="shared" si="2"/>
        <v>Real Estate &amp; Infra</v>
      </c>
      <c r="E740" s="1" t="s">
        <v>44</v>
      </c>
      <c r="F740" s="1" t="s">
        <v>44</v>
      </c>
      <c r="G740" s="1" t="s">
        <v>1151</v>
      </c>
      <c r="H740" s="1" t="s">
        <v>1152</v>
      </c>
      <c r="I740" s="1" t="s">
        <v>1153</v>
      </c>
      <c r="J740" s="1" t="s">
        <v>1153</v>
      </c>
      <c r="K740" s="1" t="s">
        <v>54</v>
      </c>
      <c r="L740" s="1" t="s">
        <v>42</v>
      </c>
      <c r="N740" s="6">
        <v>2000.0</v>
      </c>
      <c r="O740" s="10">
        <f t="shared" ref="O740:R740" si="789">IFERROR(V740*INDEX($AH$4:$AH$8,MATCH($AA740,$AG$4:$AG$8,0)),"")</f>
        <v>100000000</v>
      </c>
      <c r="P740" s="10">
        <f t="shared" si="789"/>
        <v>100000000</v>
      </c>
      <c r="Q740" s="10">
        <f t="shared" si="789"/>
        <v>109917597</v>
      </c>
      <c r="R740" s="10">
        <f t="shared" si="789"/>
        <v>0</v>
      </c>
      <c r="S740" s="10">
        <f t="shared" si="4"/>
        <v>109917597</v>
      </c>
      <c r="T740" s="10">
        <f t="shared" si="5"/>
        <v>0</v>
      </c>
      <c r="U740" s="8">
        <v>37437.0</v>
      </c>
      <c r="V740" s="7">
        <v>1.0E8</v>
      </c>
      <c r="W740" s="7">
        <v>1.0E8</v>
      </c>
      <c r="X740" s="7">
        <v>1.0991759699E8</v>
      </c>
      <c r="Y740" s="7">
        <v>0.0</v>
      </c>
      <c r="Z740" s="7">
        <v>0.0</v>
      </c>
      <c r="AA740" s="6" t="s">
        <v>52</v>
      </c>
      <c r="AB740" s="11" t="str">
        <f t="shared" si="6"/>
        <v>Exclude</v>
      </c>
    </row>
    <row r="741" ht="15.0" customHeight="1">
      <c r="B741" s="6">
        <f t="shared" si="8"/>
        <v>739</v>
      </c>
      <c r="C741" s="1" t="s">
        <v>1154</v>
      </c>
      <c r="D741" s="1" t="str">
        <f t="shared" si="2"/>
        <v>Real Estate &amp; Infra</v>
      </c>
      <c r="E741" s="1" t="s">
        <v>44</v>
      </c>
      <c r="F741" s="1" t="s">
        <v>44</v>
      </c>
      <c r="G741" s="1" t="s">
        <v>1154</v>
      </c>
      <c r="H741" s="1" t="s">
        <v>1155</v>
      </c>
      <c r="I741" s="1" t="s">
        <v>1153</v>
      </c>
      <c r="J741" s="1" t="s">
        <v>1153</v>
      </c>
      <c r="K741" s="1" t="s">
        <v>54</v>
      </c>
      <c r="L741" s="1" t="s">
        <v>286</v>
      </c>
      <c r="N741" s="6">
        <v>1998.0</v>
      </c>
      <c r="O741" s="10">
        <f t="shared" ref="O741:R741" si="790">IFERROR(V741*INDEX($AH$4:$AH$8,MATCH($AA741,$AG$4:$AG$8,0)),"")</f>
        <v>344713334.4</v>
      </c>
      <c r="P741" s="10">
        <f t="shared" si="790"/>
        <v>344713334.4</v>
      </c>
      <c r="Q741" s="10">
        <f t="shared" si="790"/>
        <v>476283546.3</v>
      </c>
      <c r="R741" s="10">
        <f t="shared" si="790"/>
        <v>0</v>
      </c>
      <c r="S741" s="10">
        <f t="shared" si="4"/>
        <v>476283546.3</v>
      </c>
      <c r="T741" s="10">
        <f t="shared" si="5"/>
        <v>0</v>
      </c>
      <c r="U741" s="8">
        <v>37437.0</v>
      </c>
      <c r="V741" s="7">
        <v>3.4471333444E8</v>
      </c>
      <c r="W741" s="7">
        <v>3.4471333444E8</v>
      </c>
      <c r="X741" s="7">
        <v>4.7628354634E8</v>
      </c>
      <c r="Y741" s="7">
        <v>0.0</v>
      </c>
      <c r="Z741" s="7">
        <v>0.0</v>
      </c>
      <c r="AA741" s="6" t="s">
        <v>52</v>
      </c>
      <c r="AB741" s="11" t="str">
        <f t="shared" si="6"/>
        <v>Exclude</v>
      </c>
    </row>
    <row r="742" ht="15.0" customHeight="1">
      <c r="B742" s="6">
        <f t="shared" si="8"/>
        <v>740</v>
      </c>
      <c r="C742" s="1" t="s">
        <v>1156</v>
      </c>
      <c r="D742" s="1" t="str">
        <f t="shared" si="2"/>
        <v>Real Estate &amp; Infra</v>
      </c>
      <c r="E742" s="1" t="s">
        <v>44</v>
      </c>
      <c r="F742" s="1" t="s">
        <v>44</v>
      </c>
      <c r="G742" s="1" t="s">
        <v>1156</v>
      </c>
      <c r="H742" s="1" t="s">
        <v>37</v>
      </c>
      <c r="I742" s="1" t="s">
        <v>1153</v>
      </c>
      <c r="J742" s="1" t="s">
        <v>1153</v>
      </c>
      <c r="K742" s="1" t="s">
        <v>62</v>
      </c>
      <c r="L742" s="1" t="s">
        <v>289</v>
      </c>
      <c r="N742" s="6">
        <v>1998.0</v>
      </c>
      <c r="O742" s="10">
        <f t="shared" ref="O742:R742" si="791">IFERROR(V742*INDEX($AH$4:$AH$8,MATCH($AA742,$AG$4:$AG$8,0)),"")</f>
        <v>24999992</v>
      </c>
      <c r="P742" s="10">
        <f t="shared" si="791"/>
        <v>24999992</v>
      </c>
      <c r="Q742" s="10">
        <f t="shared" si="791"/>
        <v>33966580.92</v>
      </c>
      <c r="R742" s="10">
        <f t="shared" si="791"/>
        <v>0</v>
      </c>
      <c r="S742" s="10">
        <f t="shared" si="4"/>
        <v>33966580.92</v>
      </c>
      <c r="T742" s="10">
        <f t="shared" si="5"/>
        <v>0</v>
      </c>
      <c r="U742" s="8">
        <v>39721.0</v>
      </c>
      <c r="V742" s="7">
        <v>2.4999992E7</v>
      </c>
      <c r="W742" s="7">
        <v>2.4999992E7</v>
      </c>
      <c r="X742" s="7">
        <v>3.396658092E7</v>
      </c>
      <c r="Y742" s="7">
        <v>0.0</v>
      </c>
      <c r="Z742" s="7">
        <v>0.0</v>
      </c>
      <c r="AA742" s="6" t="s">
        <v>52</v>
      </c>
      <c r="AB742" s="11" t="str">
        <f t="shared" si="6"/>
        <v>Exclude</v>
      </c>
    </row>
    <row r="743" ht="15.0" customHeight="1">
      <c r="B743" s="6">
        <f t="shared" si="8"/>
        <v>741</v>
      </c>
      <c r="C743" s="1" t="s">
        <v>1157</v>
      </c>
      <c r="D743" s="1" t="str">
        <f t="shared" si="2"/>
        <v>Real Estate &amp; Infra</v>
      </c>
      <c r="E743" s="1" t="s">
        <v>44</v>
      </c>
      <c r="F743" s="1" t="s">
        <v>44</v>
      </c>
      <c r="G743" s="1" t="s">
        <v>1157</v>
      </c>
      <c r="H743" s="1" t="s">
        <v>1155</v>
      </c>
      <c r="I743" s="1" t="s">
        <v>1153</v>
      </c>
      <c r="J743" s="1" t="s">
        <v>1153</v>
      </c>
      <c r="K743" s="1" t="s">
        <v>62</v>
      </c>
      <c r="L743" s="1" t="s">
        <v>289</v>
      </c>
      <c r="N743" s="6">
        <v>1997.0</v>
      </c>
      <c r="O743" s="10">
        <f t="shared" ref="O743:R743" si="792">IFERROR(V743*INDEX($AH$4:$AH$8,MATCH($AA743,$AG$4:$AG$8,0)),"")</f>
        <v>175000000</v>
      </c>
      <c r="P743" s="10">
        <f t="shared" si="792"/>
        <v>175000000</v>
      </c>
      <c r="Q743" s="10">
        <f t="shared" si="792"/>
        <v>580976764.5</v>
      </c>
      <c r="R743" s="10">
        <f t="shared" si="792"/>
        <v>0</v>
      </c>
      <c r="S743" s="10">
        <f t="shared" si="4"/>
        <v>580976764.5</v>
      </c>
      <c r="T743" s="10">
        <f t="shared" si="5"/>
        <v>0</v>
      </c>
      <c r="U743" s="8">
        <v>39721.0</v>
      </c>
      <c r="V743" s="7">
        <v>1.75E8</v>
      </c>
      <c r="W743" s="7">
        <v>1.75E8</v>
      </c>
      <c r="X743" s="7">
        <v>5.8097676449E8</v>
      </c>
      <c r="Y743" s="7">
        <v>0.0</v>
      </c>
      <c r="Z743" s="7">
        <v>0.0</v>
      </c>
      <c r="AA743" s="6" t="s">
        <v>52</v>
      </c>
      <c r="AB743" s="11" t="str">
        <f t="shared" si="6"/>
        <v>Exclude</v>
      </c>
    </row>
    <row r="744" ht="15.0" customHeight="1">
      <c r="B744" s="6">
        <f t="shared" si="8"/>
        <v>742</v>
      </c>
      <c r="C744" s="1" t="s">
        <v>1158</v>
      </c>
      <c r="D744" s="1" t="str">
        <f t="shared" si="2"/>
        <v>Private Credit</v>
      </c>
      <c r="E744" s="1" t="s">
        <v>39</v>
      </c>
      <c r="F744" s="1" t="s">
        <v>39</v>
      </c>
      <c r="G744" s="1" t="s">
        <v>1158</v>
      </c>
      <c r="H744" s="1" t="s">
        <v>1121</v>
      </c>
      <c r="N744" s="6">
        <v>2019.0</v>
      </c>
      <c r="O744" s="10">
        <f t="shared" ref="O744:R744" si="793">IFERROR(V744*INDEX($AH$4:$AH$8,MATCH($AA744,$AG$4:$AG$8,0)),"")</f>
        <v>1</v>
      </c>
      <c r="P744" s="10">
        <f t="shared" si="793"/>
        <v>15000</v>
      </c>
      <c r="Q744" s="10">
        <f t="shared" si="793"/>
        <v>0</v>
      </c>
      <c r="R744" s="10">
        <f t="shared" si="793"/>
        <v>0</v>
      </c>
      <c r="S744" s="10">
        <f t="shared" si="4"/>
        <v>0</v>
      </c>
      <c r="T744" s="10">
        <f t="shared" si="5"/>
        <v>1</v>
      </c>
      <c r="U744" s="8"/>
      <c r="V744" s="7">
        <v>1.0</v>
      </c>
      <c r="W744" s="7">
        <v>15000.0</v>
      </c>
      <c r="X744" s="7">
        <v>0.0</v>
      </c>
      <c r="Y744" s="7"/>
      <c r="Z744" s="7">
        <v>1.0</v>
      </c>
      <c r="AA744" s="6" t="s">
        <v>52</v>
      </c>
      <c r="AB744" s="11" t="str">
        <f t="shared" si="6"/>
        <v>Exclude</v>
      </c>
    </row>
    <row r="745" ht="15.0" customHeight="1">
      <c r="B745" s="6">
        <f t="shared" si="8"/>
        <v>743</v>
      </c>
      <c r="C745" s="1" t="s">
        <v>1159</v>
      </c>
      <c r="D745" s="1" t="str">
        <f t="shared" si="2"/>
        <v>Private Equity</v>
      </c>
      <c r="E745" s="1" t="s">
        <v>43</v>
      </c>
      <c r="F745" s="1" t="s">
        <v>43</v>
      </c>
      <c r="G745" s="1" t="s">
        <v>1159</v>
      </c>
      <c r="H745" s="1" t="s">
        <v>1121</v>
      </c>
      <c r="N745" s="6">
        <v>2020.0</v>
      </c>
      <c r="O745" s="10">
        <f t="shared" ref="O745:R745" si="794">IFERROR(V745*INDEX($AH$4:$AH$8,MATCH($AA745,$AG$4:$AG$8,0)),"")</f>
        <v>1</v>
      </c>
      <c r="P745" s="10">
        <f t="shared" si="794"/>
        <v>2001655.16</v>
      </c>
      <c r="Q745" s="10">
        <f t="shared" si="794"/>
        <v>0</v>
      </c>
      <c r="R745" s="10">
        <f t="shared" si="794"/>
        <v>0</v>
      </c>
      <c r="S745" s="10">
        <f t="shared" si="4"/>
        <v>0</v>
      </c>
      <c r="T745" s="10">
        <f t="shared" si="5"/>
        <v>1</v>
      </c>
      <c r="U745" s="8"/>
      <c r="V745" s="7">
        <v>1.0</v>
      </c>
      <c r="W745" s="7">
        <v>2001655.16</v>
      </c>
      <c r="X745" s="7">
        <v>0.0</v>
      </c>
      <c r="Y745" s="7"/>
      <c r="Z745" s="7">
        <v>1.0</v>
      </c>
      <c r="AA745" s="6" t="s">
        <v>52</v>
      </c>
      <c r="AB745" s="11" t="str">
        <f t="shared" si="6"/>
        <v>Exclude</v>
      </c>
    </row>
    <row r="746" ht="15.0" customHeight="1">
      <c r="B746" s="6">
        <f t="shared" si="8"/>
        <v>744</v>
      </c>
      <c r="C746" s="1" t="s">
        <v>1160</v>
      </c>
      <c r="D746" s="1" t="str">
        <f t="shared" si="2"/>
        <v>Private Equity</v>
      </c>
      <c r="E746" s="1" t="s">
        <v>43</v>
      </c>
      <c r="F746" s="1" t="s">
        <v>43</v>
      </c>
      <c r="G746" s="1" t="s">
        <v>1160</v>
      </c>
      <c r="H746" s="1" t="s">
        <v>1121</v>
      </c>
      <c r="O746" s="10">
        <f t="shared" ref="O746:R746" si="795">IFERROR(V746*INDEX($AH$4:$AH$8,MATCH($AA746,$AG$4:$AG$8,0)),"")</f>
        <v>4190950.65</v>
      </c>
      <c r="P746" s="10">
        <f t="shared" si="795"/>
        <v>4190950.65</v>
      </c>
      <c r="Q746" s="10">
        <f t="shared" si="795"/>
        <v>0</v>
      </c>
      <c r="R746" s="10">
        <f t="shared" si="795"/>
        <v>0</v>
      </c>
      <c r="S746" s="10">
        <f t="shared" si="4"/>
        <v>0</v>
      </c>
      <c r="T746" s="10">
        <f t="shared" si="5"/>
        <v>0</v>
      </c>
      <c r="U746" s="8">
        <v>46079.0</v>
      </c>
      <c r="V746" s="7">
        <v>4190950.65</v>
      </c>
      <c r="W746" s="7">
        <v>4190950.65</v>
      </c>
      <c r="X746" s="7">
        <v>0.0</v>
      </c>
      <c r="Y746" s="7">
        <v>0.0</v>
      </c>
      <c r="Z746" s="7">
        <v>0.0</v>
      </c>
      <c r="AA746" s="6" t="s">
        <v>52</v>
      </c>
      <c r="AB746" s="11" t="str">
        <f t="shared" si="6"/>
        <v>Exclude</v>
      </c>
    </row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2026-07-17T16:21:30Z</dcterms:created>
  <dc:creator>The Burgiss Group, LLC</dc:creator>
</cp:coreProperties>
</file>